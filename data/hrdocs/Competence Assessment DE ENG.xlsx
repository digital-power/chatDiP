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392" documentId="14_{90B07673-9A2F-4641-83F5-F2DE70B12230}" xr6:coauthVersionLast="47" xr6:coauthVersionMax="47" xr10:uidLastSave="{5A98CCD2-CC3B-4A5B-A74E-E206B88A2877}"/>
  <bookViews>
    <workbookView xWindow="-120" yWindow="-120" windowWidth="29040" windowHeight="17520" firstSheet="3" activeTab="1" xr2:uid="{1F9F934B-3F76-4FFB-9890-B75BF435F439}"/>
  </bookViews>
  <sheets>
    <sheet name="Theory" sheetId="4" r:id="rId1"/>
    <sheet name="Questions" sheetId="1" r:id="rId2"/>
    <sheet name="Data (DO NOT EDIT!!)" sheetId="3" r:id="rId3"/>
    <sheet name="Results (DO NOT EDIT!!)" sheetId="2" r:id="rId4"/>
  </sheets>
  <definedNames>
    <definedName name="_xlnm.Print_Area" localSheetId="1">Questions!$A$12:$D$210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8" i="3" l="1"/>
  <c r="AH7" i="2" s="1"/>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T18" i="3"/>
  <c r="Q7" i="2" s="1"/>
  <c r="S18" i="3"/>
  <c r="P7" i="2" s="1"/>
  <c r="R18" i="3"/>
  <c r="O7" i="2" s="1"/>
  <c r="Q18" i="3"/>
  <c r="N7" i="2" s="1"/>
  <c r="P18" i="3"/>
  <c r="M7" i="2" s="1"/>
  <c r="O18" i="3"/>
  <c r="L7" i="2" s="1"/>
  <c r="N18" i="3"/>
  <c r="K7" i="2" s="1"/>
  <c r="M18" i="3"/>
  <c r="J7" i="2" s="1"/>
  <c r="L18" i="3"/>
  <c r="I7" i="2" s="1"/>
  <c r="K18" i="3"/>
  <c r="H7" i="2" s="1"/>
  <c r="J18" i="3"/>
  <c r="G7" i="2" s="1"/>
  <c r="I18" i="3"/>
  <c r="F7" i="2" s="1"/>
  <c r="H18" i="3"/>
  <c r="E7" i="2" s="1"/>
  <c r="G18" i="3"/>
  <c r="D7" i="2" s="1"/>
  <c r="F18" i="3"/>
  <c r="C7" i="2" s="1"/>
  <c r="E18" i="3"/>
  <c r="B7" i="2" s="1"/>
  <c r="E5" i="3"/>
  <c r="B4" i="2" s="1"/>
  <c r="L5" i="3"/>
  <c r="I4" i="2" s="1"/>
  <c r="R5" i="3"/>
  <c r="O4" i="2" s="1"/>
  <c r="I1" i="2"/>
  <c r="I2" i="2"/>
  <c r="O1" i="2"/>
  <c r="O2" i="2"/>
  <c r="R7" i="2"/>
  <c r="C27" i="3"/>
  <c r="C26" i="3"/>
  <c r="C25" i="3"/>
  <c r="C24" i="3"/>
  <c r="C23" i="3"/>
  <c r="C22" i="3"/>
  <c r="C21" i="3"/>
  <c r="C20" i="3"/>
  <c r="C19" i="3"/>
  <c r="C18" i="3"/>
  <c r="AK5" i="3"/>
  <c r="AH4" i="2" s="1"/>
  <c r="AJ5" i="3"/>
  <c r="AG4" i="2" s="1"/>
  <c r="AI5" i="3"/>
  <c r="AF4" i="2" s="1"/>
  <c r="AH5" i="3"/>
  <c r="AE4" i="2" s="1"/>
  <c r="AG5" i="3"/>
  <c r="AD4" i="2" s="1"/>
  <c r="AH5" i="2" s="1"/>
  <c r="AF5" i="3"/>
  <c r="AC4" i="2" s="1"/>
  <c r="AE5" i="3"/>
  <c r="AB4" i="2" s="1"/>
  <c r="AD5" i="3"/>
  <c r="AA4" i="2" s="1"/>
  <c r="AC5" i="3"/>
  <c r="Z4" i="2" s="1"/>
  <c r="AB5" i="3"/>
  <c r="Y4" i="2" s="1"/>
  <c r="AC5" i="2" s="1"/>
  <c r="AA5" i="3"/>
  <c r="X4" i="2" s="1"/>
  <c r="Z5" i="3"/>
  <c r="W4" i="2" s="1"/>
  <c r="Y5" i="3"/>
  <c r="V4" i="2" s="1"/>
  <c r="X5" i="3"/>
  <c r="U4" i="2" s="1"/>
  <c r="W5" i="3"/>
  <c r="T4" i="2" s="1"/>
  <c r="X5" i="2" s="1"/>
  <c r="V5" i="3"/>
  <c r="S4" i="2" s="1"/>
  <c r="U5" i="3"/>
  <c r="R4" i="2" s="1"/>
  <c r="T5" i="3"/>
  <c r="Q4" i="2" s="1"/>
  <c r="S5" i="3"/>
  <c r="P4" i="2" s="1"/>
  <c r="Q5" i="3"/>
  <c r="N4" i="2" s="1"/>
  <c r="S5" i="2" s="1"/>
  <c r="P5" i="3"/>
  <c r="M4" i="2" s="1"/>
  <c r="O5" i="3"/>
  <c r="L4" i="2" s="1"/>
  <c r="N5" i="3"/>
  <c r="K4" i="2" s="1"/>
  <c r="M5" i="3"/>
  <c r="J4" i="2" s="1"/>
  <c r="K5" i="3"/>
  <c r="H4" i="2" s="1"/>
  <c r="M5" i="2" s="1"/>
  <c r="J5" i="3"/>
  <c r="G4" i="2" s="1"/>
  <c r="I5" i="3"/>
  <c r="F4" i="2" s="1"/>
  <c r="H5" i="3"/>
  <c r="E4" i="2" s="1"/>
  <c r="G5" i="3"/>
  <c r="D4" i="2" s="1"/>
  <c r="F5" i="3"/>
  <c r="C4" i="2" s="1"/>
  <c r="G5" i="2" l="1"/>
  <c r="X8" i="2"/>
  <c r="S8" i="2"/>
  <c r="AC8" i="2"/>
  <c r="AH8" i="2"/>
  <c r="M8" i="2"/>
  <c r="G8" i="2"/>
  <c r="AH2" i="2"/>
  <c r="AG2" i="2"/>
  <c r="AF2" i="2"/>
  <c r="AE2" i="2"/>
  <c r="AD2" i="2"/>
  <c r="AC2" i="2"/>
  <c r="AB2" i="2"/>
  <c r="AA2" i="2"/>
  <c r="Z2" i="2"/>
  <c r="Y2" i="2"/>
  <c r="X2" i="2"/>
  <c r="W2" i="2"/>
  <c r="V2" i="2"/>
  <c r="U2" i="2"/>
  <c r="T2" i="2"/>
  <c r="S2" i="2"/>
  <c r="R2" i="2"/>
  <c r="Q2" i="2"/>
  <c r="P2" i="2"/>
  <c r="N2" i="2"/>
  <c r="M2" i="2"/>
  <c r="L2" i="2"/>
  <c r="K2" i="2"/>
  <c r="J2" i="2"/>
  <c r="H2" i="2"/>
  <c r="G2" i="2"/>
  <c r="F2" i="2"/>
  <c r="E2" i="2"/>
  <c r="D2" i="2"/>
  <c r="C2" i="2"/>
  <c r="AH1" i="2"/>
  <c r="AG1" i="2"/>
  <c r="AF1" i="2"/>
  <c r="AE1" i="2"/>
  <c r="AD1" i="2"/>
  <c r="AC1" i="2"/>
  <c r="AB1" i="2"/>
  <c r="AA1" i="2"/>
  <c r="Z1" i="2"/>
  <c r="Y1" i="2"/>
  <c r="X1" i="2"/>
  <c r="W1" i="2"/>
  <c r="V1" i="2"/>
  <c r="U1" i="2"/>
  <c r="T1" i="2"/>
  <c r="S1" i="2"/>
  <c r="R1" i="2"/>
  <c r="Q1" i="2"/>
  <c r="P1" i="2"/>
  <c r="N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B19" i="3" l="1"/>
  <c r="D19" i="3"/>
  <c r="B20" i="3"/>
  <c r="D20" i="3"/>
  <c r="B21" i="3"/>
  <c r="D21" i="3"/>
  <c r="D18" i="3"/>
  <c r="A19" i="3" l="1"/>
  <c r="A20" i="3"/>
  <c r="A21" i="3"/>
  <c r="A18" i="3"/>
</calcChain>
</file>

<file path=xl/sharedStrings.xml><?xml version="1.0" encoding="utf-8"?>
<sst xmlns="http://schemas.openxmlformats.org/spreadsheetml/2006/main" count="403" uniqueCount="237">
  <si>
    <t>Digital Power Competentiehuis</t>
  </si>
  <si>
    <t>Competentiegebieden</t>
  </si>
  <si>
    <t>Question list</t>
  </si>
  <si>
    <t>Example competence area</t>
  </si>
  <si>
    <t>For each situation, enter the corresponding value for the most appropriate competency description</t>
  </si>
  <si>
    <t>Instructions</t>
  </si>
  <si>
    <t>Example competency</t>
  </si>
  <si>
    <t>Competency level to date</t>
  </si>
  <si>
    <t>Desired competency level</t>
  </si>
  <si>
    <t>Input value</t>
  </si>
  <si>
    <t>Each competency area (6), which can be recognized by the different colours, consists of a number of specific competencies.
Determine for each competency where your ambition (desired competency level) lies and where you are now (competency level to date).
- Do this by scoring yourself on the indicated scale (see example)
- If you have no ambition (yet) for a competence, you keep the score that reflects toward your current competency level.
Determine for each competency which description best fits the situation (present/desired). Do not only look at knowledge and skills, but also at the sphere of influence and degree of (personal) leadership in your role with the customer.
Create your desired profile based on your ambition! And develop those competencies that give substance to the realization of this ambition.
The aim is not to test whether or not you are a good consultant within this domain. The goal is that you develop competencies that match your ambition.
Be realistic when filling it out. Only then will you use it to its full potential.
Good luck!</t>
  </si>
  <si>
    <t>Competency description example: Acts on competency A with customers.</t>
  </si>
  <si>
    <t>Competency description example: Acts with customers in addition to competency A, also on competency B.</t>
  </si>
  <si>
    <t>Competency description example: Acts with customers in addition to competency A , B,  and also on competency C.</t>
  </si>
  <si>
    <t>Competency description example: Acts with customers in addition to competency A, B, C, and also on competency D.</t>
  </si>
  <si>
    <t>Competency description example: Acts with customers in addition to competency A, B, C, D and also on competency E.</t>
  </si>
  <si>
    <t>Digital Power basic competencies</t>
  </si>
  <si>
    <t>Learning &amp; reflection</t>
  </si>
  <si>
    <t xml:space="preserve">Has a growth mindset </t>
  </si>
  <si>
    <t>Receives positive and constructive feedback with an open attitude, is able to use this for self-reflection, incorporate it into their own development and undertake the necessary development with training and courses.</t>
  </si>
  <si>
    <t>In addition to the indicated external stimulus (feedback from others), is able to remain critical of their own knowledge and lack of experience. Takes the necessary actions in this respect and takes control of their own development.</t>
  </si>
  <si>
    <t>Takes on an exemplary role in the previously indicated competencies and also actively promotes them by taking on a guiding role to juniors and mediors.</t>
  </si>
  <si>
    <t>Takes on a leadership role in the indicated competencies and actively carries this  out in the role of supervisor and/or by taking responsibility within the organisation.</t>
  </si>
  <si>
    <t>Support &amp; collaboration</t>
  </si>
  <si>
    <t>Has a collaborative mindset</t>
  </si>
  <si>
    <t>Is helpful and involved with both internal and external colleagues</t>
  </si>
  <si>
    <t>Actively seeks cooperation. Both within and outside the team that they are (temporarily) part of.</t>
  </si>
  <si>
    <t>Acts like an example in seeking cooperation. Takes responsibility to support others and provides assistance to ensure team members become self-reliant in their work.</t>
  </si>
  <si>
    <t>-</t>
  </si>
  <si>
    <t>Entrepreneurial &amp; result-oriented</t>
  </si>
  <si>
    <t>Has an entrepreneurial &amp; result-oriented mindset</t>
  </si>
  <si>
    <t>Focused on acting effectively and delivering agreed work on time, within the agreed timeframe.</t>
  </si>
  <si>
    <t>In addition to the previously mentioned competencies, is able to recognize opportunities and be proactive in helping customers and/or furthering profile of DiP. Is able to translate customer objectives into concrete and practical actions.</t>
  </si>
  <si>
    <t>In addition to the previously mentioned competencies, able to increase commercial activities (such as increasing hours, generating additional assignments, etc.). Develops projects within DiP and oversees and/or guides them towards the intended result.</t>
  </si>
  <si>
    <t>In addition to the previously mentioned competencies, is responsible for the development of a specialism within DiP. This includes ensuring expertise in this domain continuously develops and stays up-to-date with the market.</t>
  </si>
  <si>
    <t>Customer-oriented</t>
  </si>
  <si>
    <t>Has a customer-oriented mindset</t>
  </si>
  <si>
    <t>Recognizes customer needs and interests; adopts a helpful attitude and takes the needs and interests of the customer into account in their work.</t>
  </si>
  <si>
    <t>In addition to the previously mentioned competencies, actively thinks along with the client. Shares insights of the client organization within DiP in order to further expand commercial activities. Actively strives to increase customer satisfaction and improve quality of work.</t>
  </si>
  <si>
    <t>In addition to the previously mentioned competencies, stimulates and facilitates others to actively act in a customer-oriented manner. Is able to expand customer activity through expertise. Exceeds customer expectations.</t>
  </si>
  <si>
    <t>In addition to the previously mentioned competencies, bears responsibility for a customer-oriented approach. Is committed to maintaining a high level of customer focus on a structural basis.</t>
  </si>
  <si>
    <t>Knowledge sharing</t>
  </si>
  <si>
    <t>Actively learns from the DiP organisation.</t>
  </si>
  <si>
    <t>Learns from the DiP organization and actively shares own experiences with colleagues.</t>
  </si>
  <si>
    <t>In addition to the previously stated competencies, actively shares own experiences and knowledge in DiP meet-ups, peer groups and provides training, etc. Also shares knowledge externally in meet-ups, conferences, training courses, blogs, inspiration sessions, etc.</t>
  </si>
  <si>
    <t>In addition to the previously stated activities, can act as a source of information for other consultants through acquired knowledge and experience. Also contributes to the team spirit.</t>
  </si>
  <si>
    <t>In addition to the previously mentioned activities, bears responsibility for the level of knowledge sharing. Ensures that knowledge sharing remains up to date in terms of content and frequency.</t>
  </si>
  <si>
    <t>Coaching &amp; guidance</t>
  </si>
  <si>
    <t>Has never (in)formally provided coaching or guidance in a professional field</t>
  </si>
  <si>
    <t>Has followed one or more trainings/courses about coaching and/or guiding in a professional field.</t>
  </si>
  <si>
    <t>Has informally coached and/or supervised one or more colleagues (within DiP) in the professional field.</t>
  </si>
  <si>
    <t>Formally supervises one or more junior/medior consultants (within DiP) in their professional development.</t>
  </si>
  <si>
    <t>Has formally supervised one or more junior/medior/senior consultants in their professional development (within DiP) for more than 4 years.</t>
  </si>
  <si>
    <t>Data Engineering domain competencies</t>
  </si>
  <si>
    <t>Domain knowledge</t>
  </si>
  <si>
    <t>Understands basic concepts such as programming languages and data storage</t>
  </si>
  <si>
    <t>Understands basic concepts of cloud computing and ETL</t>
  </si>
  <si>
    <t>Has knowledge of datawarehouses, datalakes and distributed processing related to big data processing, and can describe the pros and cons of these techniques. Is able to turn a functional design/user story into a technical design and able to implement this</t>
  </si>
  <si>
    <t>Is able to clarify data engineering components in business cases and convert them into functional designs / user stories</t>
  </si>
  <si>
    <t>Has extensive knowledge in the field of data engineering within multiple industries and knows how to utilize this knowledge in almost any situation to come up with a solution</t>
  </si>
  <si>
    <t>Data architecture</t>
  </si>
  <si>
    <t>Has basic knowledge on the interaction and differences between various components such as processing environment, operating system, flat file storage and databases</t>
  </si>
  <si>
    <t>Has knowledge about automating scripts in a cloud environment, is able to identify which of the basic components is right for a data solution</t>
  </si>
  <si>
    <t>Knowledgeable about more advanced cloud solutions such as streaming technology and data lakes, and has knowledge of container software such as Docker and Kubernetes, is able to take into account cross-project requirements (architecture) in the design of the solution. Knowledge about bringing machine learning models into production and maintaining them (MLOps).</t>
  </si>
  <si>
    <t>Is able to propose and implement improvements in the data architecture in an end-to-end chain</t>
  </si>
  <si>
    <t>Is able to set up a data architecture for an entire organization, create support for this and implement it</t>
  </si>
  <si>
    <t>Computer science</t>
  </si>
  <si>
    <t>Familiar with computer science principles</t>
  </si>
  <si>
    <t>Is able to independently develop basic solutions using scripting and is familiar with common data structures</t>
  </si>
  <si>
    <t>Is able to apply concepts such as object oriented programming (OOP) within projects and is familiar with more complex data structures</t>
  </si>
  <si>
    <t>Is able to develop efficient solutions with techniques such as concurrency and parallelization</t>
  </si>
  <si>
    <t>Able to do the above, but (programming) language/operating system agnostic</t>
  </si>
  <si>
    <t>Data governance (+GDPR + Ethics)</t>
  </si>
  <si>
    <t>Basic knowledge about organizations and the importance of data within organizations</t>
  </si>
  <si>
    <t>Is able to follow data governance processes and suggest improvements</t>
  </si>
  <si>
    <t>Is able to advise on and implement data governance processes within the department/function where the consultant works</t>
  </si>
  <si>
    <t>Is able to advise on and implement cross-departmental data governance processes</t>
  </si>
  <si>
    <t>Is able to introduce data governance processes and create organization-wide support for the introduction thereof</t>
  </si>
  <si>
    <t>Data quality</t>
  </si>
  <si>
    <t>Can provide examples of data quality problems, without necessarily being able to identify the causes</t>
  </si>
  <si>
    <t>Familiar with concepts of data quality and common causes, reports on identified data quality issues</t>
  </si>
  <si>
    <t>Knowledge of various techniques of automated data quality checks and implements them</t>
  </si>
  <si>
    <t>Is able to quantify the business impact of poor data quality and bring it to attention within a department.</t>
  </si>
  <si>
    <t>Is able to create widespread support for improving the data quality of the organization</t>
  </si>
  <si>
    <t>Security</t>
  </si>
  <si>
    <t>Understands the limitations of hardcoded credentials, and understands the importance of security in data</t>
  </si>
  <si>
    <t>Is able to implement solutions in a safe and responsible manner in accordance with existing guidelines. Identifies and reports on identified security risks</t>
  </si>
  <si>
    <t>Understands security concepts of network security and secure storage of sensitive data, identifies major security issues and provides possible solutions to them</t>
  </si>
  <si>
    <t>Communicates the importance of security in data, networks, operating systems. Identifies more obscure security issues and provides solutions</t>
  </si>
  <si>
    <t>Able to create support for organization-wide improvements in the field of data security and IAM, is successful in starting initiatives to carry these out</t>
  </si>
  <si>
    <t>Data Engineering Hardskills</t>
  </si>
  <si>
    <t>Programming</t>
  </si>
  <si>
    <t>Able to implement basic functionality using scripts</t>
  </si>
  <si>
    <t>Basic knowledge of Python, can for example use Pandas to import and process data. Familiar with basic principles of GIT.</t>
  </si>
  <si>
    <t>Knowledge of data processing frameworks such as Spark and Dask, can apply concepts such as OOP within projects. Able to work with large teams on the same repository. Works in accordance with existing programming guidelines. Is able to convert written solutions into reusable packages.</t>
  </si>
  <si>
    <t>Is seen by peers at Digital Power as an expert in one of the important tools/programming languages for data engineering</t>
  </si>
  <si>
    <t>Is seen by peers in the field as an expert in one of the important tools/programming languages for data engineering</t>
  </si>
  <si>
    <t>Data processing</t>
  </si>
  <si>
    <t>Is able to process small amounts of data using packages like Pandas</t>
  </si>
  <si>
    <t>Is able to develop production grade ETL/ELT code</t>
  </si>
  <si>
    <t>Has experience in distributed data processing techniques and best practices in various situations, for example data processing in a data lake and data processing in a data warehouse</t>
  </si>
  <si>
    <t xml:space="preserve">Has experience with various techniques for both batch and stream processing and is able to use them in a wide range of projects
</t>
  </si>
  <si>
    <t>Well informed of the latest developments in the field of data processing and has a network outside Digital Power with specialists on data processing</t>
  </si>
  <si>
    <t>Testing and deployments</t>
  </si>
  <si>
    <t>Is able to debug own/proprietary scripts</t>
  </si>
  <si>
    <t>Is familiar with the basics of CI/CD and automated testing and able to debug and bring (simple) scripts to production in cloud environments using web consoles. Comfortable using GIT.</t>
  </si>
  <si>
    <t>Able to set up CI/CD roadmaps/pipelines and write unit and integration tests</t>
  </si>
  <si>
    <t>Experienced in the use of CI/CD tooling. Is able to advise organizations on tooling and introduce this tooling organization-wide</t>
  </si>
  <si>
    <t>Able to create support to move an organization towards CI/CD and DevOps</t>
  </si>
  <si>
    <t>Infrastructure and cloud solutions</t>
  </si>
  <si>
    <t>Basic knowledge of installing a Linux VM on Windows and file systems</t>
  </si>
  <si>
    <t>Is able to set up Python environments within Linux and the command line</t>
  </si>
  <si>
    <t>Knowledge of networks, can set up cloud infrascture using "Infrastructure as Code" frameworks such as Teffaform, CloudFormation or Azure ARM</t>
  </si>
  <si>
    <t>Is able to design and develop scalable data solutions consisting of multiple components (microservice architecture)</t>
  </si>
  <si>
    <t>Is able to develop data platforms according to existing organizational guidelines and vision. Can create support for chosen solutions that may fall outside the current vision and guidelines.</t>
  </si>
  <si>
    <t>Data modeling</t>
  </si>
  <si>
    <t>Competentieniveau tot heden</t>
  </si>
  <si>
    <t>Wenselijk competentieniveau</t>
  </si>
  <si>
    <t>Understands the basics of data modeling in structured environments (SQL)</t>
  </si>
  <si>
    <t>Understands data models in both structured and unstructured formats (SQL, Json, XML, ...)</t>
  </si>
  <si>
    <t xml:space="preserve">Is able to convert requirements into a data model that suits the outlined infrastructure </t>
  </si>
  <si>
    <t>Is able to convert requirements into data models, taking into account factors such as partitioning, redundancy and (geo)replication</t>
  </si>
  <si>
    <t>Virtualization and containerization</t>
  </si>
  <si>
    <t>Has basic knowledge of the concept of virtualization</t>
  </si>
  <si>
    <t>Is able to define simple Docker containers and use existing containers. Can apply virtualization techniques for programming languages used (e.g. virtualenv for Python)</t>
  </si>
  <si>
    <t>Is able to implement simple microservice architecture using virtualization techniques such as Kubernetes and Docker Swarm/Compose</t>
  </si>
  <si>
    <t>Is able to implement complex, scalable microservice architecture using virtualization techniques</t>
  </si>
  <si>
    <t>Can translate business problems and apply the right virtualization techniques</t>
  </si>
  <si>
    <t>Basic consultancy competencies</t>
  </si>
  <si>
    <t>Advising</t>
  </si>
  <si>
    <t>Gives advice on questions from the direct business (stakeholders). Mostly operationally.</t>
  </si>
  <si>
    <t>In addition to the previously mentioned competencies, provides proactive advice on related analyses and insights. Is able to view insights from perspectives other than their own business (stakeholders) and involves them in the process.</t>
  </si>
  <si>
    <t>In addition to the previously mentioned competencies, provides advice with an organization-wide impact.</t>
  </si>
  <si>
    <t>In addition to the previously mentioned competencies, gives advice at management and/or organizational level.</t>
  </si>
  <si>
    <t xml:space="preserve">Decisive &amp; problem-solving </t>
  </si>
  <si>
    <t>Has a curious and pragmatic mindset.</t>
  </si>
  <si>
    <t>Able to ask critical questions within your department/project. Able to come up with a suitable solution for your own business (stakeholders).</t>
  </si>
  <si>
    <t>In addition to the previously mentioned competencies, is able to get to the core of the problem with a departmental and/or assignment-transcending impact. Able to address this and come to a solution that is more widely supported.</t>
  </si>
  <si>
    <t>In addition to the previously mentioned competencies, able to get to the core of the problem with an organization-wide impact.</t>
  </si>
  <si>
    <t>In addition to the previously mentioned competencies, able to get to the core of the problem with an organization-wide impact. Able to address this and come to a solution that is supported throughout the organization.</t>
  </si>
  <si>
    <t>Interpersonal communication</t>
  </si>
  <si>
    <t>Has an accessible attitude.</t>
  </si>
  <si>
    <t>Has a visible and approachable demeanor. Is a good listener and provides feedback and is able to put themselves in others' shoes.</t>
  </si>
  <si>
    <t>In addition to the previously mentioned competencies, adopts an assertive attitude and maintains a healthy balance between moving along with the client and guarding one's own boundaries.</t>
  </si>
  <si>
    <t>In addition to the previously mentioned competencies, actively promotes communication between yourself and your client(s). And also with the team(s) and department(s) you work with.</t>
  </si>
  <si>
    <t>In addition to the previously mentioned competencies, actively provides tools and resources to shape and promote communication between teams and departments.</t>
  </si>
  <si>
    <t>Expectation management</t>
  </si>
  <si>
    <t>Tests expectations of his/her work; way of working, scope, goal, timelines, content, etc.</t>
  </si>
  <si>
    <t>In addition to the previously mentioned competency, makes an inventory of the underlying interests. Takes this information into account when setting priorities and proactively communicates this.</t>
  </si>
  <si>
    <t>Sets and discusses expectations from personal and/or DiP interests and takes the initiative in determining cooperation, scope, priorities, goal, timelines, content, etc.</t>
  </si>
  <si>
    <t>Sets expectations and actively ensures that the interests and expectations of all parties involved are expressed and coordinated in the best possible way.</t>
  </si>
  <si>
    <t>Written and oral communication (presentation, proposal, result, advice)</t>
  </si>
  <si>
    <t>Speaks ánd writes comprehensible and correct Dutch and English for a business target group. Is well understood in both volume and pronunciation.</t>
  </si>
  <si>
    <t>In addition to the previously mentioned competencies, adjusts the speaking and/or writing style to the intended goal or target group. Is clear and to-the-point, so that the message is well understood. Checks whether the message has come across correctly.</t>
  </si>
  <si>
    <t>In addition to the previously mentioned competencies, is able to make complex subjects understandable to others and displays a collaborative attitude.</t>
  </si>
  <si>
    <t>Applies situational communication in addition to the previously mentioned competencies. You give implicit guidance to the outcome of the verbal transaction (presentation, bila, conversation, advice, etc.)</t>
  </si>
  <si>
    <t>In addition to the previously mentioned competencies, applies situational leadership in which implicit control shifts to explicit control or leadership.</t>
  </si>
  <si>
    <t>Business competencies</t>
  </si>
  <si>
    <t>Organizational and management identification</t>
  </si>
  <si>
    <t>Has no/little knowledge of organizational structure at a client.</t>
  </si>
  <si>
    <t>Has knowledge of organizational structure at a client.</t>
  </si>
  <si>
    <t>Has a sense of relationships within the organization. Recognizes interests of stakeholders.</t>
  </si>
  <si>
    <t>Has feeling for relationships within the organization. Recognizes stakeholder interests and overlooks consequences of approach and makes connections with other stakeholders and/or issues.</t>
  </si>
  <si>
    <t>Is positioned as Business Analyst</t>
  </si>
  <si>
    <t>Strategic conceptualization</t>
  </si>
  <si>
    <t>Is able to recognize operational strategy and goals</t>
  </si>
  <si>
    <t>Is able to connect and conceptualize operational strategy and goals</t>
  </si>
  <si>
    <t>Is able to connect and conceptualize strategy and goals of management and operations</t>
  </si>
  <si>
    <t>Is able to connect and conceptualize strategy and goals of the board, management and operations</t>
  </si>
  <si>
    <t>Is positioned as a Strategist</t>
  </si>
  <si>
    <t>Project management</t>
  </si>
  <si>
    <t>Kept client and/or stakeholders informed of progress on own assignment or project schedule</t>
  </si>
  <si>
    <t>Kept client and stakeholders informed of progress on project or assignment schedule</t>
  </si>
  <si>
    <t>Has managed one or more projects without using a methodical approach</t>
  </si>
  <si>
    <t>Has managed one or more projects using project management methods such as (Agile, Scrum, Kanban, Lean, Six Sigma, Prince2, etc.)</t>
  </si>
  <si>
    <t>Is positioned as a Project Manager/ Product Owner</t>
  </si>
  <si>
    <t>Change management (towards data-driven work)</t>
  </si>
  <si>
    <t>Has never experienced a change process toward data-driven work</t>
  </si>
  <si>
    <t>Has participated and played an active role in one or more change processes towards data-driven work</t>
  </si>
  <si>
    <t>Has led one or more change processes towards data-driven work, without using a methodical approach</t>
  </si>
  <si>
    <t>Has led one or more change processes towards data-driven work using a methodical approach</t>
  </si>
  <si>
    <t>Is positioned as a Change Manager</t>
  </si>
  <si>
    <t>Leadership</t>
  </si>
  <si>
    <t>Has never (in)formally led in the field of data</t>
  </si>
  <si>
    <t>Participated in assignments and/or projects in the field of data</t>
  </si>
  <si>
    <t>Recognizes strategic data opportunities and has actively participated in this by taking on an advisory role</t>
  </si>
  <si>
    <t>Demonstrates leadership and has acted as the driving force behind strategic data choices in one or more assignments</t>
  </si>
  <si>
    <t>Has acted from a leadership position in one or more assignments as a driving force behind strategic choices in the area of data</t>
  </si>
  <si>
    <t>Expert consultancy competencies</t>
  </si>
  <si>
    <t>Situational communication</t>
  </si>
  <si>
    <t>Adopts a communication style that is true to themselves.</t>
  </si>
  <si>
    <t>Is aware of own communication style and effect on conversational partners.</t>
  </si>
  <si>
    <t xml:space="preserve">In addition to the above, has knowledge of different situations and communication styles and actively uses this knowledge to adapt own communication. </t>
  </si>
  <si>
    <t>In addition to previously mentioned competencies, uses situational communication/situational leadership to provide direction.</t>
  </si>
  <si>
    <t>In addition to previously mentioned, uses situational leadership in management.</t>
  </si>
  <si>
    <t>Goal-oriented &amp; effective communication</t>
  </si>
  <si>
    <t>Communicates in a structured manner and avoids technical jargon.</t>
  </si>
  <si>
    <t>In addition to the above, communicates in a no-nonsense, purposeful way, so that content, goal, and expectations are clear to (all) partners and/or participants within the project.</t>
  </si>
  <si>
    <t xml:space="preserve">Uses the above mentioned competencies on a cross-departmental level. Knows how to bring the parties involved towards the intended goal by means of catchy examples, stimulating propositions and outlining (implication) scenarios. </t>
  </si>
  <si>
    <t>Uses previously mentioned competencies at the organizational level.</t>
  </si>
  <si>
    <t>Decision-making</t>
  </si>
  <si>
    <t>Makes independent, informed decisions and is accountable for them.</t>
  </si>
  <si>
    <t>In addition to previously mentioned, has made decisions that require courage and boldness due to the difficult nature of the decision, within your project or assignment.</t>
  </si>
  <si>
    <t>In addition to the above-mentioned setting, has to take difficult decisions that have an impact on the project or assignment.</t>
  </si>
  <si>
    <t>In addition to the above-mentioned setting, has to take difficult decisions that have a cross-departmental impact.</t>
  </si>
  <si>
    <t>In addition to previously mentioned setting, had to make difficult decisions that had organization-wide impact.</t>
  </si>
  <si>
    <t>Persuading &amp; influencing</t>
  </si>
  <si>
    <t>Has confidence in own ability and judgment when presenting findings and opinions.</t>
  </si>
  <si>
    <t>In addition to the competencies mentioned above, acts with self-confidence when explaining (their own) views and opinions. Listens and seeks connection to create a win-win situation.</t>
  </si>
  <si>
    <t>In addition to previously mentioned competencies, when persuading and influencing, makes active use of thought-provoking statements and illustrations to promote position taking. Is able to recognize communication and behavioral styles and to adapt his/her own communication and/or behavioral style accordingly.</t>
  </si>
  <si>
    <t>Uses previously mentioned competencies to effectively provide direction and leadership in a broader setting (team, department, organization, etc.)</t>
  </si>
  <si>
    <t>Constructive (negative) feedback &amp; bad news conversations</t>
  </si>
  <si>
    <t>Has given constructive feedback when asked.</t>
  </si>
  <si>
    <t>In addition to the previously mentioned, has given unsolicited constructive feedback when dealing with an equal power relationship (peers/ consultants).</t>
  </si>
  <si>
    <t>In addition to the mentioned competencies, has given unsolicited constructive feedback in an unequal power relationship (manager/client) and has been able to turn this into a future-proof situation and/or relationship.</t>
  </si>
  <si>
    <t>In addition to the previously mentioned, has held a bad news conversation in the role of supervising consultant/manager, has had to take a position and turn it into a future-proof situation.</t>
  </si>
  <si>
    <t>In addition to previously mentioned, has held a bad news conversation from the supervising consultant/leadership role, had to take a stand in it and make a negative decision.</t>
  </si>
  <si>
    <t>Digital Power Basic Skills</t>
  </si>
  <si>
    <t>Domain skills</t>
  </si>
  <si>
    <t>Hardskills</t>
  </si>
  <si>
    <t>Basic Consultancy Skills</t>
  </si>
  <si>
    <t>Business Skills</t>
  </si>
  <si>
    <t>Expert Consultancy Skills</t>
  </si>
  <si>
    <t>Written and oral communication</t>
  </si>
  <si>
    <t>Change management</t>
  </si>
  <si>
    <t>ID</t>
  </si>
  <si>
    <t>Name</t>
  </si>
  <si>
    <t>Function</t>
  </si>
  <si>
    <t>Specialization</t>
  </si>
  <si>
    <t>Current</t>
  </si>
  <si>
    <t>You (mandatory)</t>
  </si>
  <si>
    <t>Reviewer 1 (optional)</t>
  </si>
  <si>
    <t>Reviewer 2 (optional)</t>
  </si>
  <si>
    <t>Ambition</t>
  </si>
  <si>
    <t>Score current situation</t>
  </si>
  <si>
    <t>Total average</t>
  </si>
  <si>
    <t>Score ambition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</si>
</sst>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sz val="1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39">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9"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7"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10"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14" fillId="8" borderId="1" xfId="0" applyFont="1" applyFill="1" applyBorder="1" applyAlignment="1">
      <alignment vertical="center" wrapText="1"/>
    </xf>
    <xf numFmtId="0" fontId="4" fillId="4" borderId="1" xfId="0" applyFont="1" applyFill="1" applyBorder="1" applyAlignment="1">
      <alignment vertical="center" wrapText="1"/>
    </xf>
    <xf numFmtId="0" fontId="15" fillId="2" borderId="1" xfId="0" applyFont="1" applyFill="1" applyBorder="1" applyAlignment="1">
      <alignment vertical="center" wrapText="1"/>
    </xf>
    <xf numFmtId="0" fontId="10" fillId="7" borderId="1" xfId="0" applyFont="1" applyFill="1" applyBorder="1" applyAlignment="1">
      <alignment vertical="center" wrapText="1"/>
    </xf>
    <xf numFmtId="0" fontId="8" fillId="0" borderId="0" xfId="0" applyFont="1" applyAlignment="1">
      <alignment vertical="center"/>
    </xf>
    <xf numFmtId="0" fontId="13" fillId="0" borderId="0" xfId="0" applyFont="1" applyAlignment="1">
      <alignment vertical="center" wrapText="1"/>
    </xf>
    <xf numFmtId="0" fontId="4"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1" xfId="0" quotePrefix="1" applyBorder="1" applyAlignment="1">
      <alignment vertical="center" wrapText="1"/>
    </xf>
    <xf numFmtId="0" fontId="16" fillId="2" borderId="1" xfId="0" applyFont="1" applyFill="1" applyBorder="1" applyAlignment="1">
      <alignment vertical="center" wrapText="1"/>
    </xf>
    <xf numFmtId="0" fontId="11" fillId="4" borderId="1" xfId="0" applyFont="1" applyFill="1" applyBorder="1" applyAlignment="1">
      <alignment vertical="center" wrapText="1"/>
    </xf>
    <xf numFmtId="0" fontId="12" fillId="7" borderId="1" xfId="0" applyFont="1" applyFill="1" applyBorder="1" applyAlignment="1">
      <alignment vertical="center" wrapText="1"/>
    </xf>
    <xf numFmtId="0" fontId="11" fillId="8" borderId="1" xfId="0" applyFont="1" applyFill="1" applyBorder="1" applyAlignment="1">
      <alignment vertical="center" wrapText="1"/>
    </xf>
    <xf numFmtId="0" fontId="11" fillId="9" borderId="1" xfId="0" applyFont="1" applyFill="1" applyBorder="1" applyAlignment="1">
      <alignment vertical="center" wrapText="1"/>
    </xf>
    <xf numFmtId="0" fontId="11" fillId="10" borderId="1" xfId="0" applyFont="1" applyFill="1" applyBorder="1" applyAlignment="1">
      <alignment vertical="center" wrapText="1"/>
    </xf>
    <xf numFmtId="0" fontId="12" fillId="11" borderId="1" xfId="0" applyFont="1" applyFill="1" applyBorder="1" applyAlignment="1">
      <alignment vertical="center" wrapText="1"/>
    </xf>
    <xf numFmtId="0" fontId="17"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6" fillId="2" borderId="2"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36" xfId="0" quotePrefix="1" applyFont="1" applyBorder="1" applyAlignment="1">
      <alignment horizontal="left" vertical="center" wrapText="1"/>
    </xf>
    <xf numFmtId="0" fontId="7" fillId="0" borderId="35" xfId="0" quotePrefix="1" applyFont="1" applyBorder="1" applyAlignment="1">
      <alignment horizontal="left" vertical="center" wrapText="1"/>
    </xf>
    <xf numFmtId="0" fontId="7" fillId="0" borderId="37" xfId="0" quotePrefix="1" applyFont="1" applyBorder="1" applyAlignment="1">
      <alignment horizontal="left" vertical="center" wrapText="1"/>
    </xf>
    <xf numFmtId="0" fontId="7" fillId="0" borderId="38" xfId="0" quotePrefix="1" applyFont="1" applyBorder="1" applyAlignment="1">
      <alignment horizontal="left" vertical="center" wrapText="1"/>
    </xf>
    <xf numFmtId="0" fontId="7" fillId="0" borderId="0" xfId="0" quotePrefix="1" applyFont="1" applyAlignment="1">
      <alignment horizontal="left" vertical="center" wrapText="1"/>
    </xf>
    <xf numFmtId="0" fontId="7" fillId="0" borderId="39" xfId="0" quotePrefix="1" applyFont="1" applyBorder="1" applyAlignment="1">
      <alignment horizontal="left" vertical="center" wrapText="1"/>
    </xf>
    <xf numFmtId="0" fontId="7" fillId="0" borderId="40" xfId="0" quotePrefix="1" applyFont="1" applyBorder="1" applyAlignment="1">
      <alignment horizontal="left" vertical="center" wrapText="1"/>
    </xf>
    <xf numFmtId="0" fontId="7" fillId="0" borderId="41" xfId="0" quotePrefix="1" applyFont="1" applyBorder="1" applyAlignment="1">
      <alignment horizontal="left" vertical="center" wrapText="1"/>
    </xf>
    <xf numFmtId="0" fontId="7" fillId="0" borderId="42" xfId="0" quotePrefix="1"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skills versus ambition</a:t>
            </a:r>
          </a:p>
        </c:rich>
      </c:tx>
      <c:layout>
        <c:manualLayout>
          <c:xMode val="edge"/>
          <c:yMode val="edge"/>
          <c:x val="0.28145555405368583"/>
          <c:y val="2.9197080291970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Current</c:v>
          </c:tx>
          <c:spPr>
            <a:ln w="28575" cap="rnd">
              <a:solidFill>
                <a:schemeClr val="accent6"/>
              </a:solidFill>
              <a:round/>
            </a:ln>
            <a:effectLst/>
          </c:spPr>
          <c:marker>
            <c:symbol val="none"/>
          </c:marker>
          <c:cat>
            <c:strRef>
              <c:f>('Results (DO NOT EDIT!!)'!$B$1,'Results (DO NOT EDIT!!)'!$H$1,'Results (DO NOT EDIT!!)'!$N$1,'Results (DO NOT EDIT!!)'!$T$1,'Results (DO NOT EDIT!!)'!$Y$1,'Results (DO NOT EDIT!!)'!$AD$1)</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EDIT!!)'!$G$5,'Results (DO NOT EDIT!!)'!$M$5,'Results (DO NOT EDIT!!)'!$S$5,'Results (DO NOT EDIT!!)'!$X$5,'Results (DO NOT EDIT!!)'!$AC$5,'Results (DO NOT EDIT!!)'!$AH$5)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Ambition</c:v>
          </c:tx>
          <c:spPr>
            <a:ln w="28575" cap="rnd">
              <a:solidFill>
                <a:schemeClr val="accent5"/>
              </a:solidFill>
              <a:round/>
            </a:ln>
            <a:effectLst/>
          </c:spPr>
          <c:marker>
            <c:symbol val="none"/>
          </c:marker>
          <c:cat>
            <c:strRef>
              <c:f>('Results (DO NOT EDIT!!)'!$B$1,'Results (DO NOT EDIT!!)'!$H$1,'Results (DO NOT EDIT!!)'!$N$1,'Results (DO NOT EDIT!!)'!$T$1,'Results (DO NOT EDIT!!)'!$Y$1,'Results (DO NOT EDIT!!)'!$AD$1)</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EDIT!!)'!$G$8,'Results (DO NOT EDIT!!)'!$M$8,'Results (DO NOT EDIT!!)'!$S$8,'Results (DO NOT EDIT!!)'!$X$8,'Results (DO NOT EDIT!!)'!$AC$8,'Results (DO NOT EDIT!!)'!$AH$8)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Ambition</c:v>
          </c:tx>
          <c:spPr>
            <a:ln w="28575" cap="rnd">
              <a:solidFill>
                <a:schemeClr val="accent5"/>
              </a:solidFill>
              <a:round/>
            </a:ln>
            <a:effectLst/>
          </c:spPr>
          <c:marker>
            <c:symbol val="none"/>
          </c:marker>
          <c:cat>
            <c:strRef>
              <c:f>'Results (DO NOT EDIT!!)'!$B$2:$G$2</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EDIT!!)'!$H$2:$M$2</c:f>
              <c:strCache>
                <c:ptCount val="6"/>
                <c:pt idx="0">
                  <c:v>Domain knowledge</c:v>
                </c:pt>
                <c:pt idx="1">
                  <c:v>Data architecture</c:v>
                </c:pt>
                <c:pt idx="2">
                  <c:v>Computer science</c:v>
                </c:pt>
                <c:pt idx="3">
                  <c:v>Data governance (+GDPR + Ethics)</c:v>
                </c:pt>
                <c:pt idx="4">
                  <c:v>Data quality</c:v>
                </c:pt>
                <c:pt idx="5">
                  <c:v>Security</c:v>
                </c:pt>
              </c:strCache>
            </c:strRef>
          </c:cat>
          <c:val>
            <c:numRef>
              <c:f>'Results (DO NOT EDIT!!)'!$H$4:$M$4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121-458C-ABA3-856BD7FC94F5}"/>
            </c:ext>
          </c:extLst>
        </c:ser>
        <c:ser>
          <c:idx val="1"/>
          <c:order val="1"/>
          <c:tx>
            <c:v>Ambition</c:v>
          </c:tx>
          <c:spPr>
            <a:ln w="28575" cap="rnd">
              <a:solidFill>
                <a:schemeClr val="accent5"/>
              </a:solidFill>
              <a:round/>
            </a:ln>
            <a:effectLst/>
          </c:spPr>
          <c:marker>
            <c:symbol val="none"/>
          </c:marker>
          <c:cat>
            <c:strRef>
              <c:f>'Results (DO NOT EDIT!!)'!$H$2:$M$2</c:f>
              <c:strCache>
                <c:ptCount val="6"/>
                <c:pt idx="0">
                  <c:v>Domain knowledge</c:v>
                </c:pt>
                <c:pt idx="1">
                  <c:v>Data architecture</c:v>
                </c:pt>
                <c:pt idx="2">
                  <c:v>Computer science</c:v>
                </c:pt>
                <c:pt idx="3">
                  <c:v>Data governance (+GDPR + Ethics)</c:v>
                </c:pt>
                <c:pt idx="4">
                  <c:v>Data quality</c:v>
                </c:pt>
                <c:pt idx="5">
                  <c:v>Security</c:v>
                </c:pt>
              </c:strCache>
            </c:strRef>
          </c:cat>
          <c:val>
            <c:numRef>
              <c:f>'Results (DO NOT EDIT!!)'!$H$7:$M$7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EDIT!!)'!$N$2:$S$2</c:f>
              <c:strCache>
                <c:ptCount val="6"/>
                <c:pt idx="0">
                  <c:v>Programming</c:v>
                </c:pt>
                <c:pt idx="1">
                  <c:v>Data processing</c:v>
                </c:pt>
                <c:pt idx="2">
                  <c:v>Testing and deployments</c:v>
                </c:pt>
                <c:pt idx="3">
                  <c:v>Infrastructure and cloud solutions</c:v>
                </c:pt>
                <c:pt idx="4">
                  <c:v>Data modeling</c:v>
                </c:pt>
                <c:pt idx="5">
                  <c:v>Virtualization and containerization</c:v>
                </c:pt>
              </c:strCache>
            </c:strRef>
          </c:cat>
          <c:val>
            <c:numRef>
              <c:f>'Results (DO NOT EDIT!!)'!$N$4:$S$4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4D2-4679-8459-1DD705E21CE1}"/>
            </c:ext>
          </c:extLst>
        </c:ser>
        <c:ser>
          <c:idx val="1"/>
          <c:order val="1"/>
          <c:tx>
            <c:v>Ambition</c:v>
          </c:tx>
          <c:spPr>
            <a:ln w="28575" cap="rnd">
              <a:solidFill>
                <a:schemeClr val="accent5"/>
              </a:solidFill>
              <a:round/>
            </a:ln>
            <a:effectLst/>
          </c:spPr>
          <c:marker>
            <c:symbol val="none"/>
          </c:marker>
          <c:cat>
            <c:strRef>
              <c:f>'Results (DO NOT EDIT!!)'!$N$2:$S$2</c:f>
              <c:strCache>
                <c:ptCount val="6"/>
                <c:pt idx="0">
                  <c:v>Programming</c:v>
                </c:pt>
                <c:pt idx="1">
                  <c:v>Data processing</c:v>
                </c:pt>
                <c:pt idx="2">
                  <c:v>Testing and deployments</c:v>
                </c:pt>
                <c:pt idx="3">
                  <c:v>Infrastructure and cloud solutions</c:v>
                </c:pt>
                <c:pt idx="4">
                  <c:v>Data modeling</c:v>
                </c:pt>
                <c:pt idx="5">
                  <c:v>Virtualization and containerization</c:v>
                </c:pt>
              </c:strCache>
            </c:strRef>
          </c:cat>
          <c:val>
            <c:numRef>
              <c:f>'Results (DO NOT EDIT!!)'!$N$7:$S$7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EDIT!!)'!$T$2:$X$2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EDIT!!)'!$T$4:$X$4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Ambition</c:v>
          </c:tx>
          <c:spPr>
            <a:ln w="28575" cap="rnd">
              <a:solidFill>
                <a:schemeClr val="accent5"/>
              </a:solidFill>
              <a:round/>
            </a:ln>
            <a:effectLst/>
          </c:spPr>
          <c:marker>
            <c:symbol val="none"/>
          </c:marker>
          <c:cat>
            <c:strRef>
              <c:f>'Results (DO NOT EDIT!!)'!$T$2:$X$2</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Spread current versus ambition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'Results (DO NOT EDIT!!)'!$A$7</c:f>
              <c:strCache>
                <c:ptCount val="1"/>
                <c:pt idx="0">
                  <c:v>Score ambition</c:v>
                </c:pt>
              </c:strCache>
            </c:strRef>
          </c:tx>
          <c:spPr>
            <a:solidFill>
              <a:schemeClr val="accent6"/>
            </a:solidFill>
            <a:ln w="25400">
              <a:noFill/>
            </a:ln>
            <a:effectLst/>
          </c:spPr>
          <c:cat>
            <c:strRef>
              <c:f>'Results (DO NOT EDIT!!)'!$B$2:$AH$2</c:f>
              <c:strCache>
                <c:ptCount val="33"/>
                <c:pt idx="0">
                  <c:v>Learning &amp; reflection</c:v>
                </c:pt>
                <c:pt idx="1">
                  <c:v>Support &amp; collaboration</c:v>
                </c:pt>
                <c:pt idx="2">
                  <c:v>Entrepreneurial &amp; result-oriented</c:v>
                </c:pt>
                <c:pt idx="3">
                  <c:v>Customer-oriented</c:v>
                </c:pt>
                <c:pt idx="4">
                  <c:v>Knowledge sharing</c:v>
                </c:pt>
                <c:pt idx="5">
                  <c:v>Coaching &amp; guidance</c:v>
                </c:pt>
                <c:pt idx="6">
                  <c:v>Domain knowledge</c:v>
                </c:pt>
                <c:pt idx="7">
                  <c:v>Data architecture</c:v>
                </c:pt>
                <c:pt idx="8">
                  <c:v>Computer science</c:v>
                </c:pt>
                <c:pt idx="9">
                  <c:v>Data governance (+GDPR + Ethics)</c:v>
                </c:pt>
                <c:pt idx="10">
                  <c:v>Data quality</c:v>
                </c:pt>
                <c:pt idx="11">
                  <c:v>Security</c:v>
                </c:pt>
                <c:pt idx="12">
                  <c:v>Programming</c:v>
                </c:pt>
                <c:pt idx="13">
                  <c:v>Data processing</c:v>
                </c:pt>
                <c:pt idx="14">
                  <c:v>Testing and deployments</c:v>
                </c:pt>
                <c:pt idx="15">
                  <c:v>Infrastructure and cloud solutions</c:v>
                </c:pt>
                <c:pt idx="16">
                  <c:v>Data modeling</c:v>
                </c:pt>
                <c:pt idx="17">
                  <c:v>Virtualization and containerization</c:v>
                </c:pt>
                <c:pt idx="18">
                  <c:v>Advising</c:v>
                </c:pt>
                <c:pt idx="19">
                  <c:v>Decisive &amp; problem-solving </c:v>
                </c:pt>
                <c:pt idx="20">
                  <c:v>Interpersonal communication</c:v>
                </c:pt>
                <c:pt idx="21">
                  <c:v>Expectation management</c:v>
                </c:pt>
                <c:pt idx="22">
                  <c:v>Written and oral communication</c:v>
                </c:pt>
                <c:pt idx="23">
                  <c:v>Organizational and management identification</c:v>
                </c:pt>
                <c:pt idx="24">
                  <c:v>Strategic conceptualization</c:v>
                </c:pt>
                <c:pt idx="25">
                  <c:v>Project management</c:v>
                </c:pt>
                <c:pt idx="26">
                  <c:v>Change management</c:v>
                </c:pt>
                <c:pt idx="27">
                  <c:v>Leadership</c:v>
                </c:pt>
                <c:pt idx="28">
                  <c:v>Situational communication</c:v>
                </c:pt>
                <c:pt idx="29">
                  <c:v>Goal-oriented &amp; effective communication</c:v>
                </c:pt>
                <c:pt idx="30">
                  <c:v>Decision-making</c:v>
                </c:pt>
                <c:pt idx="31">
                  <c:v>Persuading &amp; influencing</c:v>
                </c:pt>
                <c:pt idx="32">
                  <c:v>Constructive (negative) feedback &amp; bad news conversations</c:v>
                </c:pt>
              </c:strCache>
            </c:strRef>
          </c:cat>
          <c:val>
            <c:numRef>
              <c:f>'Results (DO NOT EDIT!!)'!$B$7:$AH$7</c:f>
              <c:numCache>
                <c:formatCode>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C510-45C6-AE4C-93012B94423C}"/>
            </c:ext>
          </c:extLst>
        </c:ser>
        <c:ser>
          <c:idx val="1"/>
          <c:order val="1"/>
          <c:tx>
            <c:strRef>
              <c:f>'Results (DO NOT EDIT!!)'!$A$4</c:f>
              <c:strCache>
                <c:ptCount val="1"/>
                <c:pt idx="0">
                  <c:v>Score current situation</c:v>
                </c:pt>
              </c:strCache>
            </c:strRef>
          </c:tx>
          <c:spPr>
            <a:solidFill>
              <a:schemeClr val="accent5"/>
            </a:solidFill>
            <a:ln w="25400">
              <a:noFill/>
            </a:ln>
            <a:effectLst/>
          </c:spPr>
          <c:cat>
            <c:strRef>
              <c:f>'Results (DO NOT EDIT!!)'!$B$2:$AH$2</c:f>
              <c:strCache>
                <c:ptCount val="33"/>
                <c:pt idx="0">
                  <c:v>Learning &amp; reflection</c:v>
                </c:pt>
                <c:pt idx="1">
                  <c:v>Support &amp; collaboration</c:v>
                </c:pt>
                <c:pt idx="2">
                  <c:v>Entrepreneurial &amp; result-oriented</c:v>
                </c:pt>
                <c:pt idx="3">
                  <c:v>Customer-oriented</c:v>
                </c:pt>
                <c:pt idx="4">
                  <c:v>Knowledge sharing</c:v>
                </c:pt>
                <c:pt idx="5">
                  <c:v>Coaching &amp; guidance</c:v>
                </c:pt>
                <c:pt idx="6">
                  <c:v>Domain knowledge</c:v>
                </c:pt>
                <c:pt idx="7">
                  <c:v>Data architecture</c:v>
                </c:pt>
                <c:pt idx="8">
                  <c:v>Computer science</c:v>
                </c:pt>
                <c:pt idx="9">
                  <c:v>Data governance (+GDPR + Ethics)</c:v>
                </c:pt>
                <c:pt idx="10">
                  <c:v>Data quality</c:v>
                </c:pt>
                <c:pt idx="11">
                  <c:v>Security</c:v>
                </c:pt>
                <c:pt idx="12">
                  <c:v>Programming</c:v>
                </c:pt>
                <c:pt idx="13">
                  <c:v>Data processing</c:v>
                </c:pt>
                <c:pt idx="14">
                  <c:v>Testing and deployments</c:v>
                </c:pt>
                <c:pt idx="15">
                  <c:v>Infrastructure and cloud solutions</c:v>
                </c:pt>
                <c:pt idx="16">
                  <c:v>Data modeling</c:v>
                </c:pt>
                <c:pt idx="17">
                  <c:v>Virtualization and containerization</c:v>
                </c:pt>
                <c:pt idx="18">
                  <c:v>Advising</c:v>
                </c:pt>
                <c:pt idx="19">
                  <c:v>Decisive &amp; problem-solving </c:v>
                </c:pt>
                <c:pt idx="20">
                  <c:v>Interpersonal communication</c:v>
                </c:pt>
                <c:pt idx="21">
                  <c:v>Expectation management</c:v>
                </c:pt>
                <c:pt idx="22">
                  <c:v>Written and oral communication</c:v>
                </c:pt>
                <c:pt idx="23">
                  <c:v>Organizational and management identification</c:v>
                </c:pt>
                <c:pt idx="24">
                  <c:v>Strategic conceptualization</c:v>
                </c:pt>
                <c:pt idx="25">
                  <c:v>Project management</c:v>
                </c:pt>
                <c:pt idx="26">
                  <c:v>Change management</c:v>
                </c:pt>
                <c:pt idx="27">
                  <c:v>Leadership</c:v>
                </c:pt>
                <c:pt idx="28">
                  <c:v>Situational communication</c:v>
                </c:pt>
                <c:pt idx="29">
                  <c:v>Goal-oriented &amp; effective communication</c:v>
                </c:pt>
                <c:pt idx="30">
                  <c:v>Decision-making</c:v>
                </c:pt>
                <c:pt idx="31">
                  <c:v>Persuading &amp; influencing</c:v>
                </c:pt>
                <c:pt idx="32">
                  <c:v>Constructive (negative) feedback &amp; bad news conversations</c:v>
                </c:pt>
              </c:strCache>
            </c:strRef>
          </c:cat>
          <c:val>
            <c:numRef>
              <c:f>'Results (DO NOT EDIT!!)'!$B$4:$AH$4</c:f>
              <c:numCache>
                <c:formatCode>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'Results (DO NOT EDIT!!)'!$Y$2:$AC$2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EDIT!!)'!$Y$4:$AC$4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'Results (DO NOT EDIT!!)'!$Y$2:$AC$2</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Seniority per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c:v>
          </c:tx>
          <c:spPr>
            <a:solidFill>
              <a:schemeClr val="accent6"/>
            </a:solidFill>
            <a:ln>
              <a:noFill/>
            </a:ln>
            <a:effectLst/>
          </c:spPr>
          <c:invertIfNegative val="0"/>
          <c:cat>
            <c:strRef>
              <c:f>('Results (DO NOT EDIT!!)'!$B$1,'Results (DO NOT EDIT!!)'!$H$1,'Results (DO NOT EDIT!!)'!$N$1,'Results (DO NOT EDIT!!)'!$T$1,'Results (DO NOT EDIT!!)'!$Y$1)</c:f>
              <c:strCache>
                <c:ptCount val="5"/>
                <c:pt idx="0">
                  <c:v>Digital Power Basic Skills</c:v>
                </c:pt>
                <c:pt idx="1">
                  <c:v>Domain skills</c:v>
                </c:pt>
                <c:pt idx="2">
                  <c:v>Hardskills</c:v>
                </c:pt>
                <c:pt idx="3">
                  <c:v>Basic Consultancy Skills</c:v>
                </c:pt>
                <c:pt idx="4">
                  <c:v>Business Skills</c:v>
                </c:pt>
              </c:strCache>
            </c:strRef>
          </c:cat>
          <c:val>
            <c:numRef>
              <c:f>('Results (DO NOT EDIT!!)'!$G$5,'Results (DO NOT EDIT!!)'!$M$5,'Results (DO NOT EDIT!!)'!$S$5,'Results (DO NOT EDIT!!)'!$X$5,'Results (DO NOT EDIT!!)'!$AC$5,'Results (DO NOT EDIT!!)'!$AH$5)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EDIT!!)'!$AD$2:$AH$2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EDIT!!)'!$AD$4:$AH$4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Ambition</c:v>
          </c:tx>
          <c:spPr>
            <a:ln w="28575" cap="rnd">
              <a:solidFill>
                <a:schemeClr val="accent5"/>
              </a:solidFill>
              <a:round/>
            </a:ln>
            <a:effectLst/>
          </c:spPr>
          <c:marker>
            <c:symbol val="none"/>
          </c:marker>
          <c:cat>
            <c:strRef>
              <c:f>'Results (DO NOT EDIT!!)'!$AD$2:$AH$2</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Domeinkennis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Data architectuur</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D38A169C-73FA-404F-BBC1-E58D54FDBE12}">
      <dgm:prSet phldrT="[Tekst]" custT="1"/>
      <dgm:spPr/>
      <dgm:t>
        <a:bodyPr/>
        <a:lstStyle/>
        <a:p>
          <a:r>
            <a:rPr lang="nl-NL" sz="900"/>
            <a:t>Programmeren</a:t>
          </a:r>
        </a:p>
      </dgm:t>
    </dgm:pt>
    <dgm:pt modelId="{972BF931-FB6A-47EF-8701-10AC9CDA14F0}" type="parTrans" cxnId="{3FCEE895-271C-4136-B426-FE7F1582CEF1}">
      <dgm:prSet/>
      <dgm:spPr/>
      <dgm:t>
        <a:bodyPr/>
        <a:lstStyle/>
        <a:p>
          <a:endParaRPr lang="nl-NL" sz="2400"/>
        </a:p>
      </dgm:t>
    </dgm:pt>
    <dgm:pt modelId="{A99A1C84-B8AD-4CE4-944A-AF6FBA84AD6E}" type="sibTrans" cxnId="{3FCEE895-271C-4136-B426-FE7F1582CEF1}">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2E74F255-0627-4F2A-AACE-2E62E4992A4E}">
      <dgm:prSet phldrT="[Tekst]" custT="1"/>
      <dgm:spPr/>
      <dgm:t>
        <a:bodyPr/>
        <a:lstStyle/>
        <a:p>
          <a:r>
            <a:rPr lang="nl-NL" sz="900"/>
            <a:t>Informatica</a:t>
          </a:r>
        </a:p>
      </dgm:t>
    </dgm:pt>
    <dgm:pt modelId="{31D5741A-A5D5-4B15-91E0-6030CB113867}" type="parTrans" cxnId="{A2D37EED-A2E2-472A-A21B-AD9E69D5F26F}">
      <dgm:prSet/>
      <dgm:spPr/>
      <dgm:t>
        <a:bodyPr/>
        <a:lstStyle/>
        <a:p>
          <a:endParaRPr lang="nl-NL"/>
        </a:p>
      </dgm:t>
    </dgm:pt>
    <dgm:pt modelId="{E4DE0FF7-42E2-48A8-9B88-A833B7E7CECE}" type="sibTrans" cxnId="{A2D37EED-A2E2-472A-A21B-AD9E69D5F26F}">
      <dgm:prSet/>
      <dgm:spPr/>
      <dgm:t>
        <a:bodyPr/>
        <a:lstStyle/>
        <a:p>
          <a:endParaRPr lang="nl-NL"/>
        </a:p>
      </dgm:t>
    </dgm:pt>
    <dgm:pt modelId="{A4C25D60-29B6-49CA-9FAD-CC24BBF008AC}">
      <dgm:prSet phldrT="[Tekst]" custT="1"/>
      <dgm:spPr/>
      <dgm:t>
        <a:bodyPr/>
        <a:lstStyle/>
        <a:p>
          <a:r>
            <a:rPr lang="nl-NL" sz="900"/>
            <a:t>Data governance</a:t>
          </a:r>
        </a:p>
      </dgm:t>
    </dgm:pt>
    <dgm:pt modelId="{161371CD-0CF7-497C-95C8-3A92E29C1107}" type="parTrans" cxnId="{7CDDBCFF-7243-47E8-8F42-89797FF279B0}">
      <dgm:prSet/>
      <dgm:spPr/>
      <dgm:t>
        <a:bodyPr/>
        <a:lstStyle/>
        <a:p>
          <a:endParaRPr lang="nl-NL"/>
        </a:p>
      </dgm:t>
    </dgm:pt>
    <dgm:pt modelId="{5E44C30B-4110-4915-902C-9BDAC2D97890}" type="sibTrans" cxnId="{7CDDBCFF-7243-47E8-8F42-89797FF279B0}">
      <dgm:prSet/>
      <dgm:spPr/>
      <dgm:t>
        <a:bodyPr/>
        <a:lstStyle/>
        <a:p>
          <a:endParaRPr lang="nl-NL"/>
        </a:p>
      </dgm:t>
    </dgm:pt>
    <dgm:pt modelId="{BF604F3B-6E2C-437A-A56D-07E38EEAF407}">
      <dgm:prSet phldrT="[Tekst]" custT="1"/>
      <dgm:spPr/>
      <dgm:t>
        <a:bodyPr/>
        <a:lstStyle/>
        <a:p>
          <a:r>
            <a:rPr lang="nl-NL" sz="900"/>
            <a:t>Data kwaliteit</a:t>
          </a:r>
        </a:p>
      </dgm:t>
    </dgm:pt>
    <dgm:pt modelId="{4AC39846-CE22-469F-9E32-64D4D274A718}" type="parTrans" cxnId="{CFFD6ABB-CD5D-487F-BB53-23A43853FE87}">
      <dgm:prSet/>
      <dgm:spPr/>
      <dgm:t>
        <a:bodyPr/>
        <a:lstStyle/>
        <a:p>
          <a:endParaRPr lang="nl-NL"/>
        </a:p>
      </dgm:t>
    </dgm:pt>
    <dgm:pt modelId="{C3E1A71A-1D81-462E-9AFB-0A351091E5B3}" type="sibTrans" cxnId="{CFFD6ABB-CD5D-487F-BB53-23A43853FE87}">
      <dgm:prSet/>
      <dgm:spPr/>
      <dgm:t>
        <a:bodyPr/>
        <a:lstStyle/>
        <a:p>
          <a:endParaRPr lang="nl-NL"/>
        </a:p>
      </dgm:t>
    </dgm:pt>
    <dgm:pt modelId="{1414449C-F996-4D1E-9556-A6DB79195914}">
      <dgm:prSet phldrT="[Tekst]" custT="1"/>
      <dgm:spPr/>
      <dgm:t>
        <a:bodyPr/>
        <a:lstStyle/>
        <a:p>
          <a:r>
            <a:rPr lang="nl-NL" sz="900"/>
            <a:t>Beveiliging</a:t>
          </a:r>
        </a:p>
      </dgm:t>
    </dgm:pt>
    <dgm:pt modelId="{44B32809-6D40-4693-9A68-4CC44E1D5E33}" type="parTrans" cxnId="{CC9355ED-0211-478E-832D-5804129CC800}">
      <dgm:prSet/>
      <dgm:spPr/>
      <dgm:t>
        <a:bodyPr/>
        <a:lstStyle/>
        <a:p>
          <a:endParaRPr lang="nl-NL"/>
        </a:p>
      </dgm:t>
    </dgm:pt>
    <dgm:pt modelId="{E84E934D-7499-4E4A-BC6D-A601F6E3EEB7}" type="sibTrans" cxnId="{CC9355ED-0211-478E-832D-5804129CC800}">
      <dgm:prSet/>
      <dgm:spPr/>
      <dgm:t>
        <a:bodyPr/>
        <a:lstStyle/>
        <a:p>
          <a:endParaRPr lang="nl-NL"/>
        </a:p>
      </dgm:t>
    </dgm:pt>
    <dgm:pt modelId="{4B203CF3-58F6-467F-A58F-101BF89AA34A}">
      <dgm:prSet phldrT="[Tekst]" custT="1"/>
      <dgm:spPr/>
      <dgm:t>
        <a:bodyPr/>
        <a:lstStyle/>
        <a:p>
          <a:r>
            <a:rPr lang="nl-NL" sz="900"/>
            <a:t>Data verwerking</a:t>
          </a:r>
        </a:p>
      </dgm:t>
    </dgm:pt>
    <dgm:pt modelId="{97F0BBAB-9E05-4A76-8AFE-BD05077943EB}" type="parTrans" cxnId="{E115A63A-7F97-4315-82E6-A3234547C509}">
      <dgm:prSet/>
      <dgm:spPr/>
      <dgm:t>
        <a:bodyPr/>
        <a:lstStyle/>
        <a:p>
          <a:endParaRPr lang="nl-NL"/>
        </a:p>
      </dgm:t>
    </dgm:pt>
    <dgm:pt modelId="{1AE1ECCC-BFD7-498D-B1A0-43CBD5F99616}" type="sibTrans" cxnId="{E115A63A-7F97-4315-82E6-A3234547C509}">
      <dgm:prSet/>
      <dgm:spPr/>
      <dgm:t>
        <a:bodyPr/>
        <a:lstStyle/>
        <a:p>
          <a:endParaRPr lang="nl-NL"/>
        </a:p>
      </dgm:t>
    </dgm:pt>
    <dgm:pt modelId="{C5E5184A-8FDC-42CD-93E9-3B50F3DA9325}">
      <dgm:prSet phldrT="[Tekst]" custT="1"/>
      <dgm:spPr/>
      <dgm:t>
        <a:bodyPr/>
        <a:lstStyle/>
        <a:p>
          <a:r>
            <a:rPr lang="nl-NL" sz="900"/>
            <a:t>Testen &amp; deployments</a:t>
          </a:r>
        </a:p>
      </dgm:t>
    </dgm:pt>
    <dgm:pt modelId="{C4D7E12A-AA6A-4A89-8FCB-7FC7EEAB30D6}" type="parTrans" cxnId="{2F29C7F3-5744-4F4C-AB5C-4DE9DD791904}">
      <dgm:prSet/>
      <dgm:spPr/>
      <dgm:t>
        <a:bodyPr/>
        <a:lstStyle/>
        <a:p>
          <a:endParaRPr lang="nl-NL"/>
        </a:p>
      </dgm:t>
    </dgm:pt>
    <dgm:pt modelId="{7D56DE70-DF82-4199-B04B-C9BA49CFB7F2}" type="sibTrans" cxnId="{2F29C7F3-5744-4F4C-AB5C-4DE9DD791904}">
      <dgm:prSet/>
      <dgm:spPr/>
      <dgm:t>
        <a:bodyPr/>
        <a:lstStyle/>
        <a:p>
          <a:endParaRPr lang="nl-NL"/>
        </a:p>
      </dgm:t>
    </dgm:pt>
    <dgm:pt modelId="{22D01AA1-B8AD-41D0-99F6-BD0BE9C6E470}">
      <dgm:prSet phldrT="[Tekst]" custT="1"/>
      <dgm:spPr/>
      <dgm:t>
        <a:bodyPr/>
        <a:lstStyle/>
        <a:p>
          <a:r>
            <a:rPr lang="nl-NL" sz="900"/>
            <a:t>Infrastructuur &amp; cloud oplossingen</a:t>
          </a:r>
        </a:p>
      </dgm:t>
    </dgm:pt>
    <dgm:pt modelId="{11D8F7F7-F6EE-4FB9-9C58-9EF9C5AD842F}" type="parTrans" cxnId="{CED83E50-2E41-479A-AE7B-3FCF3757B83F}">
      <dgm:prSet/>
      <dgm:spPr/>
      <dgm:t>
        <a:bodyPr/>
        <a:lstStyle/>
        <a:p>
          <a:endParaRPr lang="nl-NL"/>
        </a:p>
      </dgm:t>
    </dgm:pt>
    <dgm:pt modelId="{18311AC0-D1B0-4C2F-8669-2D31C632A937}" type="sibTrans" cxnId="{CED83E50-2E41-479A-AE7B-3FCF3757B83F}">
      <dgm:prSet/>
      <dgm:spPr/>
      <dgm:t>
        <a:bodyPr/>
        <a:lstStyle/>
        <a:p>
          <a:endParaRPr lang="nl-NL"/>
        </a:p>
      </dgm:t>
    </dgm:pt>
    <dgm:pt modelId="{20C2B1D1-A7F5-4033-85BB-CA32FEA2D6C4}">
      <dgm:prSet phldrT="[Tekst]" custT="1"/>
      <dgm:spPr/>
      <dgm:t>
        <a:bodyPr/>
        <a:lstStyle/>
        <a:p>
          <a:r>
            <a:rPr lang="nl-NL" sz="900"/>
            <a:t>Data modelleren</a:t>
          </a:r>
        </a:p>
      </dgm:t>
    </dgm:pt>
    <dgm:pt modelId="{E6DF7BE8-13F2-40AF-A6D1-374B1F27AB4E}" type="parTrans" cxnId="{DABC17D5-F888-4D05-A49F-76532A23AAFC}">
      <dgm:prSet/>
      <dgm:spPr/>
      <dgm:t>
        <a:bodyPr/>
        <a:lstStyle/>
        <a:p>
          <a:endParaRPr lang="nl-NL"/>
        </a:p>
      </dgm:t>
    </dgm:pt>
    <dgm:pt modelId="{B736EF13-6D30-490A-AD47-8DC9C90F0F24}" type="sibTrans" cxnId="{DABC17D5-F888-4D05-A49F-76532A23AAFC}">
      <dgm:prSet/>
      <dgm:spPr/>
      <dgm:t>
        <a:bodyPr/>
        <a:lstStyle/>
        <a:p>
          <a:endParaRPr lang="nl-NL"/>
        </a:p>
      </dgm:t>
    </dgm:pt>
    <dgm:pt modelId="{EAE6303D-5F81-469C-82E1-D83FD77C811B}">
      <dgm:prSet phldrT="[Tekst]" custT="1"/>
      <dgm:spPr/>
      <dgm:t>
        <a:bodyPr/>
        <a:lstStyle/>
        <a:p>
          <a:r>
            <a:rPr lang="nl-NL" sz="900"/>
            <a:t>Virtualisatie &amp; containerisatie</a:t>
          </a:r>
        </a:p>
      </dgm:t>
    </dgm:pt>
    <dgm:pt modelId="{7F3B5ACB-87C6-42D2-898B-4894FC5D6A4E}" type="parTrans" cxnId="{4EE6C292-C003-4247-A88D-3FC9052966CD}">
      <dgm:prSet/>
      <dgm:spPr/>
      <dgm:t>
        <a:bodyPr/>
        <a:lstStyle/>
        <a:p>
          <a:endParaRPr lang="nl-NL"/>
        </a:p>
      </dgm:t>
    </dgm:pt>
    <dgm:pt modelId="{93AD13DD-AB4C-4AE7-B169-7A34AE49088E}" type="sibTrans" cxnId="{4EE6C292-C003-4247-A88D-3FC9052966CD}">
      <dgm:prSet/>
      <dgm:spPr/>
      <dgm:t>
        <a:bodyPr/>
        <a:lstStyle/>
        <a:p>
          <a:endParaRPr lang="nl-NL"/>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3">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3">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3">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3">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3">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3">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3">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3">
        <dgm:presLayoutVars>
          <dgm:bulletEnabled val="1"/>
        </dgm:presLayoutVars>
      </dgm:prSet>
      <dgm:spPr/>
    </dgm:pt>
    <dgm:pt modelId="{D367107A-E0F3-4662-86D0-A24CFBAFCFBD}" type="pres">
      <dgm:prSet presAssocID="{D216417B-8724-4A89-97D4-DE24FD728663}" presName="aSpace2" presStyleCnt="0"/>
      <dgm:spPr/>
    </dgm:pt>
    <dgm:pt modelId="{4B8E8D9D-B499-4F0F-9996-7D64449D10F2}" type="pres">
      <dgm:prSet presAssocID="{2E74F255-0627-4F2A-AACE-2E62E4992A4E}" presName="childNode" presStyleLbl="node1" presStyleIdx="8" presStyleCnt="33">
        <dgm:presLayoutVars>
          <dgm:bulletEnabled val="1"/>
        </dgm:presLayoutVars>
      </dgm:prSet>
      <dgm:spPr/>
    </dgm:pt>
    <dgm:pt modelId="{9F63D948-D2A5-44DB-979C-6708655617C8}" type="pres">
      <dgm:prSet presAssocID="{2E74F255-0627-4F2A-AACE-2E62E4992A4E}" presName="aSpace2" presStyleCnt="0"/>
      <dgm:spPr/>
    </dgm:pt>
    <dgm:pt modelId="{CA09ED49-F2C0-4756-9943-A171D0CE475A}" type="pres">
      <dgm:prSet presAssocID="{A4C25D60-29B6-49CA-9FAD-CC24BBF008AC}" presName="childNode" presStyleLbl="node1" presStyleIdx="9" presStyleCnt="33">
        <dgm:presLayoutVars>
          <dgm:bulletEnabled val="1"/>
        </dgm:presLayoutVars>
      </dgm:prSet>
      <dgm:spPr/>
    </dgm:pt>
    <dgm:pt modelId="{934E5FE0-5B1C-4F8D-8A8B-840DEBF21503}" type="pres">
      <dgm:prSet presAssocID="{A4C25D60-29B6-49CA-9FAD-CC24BBF008AC}" presName="aSpace2" presStyleCnt="0"/>
      <dgm:spPr/>
    </dgm:pt>
    <dgm:pt modelId="{73FBA52B-5B41-4B4F-A115-87C7645E43A1}" type="pres">
      <dgm:prSet presAssocID="{BF604F3B-6E2C-437A-A56D-07E38EEAF407}" presName="childNode" presStyleLbl="node1" presStyleIdx="10" presStyleCnt="33">
        <dgm:presLayoutVars>
          <dgm:bulletEnabled val="1"/>
        </dgm:presLayoutVars>
      </dgm:prSet>
      <dgm:spPr/>
    </dgm:pt>
    <dgm:pt modelId="{0F769504-2B9A-4AD5-A31A-08D00B6EDCB8}" type="pres">
      <dgm:prSet presAssocID="{BF604F3B-6E2C-437A-A56D-07E38EEAF407}" presName="aSpace2" presStyleCnt="0"/>
      <dgm:spPr/>
    </dgm:pt>
    <dgm:pt modelId="{4DF9E0A4-016F-41AB-9EF2-9306013932AD}" type="pres">
      <dgm:prSet presAssocID="{1414449C-F996-4D1E-9556-A6DB79195914}" presName="childNode" presStyleLbl="node1" presStyleIdx="11" presStyleCnt="33">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2" presStyleCnt="33">
        <dgm:presLayoutVars>
          <dgm:bulletEnabled val="1"/>
        </dgm:presLayoutVars>
      </dgm:prSet>
      <dgm:spPr/>
    </dgm:pt>
    <dgm:pt modelId="{DF1C0E16-9921-47F0-A6F2-1E91F143E5F6}" type="pres">
      <dgm:prSet presAssocID="{D38A169C-73FA-404F-BBC1-E58D54FDBE12}" presName="aSpace2" presStyleCnt="0"/>
      <dgm:spPr/>
    </dgm:pt>
    <dgm:pt modelId="{16E67993-C4C1-4F21-A4ED-0341212DEC4B}" type="pres">
      <dgm:prSet presAssocID="{4B203CF3-58F6-467F-A58F-101BF89AA34A}" presName="childNode" presStyleLbl="node1" presStyleIdx="13" presStyleCnt="33">
        <dgm:presLayoutVars>
          <dgm:bulletEnabled val="1"/>
        </dgm:presLayoutVars>
      </dgm:prSet>
      <dgm:spPr/>
    </dgm:pt>
    <dgm:pt modelId="{E5227385-2FA4-403A-9FF9-0DB4ACF7F48A}" type="pres">
      <dgm:prSet presAssocID="{4B203CF3-58F6-467F-A58F-101BF89AA34A}" presName="aSpace2" presStyleCnt="0"/>
      <dgm:spPr/>
    </dgm:pt>
    <dgm:pt modelId="{586171D3-A0EF-4AB5-884C-1205F269AA43}" type="pres">
      <dgm:prSet presAssocID="{C5E5184A-8FDC-42CD-93E9-3B50F3DA9325}" presName="childNode" presStyleLbl="node1" presStyleIdx="14" presStyleCnt="33">
        <dgm:presLayoutVars>
          <dgm:bulletEnabled val="1"/>
        </dgm:presLayoutVars>
      </dgm:prSet>
      <dgm:spPr/>
    </dgm:pt>
    <dgm:pt modelId="{1DAB7310-B09B-4420-8F3D-3BEE07FE1684}" type="pres">
      <dgm:prSet presAssocID="{C5E5184A-8FDC-42CD-93E9-3B50F3DA9325}" presName="aSpace2" presStyleCnt="0"/>
      <dgm:spPr/>
    </dgm:pt>
    <dgm:pt modelId="{2A672D25-7F6E-4A5B-82BD-FDC5C26B3088}" type="pres">
      <dgm:prSet presAssocID="{22D01AA1-B8AD-41D0-99F6-BD0BE9C6E470}" presName="childNode" presStyleLbl="node1" presStyleIdx="15" presStyleCnt="33">
        <dgm:presLayoutVars>
          <dgm:bulletEnabled val="1"/>
        </dgm:presLayoutVars>
      </dgm:prSet>
      <dgm:spPr/>
    </dgm:pt>
    <dgm:pt modelId="{C2C0A883-CCED-4187-8604-B35FCC01D6EB}" type="pres">
      <dgm:prSet presAssocID="{22D01AA1-B8AD-41D0-99F6-BD0BE9C6E470}" presName="aSpace2" presStyleCnt="0"/>
      <dgm:spPr/>
    </dgm:pt>
    <dgm:pt modelId="{0734C4A1-53E2-4AB6-BA72-1AEDF66C84FE}" type="pres">
      <dgm:prSet presAssocID="{20C2B1D1-A7F5-4033-85BB-CA32FEA2D6C4}" presName="childNode" presStyleLbl="node1" presStyleIdx="16" presStyleCnt="33">
        <dgm:presLayoutVars>
          <dgm:bulletEnabled val="1"/>
        </dgm:presLayoutVars>
      </dgm:prSet>
      <dgm:spPr/>
    </dgm:pt>
    <dgm:pt modelId="{12F6B500-7A59-4A17-A063-39F246E34DD4}" type="pres">
      <dgm:prSet presAssocID="{20C2B1D1-A7F5-4033-85BB-CA32FEA2D6C4}" presName="aSpace2" presStyleCnt="0"/>
      <dgm:spPr/>
    </dgm:pt>
    <dgm:pt modelId="{DFD48DD9-75CF-4D0E-834B-85C5266538F1}" type="pres">
      <dgm:prSet presAssocID="{EAE6303D-5F81-469C-82E1-D83FD77C811B}" presName="childNode" presStyleLbl="node1" presStyleIdx="17" presStyleCnt="33">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8" presStyleCnt="33">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9" presStyleCnt="33">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20" presStyleCnt="33">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21" presStyleCnt="33">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2" presStyleCnt="33">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3" presStyleCnt="33">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4" presStyleCnt="33">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5" presStyleCnt="33">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6" presStyleCnt="33">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7" presStyleCnt="33">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8" presStyleCnt="33">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9" presStyleCnt="33">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30" presStyleCnt="33">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31" presStyleCnt="33">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2" presStyleCnt="33">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7B5B200B-14BD-450C-9195-59C4F1E0F2E2}" type="presOf" srcId="{20C2B1D1-A7F5-4033-85BB-CA32FEA2D6C4}" destId="{0734C4A1-53E2-4AB6-BA72-1AEDF66C84FE}" srcOrd="0" destOrd="0" presId="urn:microsoft.com/office/officeart/2005/8/layout/lProcess2"/>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67520210-6B43-4104-88A4-60F11F682ABA}" type="presOf" srcId="{1414449C-F996-4D1E-9556-A6DB79195914}" destId="{4DF9E0A4-016F-41AB-9EF2-9306013932AD}"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4851D128-AC76-4C54-AE0C-7600E007B971}" type="presOf" srcId="{EAE6303D-5F81-469C-82E1-D83FD77C811B}" destId="{DFD48DD9-75CF-4D0E-834B-85C5266538F1}"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E115A63A-7F97-4315-82E6-A3234547C509}" srcId="{CB339438-8F81-4836-B0D6-39E445779B2D}" destId="{4B203CF3-58F6-467F-A58F-101BF89AA34A}" srcOrd="1" destOrd="0" parTransId="{97F0BBAB-9E05-4A76-8AFE-BD05077943EB}" sibTransId="{1AE1ECCC-BFD7-498D-B1A0-43CBD5F99616}"/>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CEF7FF65-9CC5-494E-B0B0-B99CE7EDE965}" type="presOf" srcId="{C5E5184A-8FDC-42CD-93E9-3B50F3DA9325}" destId="{586171D3-A0EF-4AB5-884C-1205F269AA43}"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CED83E50-2E41-479A-AE7B-3FCF3757B83F}" srcId="{CB339438-8F81-4836-B0D6-39E445779B2D}" destId="{22D01AA1-B8AD-41D0-99F6-BD0BE9C6E470}" srcOrd="3" destOrd="0" parTransId="{11D8F7F7-F6EE-4FB9-9C58-9EF9C5AD842F}" sibTransId="{18311AC0-D1B0-4C2F-8669-2D31C632A937}"/>
    <dgm:cxn modelId="{74623D71-615A-478D-B0F9-282913A11DDC}" type="presOf" srcId="{4B203CF3-58F6-467F-A58F-101BF89AA34A}" destId="{16E67993-C4C1-4F21-A4ED-0341212DEC4B}" srcOrd="0" destOrd="0" presId="urn:microsoft.com/office/officeart/2005/8/layout/lProcess2"/>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4EE6C292-C003-4247-A88D-3FC9052966CD}" srcId="{CB339438-8F81-4836-B0D6-39E445779B2D}" destId="{EAE6303D-5F81-469C-82E1-D83FD77C811B}" srcOrd="5" destOrd="0" parTransId="{7F3B5ACB-87C6-42D2-898B-4894FC5D6A4E}" sibTransId="{93AD13DD-AB4C-4AE7-B169-7A34AE49088E}"/>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5AD72A9B-F8F3-4294-8BF4-B71D2D76F631}" type="presOf" srcId="{2E74F255-0627-4F2A-AACE-2E62E4992A4E}" destId="{4B8E8D9D-B499-4F0F-9996-7D64449D10F2}" srcOrd="0" destOrd="0" presId="urn:microsoft.com/office/officeart/2005/8/layout/lProcess2"/>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C42109AE-1058-4619-9E5D-3EDCD7753B84}" type="presOf" srcId="{BF604F3B-6E2C-437A-A56D-07E38EEAF407}" destId="{73FBA52B-5B41-4B4F-A115-87C7645E43A1}"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CFFD6ABB-CD5D-487F-BB53-23A43853FE87}" srcId="{71C93146-8DBD-47BA-9B89-8D2FF25B6FDE}" destId="{BF604F3B-6E2C-437A-A56D-07E38EEAF407}" srcOrd="4" destOrd="0" parTransId="{4AC39846-CE22-469F-9E32-64D4D274A718}" sibTransId="{C3E1A71A-1D81-462E-9AFB-0A351091E5B3}"/>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DABC17D5-F888-4D05-A49F-76532A23AAFC}" srcId="{CB339438-8F81-4836-B0D6-39E445779B2D}" destId="{20C2B1D1-A7F5-4033-85BB-CA32FEA2D6C4}" srcOrd="4" destOrd="0" parTransId="{E6DF7BE8-13F2-40AF-A6D1-374B1F27AB4E}" sibTransId="{B736EF13-6D30-490A-AD47-8DC9C90F0F24}"/>
    <dgm:cxn modelId="{B9770FDA-37FF-43F8-A310-12FA30D16BC1}" srcId="{731B959C-F05A-4425-AA8A-A0CC576E0CD6}" destId="{E4529BFC-7FBA-401E-83DC-ED21706EC71E}" srcOrd="0" destOrd="0" parTransId="{75EC726F-0F1A-4A9A-AAA4-BA5A62E7EF13}" sibTransId="{2694060A-8504-46CC-B366-F826D32B011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CC9355ED-0211-478E-832D-5804129CC800}" srcId="{71C93146-8DBD-47BA-9B89-8D2FF25B6FDE}" destId="{1414449C-F996-4D1E-9556-A6DB79195914}" srcOrd="5" destOrd="0" parTransId="{44B32809-6D40-4693-9A68-4CC44E1D5E33}" sibTransId="{E84E934D-7499-4E4A-BC6D-A601F6E3EEB7}"/>
    <dgm:cxn modelId="{A2D37EED-A2E2-472A-A21B-AD9E69D5F26F}" srcId="{71C93146-8DBD-47BA-9B89-8D2FF25B6FDE}" destId="{2E74F255-0627-4F2A-AACE-2E62E4992A4E}" srcOrd="2" destOrd="0" parTransId="{31D5741A-A5D5-4B15-91E0-6030CB113867}" sibTransId="{E4DE0FF7-42E2-48A8-9B88-A833B7E7CECE}"/>
    <dgm:cxn modelId="{DF4930EE-E080-4A33-A5A2-D0A164B70308}" srcId="{39F506DE-50F1-49BE-9ED2-88EFDAE6F0E1}" destId="{C73CB937-E35C-46A7-A528-03AE78F9430B}" srcOrd="4" destOrd="0" parTransId="{4C4481EF-620D-4181-8F00-31DC7C846A66}" sibTransId="{CF0C6F57-028A-4F8B-9B40-15B58322102D}"/>
    <dgm:cxn modelId="{6A0CB9F2-C2B6-4335-8F68-7F72FEF8974B}" type="presOf" srcId="{22D01AA1-B8AD-41D0-99F6-BD0BE9C6E470}" destId="{2A672D25-7F6E-4A5B-82BD-FDC5C26B3088}" srcOrd="0" destOrd="0" presId="urn:microsoft.com/office/officeart/2005/8/layout/lProcess2"/>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2F29C7F3-5744-4F4C-AB5C-4DE9DD791904}" srcId="{CB339438-8F81-4836-B0D6-39E445779B2D}" destId="{C5E5184A-8FDC-42CD-93E9-3B50F3DA9325}" srcOrd="2" destOrd="0" parTransId="{C4D7E12A-AA6A-4A89-8FCB-7FC7EEAB30D6}" sibTransId="{7D56DE70-DF82-4199-B04B-C9BA49CFB7F2}"/>
    <dgm:cxn modelId="{59610FF8-9CCC-4D3B-8A93-D50614ADE9EB}" type="presOf" srcId="{A4C25D60-29B6-49CA-9FAD-CC24BBF008AC}" destId="{CA09ED49-F2C0-4756-9943-A171D0CE475A}" srcOrd="0" destOrd="0" presId="urn:microsoft.com/office/officeart/2005/8/layout/lProcess2"/>
    <dgm:cxn modelId="{7CDDBCFF-7243-47E8-8F42-89797FF279B0}" srcId="{71C93146-8DBD-47BA-9B89-8D2FF25B6FDE}" destId="{A4C25D60-29B6-49CA-9FAD-CC24BBF008AC}" srcOrd="3" destOrd="0" parTransId="{161371CD-0CF7-497C-95C8-3A92E29C1107}" sibTransId="{5E44C30B-4110-4915-902C-9BDAC2D97890}"/>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AC5ADC21-2853-484D-8C0B-A23182CEAEBF}" type="presParOf" srcId="{10201B17-1614-4D45-8D1F-E89E82CE147B}" destId="{4B8E8D9D-B499-4F0F-9996-7D64449D10F2}" srcOrd="4" destOrd="0" presId="urn:microsoft.com/office/officeart/2005/8/layout/lProcess2"/>
    <dgm:cxn modelId="{E1E680BF-0BD6-445E-8656-4FAC8D1C86B0}" type="presParOf" srcId="{10201B17-1614-4D45-8D1F-E89E82CE147B}" destId="{9F63D948-D2A5-44DB-979C-6708655617C8}" srcOrd="5" destOrd="0" presId="urn:microsoft.com/office/officeart/2005/8/layout/lProcess2"/>
    <dgm:cxn modelId="{F3C1040C-6363-4609-B22C-AB52B426EF33}" type="presParOf" srcId="{10201B17-1614-4D45-8D1F-E89E82CE147B}" destId="{CA09ED49-F2C0-4756-9943-A171D0CE475A}" srcOrd="6" destOrd="0" presId="urn:microsoft.com/office/officeart/2005/8/layout/lProcess2"/>
    <dgm:cxn modelId="{4B6C8448-20C5-4AE2-A6E0-7C726244001B}" type="presParOf" srcId="{10201B17-1614-4D45-8D1F-E89E82CE147B}" destId="{934E5FE0-5B1C-4F8D-8A8B-840DEBF21503}" srcOrd="7" destOrd="0" presId="urn:microsoft.com/office/officeart/2005/8/layout/lProcess2"/>
    <dgm:cxn modelId="{25520D19-826D-4FBE-9F32-13F33077A98B}" type="presParOf" srcId="{10201B17-1614-4D45-8D1F-E89E82CE147B}" destId="{73FBA52B-5B41-4B4F-A115-87C7645E43A1}" srcOrd="8" destOrd="0" presId="urn:microsoft.com/office/officeart/2005/8/layout/lProcess2"/>
    <dgm:cxn modelId="{CC66A710-E4FE-421B-BF7A-D44558B9DB5B}" type="presParOf" srcId="{10201B17-1614-4D45-8D1F-E89E82CE147B}" destId="{0F769504-2B9A-4AD5-A31A-08D00B6EDCB8}" srcOrd="9" destOrd="0" presId="urn:microsoft.com/office/officeart/2005/8/layout/lProcess2"/>
    <dgm:cxn modelId="{14B4FB3E-9ADF-48D5-A5E3-0A64A8800448}" type="presParOf" srcId="{10201B17-1614-4D45-8D1F-E89E82CE147B}" destId="{4DF9E0A4-016F-41AB-9EF2-9306013932AD}" srcOrd="10"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71DDDA4F-1B18-4271-A886-5AC064B1BA19}" type="presParOf" srcId="{E3A1EC06-F8F1-47EA-A4C0-7BCCDF995841}" destId="{16E67993-C4C1-4F21-A4ED-0341212DEC4B}" srcOrd="2" destOrd="0" presId="urn:microsoft.com/office/officeart/2005/8/layout/lProcess2"/>
    <dgm:cxn modelId="{16DE73A0-AE43-4E97-A1FF-463778447AC7}" type="presParOf" srcId="{E3A1EC06-F8F1-47EA-A4C0-7BCCDF995841}" destId="{E5227385-2FA4-403A-9FF9-0DB4ACF7F48A}" srcOrd="3" destOrd="0" presId="urn:microsoft.com/office/officeart/2005/8/layout/lProcess2"/>
    <dgm:cxn modelId="{20A05FA2-0059-4D17-BDDC-F5050ED7E0C4}" type="presParOf" srcId="{E3A1EC06-F8F1-47EA-A4C0-7BCCDF995841}" destId="{586171D3-A0EF-4AB5-884C-1205F269AA43}" srcOrd="4" destOrd="0" presId="urn:microsoft.com/office/officeart/2005/8/layout/lProcess2"/>
    <dgm:cxn modelId="{B616C990-0E73-45FB-817A-A94D5F79BA53}" type="presParOf" srcId="{E3A1EC06-F8F1-47EA-A4C0-7BCCDF995841}" destId="{1DAB7310-B09B-4420-8F3D-3BEE07FE1684}" srcOrd="5" destOrd="0" presId="urn:microsoft.com/office/officeart/2005/8/layout/lProcess2"/>
    <dgm:cxn modelId="{DCBD6D29-5F5D-4B15-95EE-37F4852367B9}" type="presParOf" srcId="{E3A1EC06-F8F1-47EA-A4C0-7BCCDF995841}" destId="{2A672D25-7F6E-4A5B-82BD-FDC5C26B3088}" srcOrd="6" destOrd="0" presId="urn:microsoft.com/office/officeart/2005/8/layout/lProcess2"/>
    <dgm:cxn modelId="{529CAF3E-A24C-430A-AA7F-E20DCC3259D5}" type="presParOf" srcId="{E3A1EC06-F8F1-47EA-A4C0-7BCCDF995841}" destId="{C2C0A883-CCED-4187-8604-B35FCC01D6EB}" srcOrd="7" destOrd="0" presId="urn:microsoft.com/office/officeart/2005/8/layout/lProcess2"/>
    <dgm:cxn modelId="{49B8410B-854E-4665-965B-654E11A85D7D}" type="presParOf" srcId="{E3A1EC06-F8F1-47EA-A4C0-7BCCDF995841}" destId="{0734C4A1-53E2-4AB6-BA72-1AEDF66C84FE}" srcOrd="8" destOrd="0" presId="urn:microsoft.com/office/officeart/2005/8/layout/lProcess2"/>
    <dgm:cxn modelId="{40C84FE8-336E-4F3C-997B-AAEF7C2692A7}" type="presParOf" srcId="{E3A1EC06-F8F1-47EA-A4C0-7BCCDF995841}" destId="{12F6B500-7A59-4A17-A063-39F246E34DD4}" srcOrd="9" destOrd="0" presId="urn:microsoft.com/office/officeart/2005/8/layout/lProcess2"/>
    <dgm:cxn modelId="{97CE7E2C-2D1D-4AC9-90E8-0284018DCA51}" type="presParOf" srcId="{E3A1EC06-F8F1-47EA-A4C0-7BCCDF995841}" destId="{DFD48DD9-75CF-4D0E-834B-85C5266538F1}" srcOrd="10"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Domeinkennis</a:t>
          </a:r>
        </a:p>
      </dsp:txBody>
      <dsp:txXfrm>
        <a:off x="1567916" y="1409424"/>
        <a:ext cx="1030160" cy="420622"/>
      </dsp:txXfrm>
    </dsp:sp>
    <dsp:sp modelId="{ED72BB4B-3283-4FB6-8CED-112A7127815D}">
      <dsp:nvSpPr>
        <dsp:cNvPr id="0" name=""/>
        <dsp:cNvSpPr/>
      </dsp:nvSpPr>
      <dsp:spPr>
        <a:xfrm>
          <a:off x="1554830"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architectuur</a:t>
          </a:r>
        </a:p>
      </dsp:txBody>
      <dsp:txXfrm>
        <a:off x="1567916" y="1924956"/>
        <a:ext cx="1030160" cy="420622"/>
      </dsp:txXfrm>
    </dsp:sp>
    <dsp:sp modelId="{4B8E8D9D-B499-4F0F-9996-7D64449D10F2}">
      <dsp:nvSpPr>
        <dsp:cNvPr id="0" name=""/>
        <dsp:cNvSpPr/>
      </dsp:nvSpPr>
      <dsp:spPr>
        <a:xfrm>
          <a:off x="1554830"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Informatica</a:t>
          </a:r>
        </a:p>
      </dsp:txBody>
      <dsp:txXfrm>
        <a:off x="1567916" y="2440488"/>
        <a:ext cx="1030160" cy="420622"/>
      </dsp:txXfrm>
    </dsp:sp>
    <dsp:sp modelId="{CA09ED49-F2C0-4756-9943-A171D0CE475A}">
      <dsp:nvSpPr>
        <dsp:cNvPr id="0" name=""/>
        <dsp:cNvSpPr/>
      </dsp:nvSpPr>
      <dsp:spPr>
        <a:xfrm>
          <a:off x="1554830"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governance</a:t>
          </a:r>
        </a:p>
      </dsp:txBody>
      <dsp:txXfrm>
        <a:off x="1567916" y="2956019"/>
        <a:ext cx="1030160" cy="420622"/>
      </dsp:txXfrm>
    </dsp:sp>
    <dsp:sp modelId="{73FBA52B-5B41-4B4F-A115-87C7645E43A1}">
      <dsp:nvSpPr>
        <dsp:cNvPr id="0" name=""/>
        <dsp:cNvSpPr/>
      </dsp:nvSpPr>
      <dsp:spPr>
        <a:xfrm>
          <a:off x="1554830"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kwaliteit</a:t>
          </a:r>
        </a:p>
      </dsp:txBody>
      <dsp:txXfrm>
        <a:off x="1567916" y="3471551"/>
        <a:ext cx="1030160" cy="420622"/>
      </dsp:txXfrm>
    </dsp:sp>
    <dsp:sp modelId="{4DF9E0A4-016F-41AB-9EF2-9306013932AD}">
      <dsp:nvSpPr>
        <dsp:cNvPr id="0" name=""/>
        <dsp:cNvSpPr/>
      </dsp:nvSpPr>
      <dsp:spPr>
        <a:xfrm>
          <a:off x="1554830"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Beveiliging</a:t>
          </a:r>
        </a:p>
      </dsp:txBody>
      <dsp:txXfrm>
        <a:off x="1567916" y="3987083"/>
        <a:ext cx="1030160" cy="420622"/>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Programmeren</a:t>
          </a:r>
        </a:p>
      </dsp:txBody>
      <dsp:txXfrm>
        <a:off x="2987362" y="1409424"/>
        <a:ext cx="1030160" cy="420622"/>
      </dsp:txXfrm>
    </dsp:sp>
    <dsp:sp modelId="{16E67993-C4C1-4F21-A4ED-0341212DEC4B}">
      <dsp:nvSpPr>
        <dsp:cNvPr id="0" name=""/>
        <dsp:cNvSpPr/>
      </dsp:nvSpPr>
      <dsp:spPr>
        <a:xfrm>
          <a:off x="2974276"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verwerking</a:t>
          </a:r>
        </a:p>
      </dsp:txBody>
      <dsp:txXfrm>
        <a:off x="2987362" y="1924956"/>
        <a:ext cx="1030160" cy="420622"/>
      </dsp:txXfrm>
    </dsp:sp>
    <dsp:sp modelId="{586171D3-A0EF-4AB5-884C-1205F269AA43}">
      <dsp:nvSpPr>
        <dsp:cNvPr id="0" name=""/>
        <dsp:cNvSpPr/>
      </dsp:nvSpPr>
      <dsp:spPr>
        <a:xfrm>
          <a:off x="2974276"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Testen &amp; deployments</a:t>
          </a:r>
        </a:p>
      </dsp:txBody>
      <dsp:txXfrm>
        <a:off x="2987362" y="2440488"/>
        <a:ext cx="1030160" cy="420622"/>
      </dsp:txXfrm>
    </dsp:sp>
    <dsp:sp modelId="{2A672D25-7F6E-4A5B-82BD-FDC5C26B3088}">
      <dsp:nvSpPr>
        <dsp:cNvPr id="0" name=""/>
        <dsp:cNvSpPr/>
      </dsp:nvSpPr>
      <dsp:spPr>
        <a:xfrm>
          <a:off x="2974276"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Infrastructuur &amp; cloud oplossingen</a:t>
          </a:r>
        </a:p>
      </dsp:txBody>
      <dsp:txXfrm>
        <a:off x="2987362" y="2956019"/>
        <a:ext cx="1030160" cy="420622"/>
      </dsp:txXfrm>
    </dsp:sp>
    <dsp:sp modelId="{0734C4A1-53E2-4AB6-BA72-1AEDF66C84FE}">
      <dsp:nvSpPr>
        <dsp:cNvPr id="0" name=""/>
        <dsp:cNvSpPr/>
      </dsp:nvSpPr>
      <dsp:spPr>
        <a:xfrm>
          <a:off x="2974276"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modelleren</a:t>
          </a:r>
        </a:p>
      </dsp:txBody>
      <dsp:txXfrm>
        <a:off x="2987362" y="3471551"/>
        <a:ext cx="1030160" cy="420622"/>
      </dsp:txXfrm>
    </dsp:sp>
    <dsp:sp modelId="{DFD48DD9-75CF-4D0E-834B-85C5266538F1}">
      <dsp:nvSpPr>
        <dsp:cNvPr id="0" name=""/>
        <dsp:cNvSpPr/>
      </dsp:nvSpPr>
      <dsp:spPr>
        <a:xfrm>
          <a:off x="2974276"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Virtualisatie &amp; containerisatie</a:t>
          </a:r>
        </a:p>
      </dsp:txBody>
      <dsp:txXfrm>
        <a:off x="2987362" y="3987083"/>
        <a:ext cx="1030160" cy="420622"/>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pn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1"/>
        <a:stretch>
          <a:fillRect/>
        </a:stretch>
      </xdr:blipFill>
      <xdr:spPr>
        <a:xfrm>
          <a:off x="609600" y="829733"/>
          <a:ext cx="4602879" cy="3785944"/>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29765</xdr:colOff>
      <xdr:row>10</xdr:row>
      <xdr:rowOff>3571</xdr:rowOff>
    </xdr:from>
    <xdr:to>
      <xdr:col>9</xdr:col>
      <xdr:colOff>0</xdr:colOff>
      <xdr:row>24</xdr:row>
      <xdr:rowOff>79771</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76199</xdr:colOff>
      <xdr:row>10</xdr:row>
      <xdr:rowOff>9525</xdr:rowOff>
    </xdr:from>
    <xdr:to>
      <xdr:col>21</xdr:col>
      <xdr:colOff>0</xdr:colOff>
      <xdr:row>24</xdr:row>
      <xdr:rowOff>85725</xdr:rowOff>
    </xdr:to>
    <xdr:graphicFrame macro="">
      <xdr:nvGraphicFramePr>
        <xdr:cNvPr id="8" name="Grafiek 7">
          <a:extLst>
            <a:ext uri="{FF2B5EF4-FFF2-40B4-BE49-F238E27FC236}">
              <a16:creationId xmlns:a16="http://schemas.microsoft.com/office/drawing/2014/main" id="{2C06592C-C7FE-4F7F-A7CC-5864C8CD5CF7}"/>
            </a:ext>
            <a:ext uri="{147F2762-F138-4A5C-976F-8EAC2B608ADB}">
              <a16:predDERef xmlns:a16="http://schemas.microsoft.com/office/drawing/2014/main" pred="{8BC94068-89F0-422E-A08D-0D55168B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85725</xdr:colOff>
      <xdr:row>10</xdr:row>
      <xdr:rowOff>9525</xdr:rowOff>
    </xdr:from>
    <xdr:to>
      <xdr:col>32</xdr:col>
      <xdr:colOff>9525</xdr:colOff>
      <xdr:row>24</xdr:row>
      <xdr:rowOff>85725</xdr:rowOff>
    </xdr:to>
    <xdr:graphicFrame macro="">
      <xdr:nvGraphicFramePr>
        <xdr:cNvPr id="9" name="Grafiek 8">
          <a:extLst>
            <a:ext uri="{FF2B5EF4-FFF2-40B4-BE49-F238E27FC236}">
              <a16:creationId xmlns:a16="http://schemas.microsoft.com/office/drawing/2014/main" id="{F3FC2585-D2A6-46CB-A1D2-356F154BB21A}"/>
            </a:ext>
            <a:ext uri="{147F2762-F138-4A5C-976F-8EAC2B608ADB}">
              <a16:predDERef xmlns:a16="http://schemas.microsoft.com/office/drawing/2014/main" pre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35720</xdr:colOff>
      <xdr:row>25</xdr:row>
      <xdr:rowOff>0</xdr:rowOff>
    </xdr:from>
    <xdr:to>
      <xdr:col>8</xdr:col>
      <xdr:colOff>428626</xdr:colOff>
      <xdr:row>39</xdr:row>
      <xdr:rowOff>76200</xdr:rowOff>
    </xdr:to>
    <xdr:graphicFrame macro="">
      <xdr:nvGraphicFramePr>
        <xdr:cNvPr id="10" name="Grafiek 9">
          <a:extLst>
            <a:ext uri="{FF2B5EF4-FFF2-40B4-BE49-F238E27FC236}">
              <a16:creationId xmlns:a16="http://schemas.microsoft.com/office/drawing/2014/main" id="{B5CA9B28-7B21-4472-BFF3-0B5CF3E4FAD7}"/>
            </a:ext>
            <a:ext uri="{147F2762-F138-4A5C-976F-8EAC2B608ADB}">
              <a16:predDERef xmlns:a16="http://schemas.microsoft.com/office/drawing/2014/main" pre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66677</xdr:colOff>
      <xdr:row>24</xdr:row>
      <xdr:rowOff>171450</xdr:rowOff>
    </xdr:from>
    <xdr:to>
      <xdr:col>21</xdr:col>
      <xdr:colOff>1</xdr:colOff>
      <xdr:row>39</xdr:row>
      <xdr:rowOff>66675</xdr:rowOff>
    </xdr:to>
    <xdr:graphicFrame macro="">
      <xdr:nvGraphicFramePr>
        <xdr:cNvPr id="11" name="Grafiek 10">
          <a:extLst>
            <a:ext uri="{FF2B5EF4-FFF2-40B4-BE49-F238E27FC236}">
              <a16:creationId xmlns:a16="http://schemas.microsoft.com/office/drawing/2014/main" id="{60441FA0-E444-4A52-AA01-716A96B586CB}"/>
            </a:ext>
            <a:ext uri="{147F2762-F138-4A5C-976F-8EAC2B608ADB}">
              <a16:predDERef xmlns:a16="http://schemas.microsoft.com/office/drawing/2014/main" pre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0</xdr:colOff>
      <xdr:row>0</xdr:row>
      <xdr:rowOff>0</xdr:rowOff>
    </xdr:from>
    <xdr:to>
      <xdr:col>48</xdr:col>
      <xdr:colOff>511967</xdr:colOff>
      <xdr:row>9</xdr:row>
      <xdr:rowOff>0</xdr:rowOff>
    </xdr:to>
    <xdr:graphicFrame macro="">
      <xdr:nvGraphicFramePr>
        <xdr:cNvPr id="13" name="Grafiek 12">
          <a:extLst>
            <a:ext uri="{FF2B5EF4-FFF2-40B4-BE49-F238E27FC236}">
              <a16:creationId xmlns:a16="http://schemas.microsoft.com/office/drawing/2014/main" id="{6D5DAD57-B223-4292-9225-77E20D3E8D61}"/>
            </a:ext>
            <a:ext uri="{147F2762-F138-4A5C-976F-8EAC2B608ADB}">
              <a16:predDERef xmlns:a16="http://schemas.microsoft.com/office/drawing/2014/main" pre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76200</xdr:colOff>
      <xdr:row>25</xdr:row>
      <xdr:rowOff>0</xdr:rowOff>
    </xdr:from>
    <xdr:to>
      <xdr:col>32</xdr:col>
      <xdr:colOff>0</xdr:colOff>
      <xdr:row>39</xdr:row>
      <xdr:rowOff>76200</xdr:rowOff>
    </xdr:to>
    <xdr:graphicFrame macro="">
      <xdr:nvGraphicFramePr>
        <xdr:cNvPr id="14" name="Grafiek 13">
          <a:extLst>
            <a:ext uri="{FF2B5EF4-FFF2-40B4-BE49-F238E27FC236}">
              <a16:creationId xmlns:a16="http://schemas.microsoft.com/office/drawing/2014/main" id="{411B7777-4200-495E-AA19-8871A37BD29C}"/>
            </a:ext>
            <a:ext uri="{147F2762-F138-4A5C-976F-8EAC2B608ADB}">
              <a16:predDERef xmlns:a16="http://schemas.microsoft.com/office/drawing/2014/main" pre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75009</xdr:colOff>
      <xdr:row>9</xdr:row>
      <xdr:rowOff>177403</xdr:rowOff>
    </xdr:from>
    <xdr:to>
      <xdr:col>40</xdr:col>
      <xdr:colOff>110728</xdr:colOff>
      <xdr:row>24</xdr:row>
      <xdr:rowOff>72628</xdr:rowOff>
    </xdr:to>
    <xdr:graphicFrame macro="">
      <xdr:nvGraphicFramePr>
        <xdr:cNvPr id="3" name="Grafiek 2">
          <a:extLst>
            <a:ext uri="{FF2B5EF4-FFF2-40B4-BE49-F238E27FC236}">
              <a16:creationId xmlns:a16="http://schemas.microsoft.com/office/drawing/2014/main" id="{7885E01C-CEA6-43D1-9C48-4F8189248CA6}"/>
            </a:ext>
            <a:ext uri="{147F2762-F138-4A5C-976F-8EAC2B608ADB}">
              <a16:predDERef xmlns:a16="http://schemas.microsoft.com/office/drawing/2014/main" pred="{411B7777-4200-495E-AA19-8871A37BD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66674</xdr:colOff>
      <xdr:row>25</xdr:row>
      <xdr:rowOff>0</xdr:rowOff>
    </xdr:from>
    <xdr:to>
      <xdr:col>40</xdr:col>
      <xdr:colOff>114299</xdr:colOff>
      <xdr:row>39</xdr:row>
      <xdr:rowOff>76200</xdr:rowOff>
    </xdr:to>
    <xdr:graphicFrame macro="">
      <xdr:nvGraphicFramePr>
        <xdr:cNvPr id="12" name="Grafiek 11">
          <a:extLst>
            <a:ext uri="{FF2B5EF4-FFF2-40B4-BE49-F238E27FC236}">
              <a16:creationId xmlns:a16="http://schemas.microsoft.com/office/drawing/2014/main" id="{4BBE5C71-09B1-486E-A48A-92659182056A}"/>
            </a:ext>
            <a:ext uri="{147F2762-F138-4A5C-976F-8EAC2B608ADB}">
              <a16:predDERef xmlns:a16="http://schemas.microsoft.com/office/drawing/2014/main" pred="{7885E01C-CEA6-43D1-9C48-4F8189248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workbookViewId="0">
      <selection activeCell="H12" sqref="H12"/>
    </sheetView>
  </sheetViews>
  <sheetFormatPr defaultColWidth="8.7109375" defaultRowHeight="15" x14ac:dyDescent="0.25"/>
  <cols>
    <col min="1" max="9" width="8.7109375" style="50"/>
    <col min="10" max="16" width="19.42578125" style="51" customWidth="1"/>
    <col min="17" max="16384" width="8.7109375" style="50"/>
  </cols>
  <sheetData>
    <row r="2" spans="1:10" ht="21" x14ac:dyDescent="0.35">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46"/>
  <sheetViews>
    <sheetView showGridLines="0" tabSelected="1" zoomScale="103" zoomScaleNormal="103" workbookViewId="0">
      <selection activeCell="B13" sqref="B13"/>
    </sheetView>
  </sheetViews>
  <sheetFormatPr defaultColWidth="8.7109375" defaultRowHeight="15" x14ac:dyDescent="0.25"/>
  <cols>
    <col min="1" max="1" width="128.28515625" style="86" customWidth="1"/>
    <col min="2" max="3" width="17.85546875" style="87" customWidth="1"/>
    <col min="4" max="4" width="13.85546875" style="96" customWidth="1"/>
    <col min="5" max="16384" width="8.7109375" style="86"/>
  </cols>
  <sheetData>
    <row r="1" spans="1:13" ht="26.25" x14ac:dyDescent="0.25">
      <c r="A1" s="105" t="s">
        <v>2</v>
      </c>
    </row>
    <row r="2" spans="1:13" ht="14.45" customHeight="1" x14ac:dyDescent="0.25"/>
    <row r="3" spans="1:13" ht="29.45" customHeight="1" x14ac:dyDescent="0.25">
      <c r="A3" s="114" t="s">
        <v>3</v>
      </c>
      <c r="B3" s="127" t="s">
        <v>4</v>
      </c>
      <c r="C3" s="128"/>
      <c r="D3" s="129"/>
      <c r="F3" s="124" t="s">
        <v>5</v>
      </c>
      <c r="G3" s="125"/>
      <c r="H3" s="125"/>
      <c r="I3" s="125"/>
      <c r="J3" s="125"/>
      <c r="K3" s="125"/>
      <c r="L3" s="125"/>
      <c r="M3" s="126"/>
    </row>
    <row r="4" spans="1:13" ht="28.9" customHeight="1" x14ac:dyDescent="0.25">
      <c r="A4" s="103" t="s">
        <v>6</v>
      </c>
      <c r="B4" s="89" t="s">
        <v>7</v>
      </c>
      <c r="C4" s="89" t="s">
        <v>8</v>
      </c>
      <c r="D4" s="89" t="s">
        <v>9</v>
      </c>
      <c r="F4" s="130" t="s">
        <v>10</v>
      </c>
      <c r="G4" s="131"/>
      <c r="H4" s="131"/>
      <c r="I4" s="131"/>
      <c r="J4" s="131"/>
      <c r="K4" s="131"/>
      <c r="L4" s="131"/>
      <c r="M4" s="132"/>
    </row>
    <row r="5" spans="1:13" ht="14.45" customHeight="1" x14ac:dyDescent="0.25">
      <c r="A5" s="85" t="s">
        <v>11</v>
      </c>
      <c r="B5" s="94"/>
      <c r="C5" s="94"/>
      <c r="D5" s="90">
        <v>1</v>
      </c>
      <c r="F5" s="133"/>
      <c r="G5" s="134"/>
      <c r="H5" s="134"/>
      <c r="I5" s="134"/>
      <c r="J5" s="134"/>
      <c r="K5" s="134"/>
      <c r="L5" s="134"/>
      <c r="M5" s="135"/>
    </row>
    <row r="6" spans="1:13" ht="14.45" customHeight="1" x14ac:dyDescent="0.25">
      <c r="A6" s="85" t="s">
        <v>12</v>
      </c>
      <c r="B6" s="121">
        <v>3</v>
      </c>
      <c r="C6" s="94"/>
      <c r="D6" s="90">
        <v>2</v>
      </c>
      <c r="F6" s="133"/>
      <c r="G6" s="134"/>
      <c r="H6" s="134"/>
      <c r="I6" s="134"/>
      <c r="J6" s="134"/>
      <c r="K6" s="134"/>
      <c r="L6" s="134"/>
      <c r="M6" s="135"/>
    </row>
    <row r="7" spans="1:13" ht="14.45" customHeight="1" x14ac:dyDescent="0.25">
      <c r="A7" s="85" t="s">
        <v>13</v>
      </c>
      <c r="B7" s="94">
        <v>3</v>
      </c>
      <c r="C7" s="121">
        <v>5</v>
      </c>
      <c r="D7" s="90">
        <v>3</v>
      </c>
      <c r="F7" s="133"/>
      <c r="G7" s="134"/>
      <c r="H7" s="134"/>
      <c r="I7" s="134"/>
      <c r="J7" s="134"/>
      <c r="K7" s="134"/>
      <c r="L7" s="134"/>
      <c r="M7" s="135"/>
    </row>
    <row r="8" spans="1:13" ht="14.45" customHeight="1" x14ac:dyDescent="0.25">
      <c r="A8" s="85" t="s">
        <v>14</v>
      </c>
      <c r="B8" s="94"/>
      <c r="C8" s="94">
        <v>4</v>
      </c>
      <c r="D8" s="90">
        <v>4</v>
      </c>
      <c r="F8" s="133"/>
      <c r="G8" s="134"/>
      <c r="H8" s="134"/>
      <c r="I8" s="134"/>
      <c r="J8" s="134"/>
      <c r="K8" s="134"/>
      <c r="L8" s="134"/>
      <c r="M8" s="135"/>
    </row>
    <row r="9" spans="1:13" x14ac:dyDescent="0.25">
      <c r="A9" s="85" t="s">
        <v>15</v>
      </c>
      <c r="B9" s="94"/>
      <c r="C9" s="94"/>
      <c r="D9" s="90">
        <v>5</v>
      </c>
      <c r="F9" s="133"/>
      <c r="G9" s="134"/>
      <c r="H9" s="134"/>
      <c r="I9" s="134"/>
      <c r="J9" s="134"/>
      <c r="K9" s="134"/>
      <c r="L9" s="134"/>
      <c r="M9" s="135"/>
    </row>
    <row r="10" spans="1:13" x14ac:dyDescent="0.25">
      <c r="A10" s="88"/>
      <c r="F10" s="133"/>
      <c r="G10" s="134"/>
      <c r="H10" s="134"/>
      <c r="I10" s="134"/>
      <c r="J10" s="134"/>
      <c r="K10" s="134"/>
      <c r="L10" s="134"/>
      <c r="M10" s="135"/>
    </row>
    <row r="11" spans="1:13" ht="23.25" x14ac:dyDescent="0.25">
      <c r="A11" s="115" t="s">
        <v>16</v>
      </c>
      <c r="F11" s="133"/>
      <c r="G11" s="134"/>
      <c r="H11" s="134"/>
      <c r="I11" s="134"/>
      <c r="J11" s="134"/>
      <c r="K11" s="134"/>
      <c r="L11" s="134"/>
      <c r="M11" s="135"/>
    </row>
    <row r="12" spans="1:13" ht="30" x14ac:dyDescent="0.25">
      <c r="A12" s="102" t="s">
        <v>17</v>
      </c>
      <c r="B12" s="107" t="s">
        <v>7</v>
      </c>
      <c r="C12" s="107" t="s">
        <v>8</v>
      </c>
      <c r="D12" s="89" t="s">
        <v>9</v>
      </c>
      <c r="F12" s="133"/>
      <c r="G12" s="134"/>
      <c r="H12" s="134"/>
      <c r="I12" s="134"/>
      <c r="J12" s="134"/>
      <c r="K12" s="134"/>
      <c r="L12" s="134"/>
      <c r="M12" s="135"/>
    </row>
    <row r="13" spans="1:13" x14ac:dyDescent="0.25">
      <c r="A13" s="91" t="s">
        <v>18</v>
      </c>
      <c r="B13" s="92"/>
      <c r="C13" s="92"/>
      <c r="D13" s="90">
        <v>1</v>
      </c>
      <c r="F13" s="133"/>
      <c r="G13" s="134"/>
      <c r="H13" s="134"/>
      <c r="I13" s="134"/>
      <c r="J13" s="134"/>
      <c r="K13" s="134"/>
      <c r="L13" s="134"/>
      <c r="M13" s="135"/>
    </row>
    <row r="14" spans="1:13" ht="30" x14ac:dyDescent="0.25">
      <c r="A14" s="91" t="s">
        <v>19</v>
      </c>
      <c r="B14" s="92"/>
      <c r="C14" s="92"/>
      <c r="D14" s="90">
        <v>2</v>
      </c>
      <c r="F14" s="133"/>
      <c r="G14" s="134"/>
      <c r="H14" s="134"/>
      <c r="I14" s="134"/>
      <c r="J14" s="134"/>
      <c r="K14" s="134"/>
      <c r="L14" s="134"/>
      <c r="M14" s="135"/>
    </row>
    <row r="15" spans="1:13" ht="30" x14ac:dyDescent="0.25">
      <c r="A15" s="91" t="s">
        <v>20</v>
      </c>
      <c r="B15" s="92"/>
      <c r="C15" s="92"/>
      <c r="D15" s="90">
        <v>3</v>
      </c>
      <c r="F15" s="133"/>
      <c r="G15" s="134"/>
      <c r="H15" s="134"/>
      <c r="I15" s="134"/>
      <c r="J15" s="134"/>
      <c r="K15" s="134"/>
      <c r="L15" s="134"/>
      <c r="M15" s="135"/>
    </row>
    <row r="16" spans="1:13" ht="30" x14ac:dyDescent="0.25">
      <c r="A16" s="91" t="s">
        <v>21</v>
      </c>
      <c r="B16" s="92"/>
      <c r="C16" s="92"/>
      <c r="D16" s="90">
        <v>4</v>
      </c>
      <c r="F16" s="133"/>
      <c r="G16" s="134"/>
      <c r="H16" s="134"/>
      <c r="I16" s="134"/>
      <c r="J16" s="134"/>
      <c r="K16" s="134"/>
      <c r="L16" s="134"/>
      <c r="M16" s="135"/>
    </row>
    <row r="17" spans="1:13" ht="30" x14ac:dyDescent="0.25">
      <c r="A17" s="91" t="s">
        <v>22</v>
      </c>
      <c r="B17" s="92"/>
      <c r="C17" s="92"/>
      <c r="D17" s="90">
        <v>5</v>
      </c>
      <c r="F17" s="133"/>
      <c r="G17" s="134"/>
      <c r="H17" s="134"/>
      <c r="I17" s="134"/>
      <c r="J17" s="134"/>
      <c r="K17" s="134"/>
      <c r="L17" s="134"/>
      <c r="M17" s="135"/>
    </row>
    <row r="18" spans="1:13" x14ac:dyDescent="0.25">
      <c r="A18" s="91"/>
      <c r="B18" s="92"/>
      <c r="C18" s="92"/>
      <c r="D18" s="90"/>
      <c r="F18" s="133"/>
      <c r="G18" s="134"/>
      <c r="H18" s="134"/>
      <c r="I18" s="134"/>
      <c r="J18" s="134"/>
      <c r="K18" s="134"/>
      <c r="L18" s="134"/>
      <c r="M18" s="135"/>
    </row>
    <row r="19" spans="1:13" ht="30" x14ac:dyDescent="0.25">
      <c r="A19" s="102" t="s">
        <v>23</v>
      </c>
      <c r="B19" s="107" t="s">
        <v>7</v>
      </c>
      <c r="C19" s="107" t="s">
        <v>8</v>
      </c>
      <c r="D19" s="89" t="s">
        <v>9</v>
      </c>
      <c r="F19" s="133"/>
      <c r="G19" s="134"/>
      <c r="H19" s="134"/>
      <c r="I19" s="134"/>
      <c r="J19" s="134"/>
      <c r="K19" s="134"/>
      <c r="L19" s="134"/>
      <c r="M19" s="135"/>
    </row>
    <row r="20" spans="1:13" x14ac:dyDescent="0.25">
      <c r="A20" s="91" t="s">
        <v>24</v>
      </c>
      <c r="B20" s="92"/>
      <c r="C20" s="92"/>
      <c r="D20" s="90">
        <v>1</v>
      </c>
      <c r="F20" s="133"/>
      <c r="G20" s="134"/>
      <c r="H20" s="134"/>
      <c r="I20" s="134"/>
      <c r="J20" s="134"/>
      <c r="K20" s="134"/>
      <c r="L20" s="134"/>
      <c r="M20" s="135"/>
    </row>
    <row r="21" spans="1:13" x14ac:dyDescent="0.25">
      <c r="A21" s="91" t="s">
        <v>25</v>
      </c>
      <c r="B21" s="92"/>
      <c r="C21" s="92"/>
      <c r="D21" s="90">
        <v>2</v>
      </c>
      <c r="F21" s="133"/>
      <c r="G21" s="134"/>
      <c r="H21" s="134"/>
      <c r="I21" s="134"/>
      <c r="J21" s="134"/>
      <c r="K21" s="134"/>
      <c r="L21" s="134"/>
      <c r="M21" s="135"/>
    </row>
    <row r="22" spans="1:13" x14ac:dyDescent="0.25">
      <c r="A22" s="91" t="s">
        <v>26</v>
      </c>
      <c r="B22" s="92"/>
      <c r="C22" s="92"/>
      <c r="D22" s="90">
        <v>3</v>
      </c>
      <c r="F22" s="136"/>
      <c r="G22" s="137"/>
      <c r="H22" s="137"/>
      <c r="I22" s="137"/>
      <c r="J22" s="137"/>
      <c r="K22" s="137"/>
      <c r="L22" s="137"/>
      <c r="M22" s="138"/>
    </row>
    <row r="23" spans="1:13" ht="30" x14ac:dyDescent="0.25">
      <c r="A23" s="91" t="s">
        <v>27</v>
      </c>
      <c r="B23" s="92"/>
      <c r="C23" s="92"/>
      <c r="D23" s="90">
        <v>4</v>
      </c>
    </row>
    <row r="24" spans="1:13" x14ac:dyDescent="0.25">
      <c r="A24" s="91" t="s">
        <v>28</v>
      </c>
      <c r="B24" s="92"/>
      <c r="C24" s="92"/>
      <c r="D24" s="90">
        <v>5</v>
      </c>
    </row>
    <row r="25" spans="1:13" x14ac:dyDescent="0.25">
      <c r="A25" s="91"/>
      <c r="B25" s="92"/>
      <c r="C25" s="92"/>
      <c r="D25" s="90"/>
    </row>
    <row r="26" spans="1:13" ht="30" x14ac:dyDescent="0.25">
      <c r="A26" s="102" t="s">
        <v>29</v>
      </c>
      <c r="B26" s="107" t="s">
        <v>7</v>
      </c>
      <c r="C26" s="107" t="s">
        <v>8</v>
      </c>
      <c r="D26" s="89" t="s">
        <v>9</v>
      </c>
    </row>
    <row r="27" spans="1:13" x14ac:dyDescent="0.25">
      <c r="A27" s="91" t="s">
        <v>30</v>
      </c>
      <c r="B27" s="92"/>
      <c r="C27" s="92"/>
      <c r="D27" s="90">
        <v>1</v>
      </c>
    </row>
    <row r="28" spans="1:13" x14ac:dyDescent="0.25">
      <c r="A28" s="91" t="s">
        <v>31</v>
      </c>
      <c r="B28" s="92"/>
      <c r="C28" s="92"/>
      <c r="D28" s="90">
        <v>2</v>
      </c>
    </row>
    <row r="29" spans="1:13" ht="30" x14ac:dyDescent="0.25">
      <c r="A29" s="91" t="s">
        <v>32</v>
      </c>
      <c r="B29" s="92"/>
      <c r="C29" s="92"/>
      <c r="D29" s="90">
        <v>3</v>
      </c>
    </row>
    <row r="30" spans="1:13" ht="30" x14ac:dyDescent="0.25">
      <c r="A30" s="91" t="s">
        <v>33</v>
      </c>
      <c r="B30" s="92"/>
      <c r="C30" s="92"/>
      <c r="D30" s="90">
        <v>4</v>
      </c>
    </row>
    <row r="31" spans="1:13" ht="30" x14ac:dyDescent="0.25">
      <c r="A31" s="91" t="s">
        <v>34</v>
      </c>
      <c r="B31" s="92"/>
      <c r="C31" s="92"/>
      <c r="D31" s="90">
        <v>5</v>
      </c>
    </row>
    <row r="32" spans="1:13" x14ac:dyDescent="0.25">
      <c r="A32" s="91"/>
      <c r="B32" s="92"/>
      <c r="C32" s="92"/>
      <c r="D32" s="90"/>
    </row>
    <row r="33" spans="1:4" ht="30" x14ac:dyDescent="0.25">
      <c r="A33" s="102" t="s">
        <v>35</v>
      </c>
      <c r="B33" s="107" t="s">
        <v>7</v>
      </c>
      <c r="C33" s="107" t="s">
        <v>8</v>
      </c>
      <c r="D33" s="89" t="s">
        <v>9</v>
      </c>
    </row>
    <row r="34" spans="1:4" x14ac:dyDescent="0.25">
      <c r="A34" s="91" t="s">
        <v>36</v>
      </c>
      <c r="B34" s="92"/>
      <c r="C34" s="92"/>
      <c r="D34" s="90">
        <v>1</v>
      </c>
    </row>
    <row r="35" spans="1:4" ht="30" x14ac:dyDescent="0.25">
      <c r="A35" s="91" t="s">
        <v>37</v>
      </c>
      <c r="B35" s="92"/>
      <c r="C35" s="92"/>
      <c r="D35" s="90">
        <v>2</v>
      </c>
    </row>
    <row r="36" spans="1:4" ht="30" x14ac:dyDescent="0.25">
      <c r="A36" s="91" t="s">
        <v>38</v>
      </c>
      <c r="B36" s="92"/>
      <c r="C36" s="92"/>
      <c r="D36" s="90">
        <v>3</v>
      </c>
    </row>
    <row r="37" spans="1:4" ht="30" x14ac:dyDescent="0.25">
      <c r="A37" s="91" t="s">
        <v>39</v>
      </c>
      <c r="B37" s="92"/>
      <c r="C37" s="92"/>
      <c r="D37" s="90">
        <v>4</v>
      </c>
    </row>
    <row r="38" spans="1:4" ht="30" x14ac:dyDescent="0.25">
      <c r="A38" s="91" t="s">
        <v>40</v>
      </c>
      <c r="B38" s="92"/>
      <c r="C38" s="92"/>
      <c r="D38" s="90">
        <v>5</v>
      </c>
    </row>
    <row r="39" spans="1:4" x14ac:dyDescent="0.25">
      <c r="A39" s="91"/>
      <c r="B39" s="92"/>
      <c r="C39" s="92"/>
      <c r="D39" s="90"/>
    </row>
    <row r="40" spans="1:4" ht="30" x14ac:dyDescent="0.25">
      <c r="A40" s="102" t="s">
        <v>41</v>
      </c>
      <c r="B40" s="107" t="s">
        <v>7</v>
      </c>
      <c r="C40" s="107" t="s">
        <v>8</v>
      </c>
      <c r="D40" s="89" t="s">
        <v>9</v>
      </c>
    </row>
    <row r="41" spans="1:4" x14ac:dyDescent="0.25">
      <c r="A41" s="91" t="s">
        <v>42</v>
      </c>
      <c r="B41" s="92"/>
      <c r="C41" s="92"/>
      <c r="D41" s="90">
        <v>1</v>
      </c>
    </row>
    <row r="42" spans="1:4" x14ac:dyDescent="0.25">
      <c r="A42" s="91" t="s">
        <v>43</v>
      </c>
      <c r="B42" s="92"/>
      <c r="C42" s="92"/>
      <c r="D42" s="90">
        <v>2</v>
      </c>
    </row>
    <row r="43" spans="1:4" ht="30" x14ac:dyDescent="0.25">
      <c r="A43" s="91" t="s">
        <v>44</v>
      </c>
      <c r="B43" s="92"/>
      <c r="C43" s="92"/>
      <c r="D43" s="90">
        <v>3</v>
      </c>
    </row>
    <row r="44" spans="1:4" ht="30" x14ac:dyDescent="0.25">
      <c r="A44" s="91" t="s">
        <v>45</v>
      </c>
      <c r="B44" s="92"/>
      <c r="C44" s="92"/>
      <c r="D44" s="90">
        <v>4</v>
      </c>
    </row>
    <row r="45" spans="1:4" ht="30" x14ac:dyDescent="0.25">
      <c r="A45" s="91" t="s">
        <v>46</v>
      </c>
      <c r="B45" s="92"/>
      <c r="C45" s="92"/>
      <c r="D45" s="90">
        <v>5</v>
      </c>
    </row>
    <row r="46" spans="1:4" x14ac:dyDescent="0.25">
      <c r="A46" s="91"/>
      <c r="B46" s="92"/>
      <c r="C46" s="92"/>
      <c r="D46" s="90"/>
    </row>
    <row r="47" spans="1:4" ht="30" x14ac:dyDescent="0.25">
      <c r="A47" s="102" t="s">
        <v>47</v>
      </c>
      <c r="B47" s="107" t="s">
        <v>7</v>
      </c>
      <c r="C47" s="107" t="s">
        <v>8</v>
      </c>
      <c r="D47" s="89" t="s">
        <v>9</v>
      </c>
    </row>
    <row r="48" spans="1:4" x14ac:dyDescent="0.25">
      <c r="A48" s="91" t="s">
        <v>48</v>
      </c>
      <c r="B48" s="92"/>
      <c r="C48" s="92"/>
      <c r="D48" s="90">
        <v>1</v>
      </c>
    </row>
    <row r="49" spans="1:4" x14ac:dyDescent="0.25">
      <c r="A49" s="91" t="s">
        <v>49</v>
      </c>
      <c r="B49" s="92"/>
      <c r="C49" s="92"/>
      <c r="D49" s="90">
        <v>2</v>
      </c>
    </row>
    <row r="50" spans="1:4" x14ac:dyDescent="0.25">
      <c r="A50" s="91" t="s">
        <v>50</v>
      </c>
      <c r="B50" s="92"/>
      <c r="C50" s="92"/>
      <c r="D50" s="90">
        <v>3</v>
      </c>
    </row>
    <row r="51" spans="1:4" x14ac:dyDescent="0.25">
      <c r="A51" s="91" t="s">
        <v>51</v>
      </c>
      <c r="B51" s="92"/>
      <c r="C51" s="92"/>
      <c r="D51" s="90">
        <v>4</v>
      </c>
    </row>
    <row r="52" spans="1:4" ht="30" x14ac:dyDescent="0.25">
      <c r="A52" s="91" t="s">
        <v>52</v>
      </c>
      <c r="B52" s="92"/>
      <c r="C52" s="92"/>
      <c r="D52" s="90">
        <v>5</v>
      </c>
    </row>
    <row r="54" spans="1:4" ht="23.25" x14ac:dyDescent="0.25">
      <c r="A54" s="116" t="s">
        <v>53</v>
      </c>
    </row>
    <row r="55" spans="1:4" ht="30" x14ac:dyDescent="0.25">
      <c r="A55" s="104" t="s">
        <v>54</v>
      </c>
      <c r="B55" s="108" t="s">
        <v>7</v>
      </c>
      <c r="C55" s="108" t="s">
        <v>8</v>
      </c>
      <c r="D55" s="89" t="s">
        <v>9</v>
      </c>
    </row>
    <row r="56" spans="1:4" x14ac:dyDescent="0.25">
      <c r="A56" s="91" t="s">
        <v>55</v>
      </c>
      <c r="B56" s="92"/>
      <c r="C56" s="92"/>
      <c r="D56" s="90">
        <v>1</v>
      </c>
    </row>
    <row r="57" spans="1:4" x14ac:dyDescent="0.25">
      <c r="A57" s="91" t="s">
        <v>56</v>
      </c>
      <c r="B57" s="92"/>
      <c r="C57" s="92"/>
      <c r="D57" s="90">
        <v>2</v>
      </c>
    </row>
    <row r="58" spans="1:4" ht="30" x14ac:dyDescent="0.25">
      <c r="A58" s="91" t="s">
        <v>57</v>
      </c>
      <c r="B58" s="92"/>
      <c r="C58" s="92"/>
      <c r="D58" s="90">
        <v>3</v>
      </c>
    </row>
    <row r="59" spans="1:4" x14ac:dyDescent="0.25">
      <c r="A59" s="91" t="s">
        <v>58</v>
      </c>
      <c r="B59" s="92"/>
      <c r="C59" s="92"/>
      <c r="D59" s="90">
        <v>4</v>
      </c>
    </row>
    <row r="60" spans="1:4" ht="30" x14ac:dyDescent="0.25">
      <c r="A60" s="91" t="s">
        <v>59</v>
      </c>
      <c r="B60" s="92"/>
      <c r="C60" s="92"/>
      <c r="D60" s="90">
        <v>5</v>
      </c>
    </row>
    <row r="61" spans="1:4" x14ac:dyDescent="0.25">
      <c r="A61" s="91"/>
      <c r="B61" s="92"/>
      <c r="C61" s="92"/>
      <c r="D61" s="90"/>
    </row>
    <row r="62" spans="1:4" ht="30" x14ac:dyDescent="0.25">
      <c r="A62" s="104" t="s">
        <v>60</v>
      </c>
      <c r="B62" s="108" t="s">
        <v>7</v>
      </c>
      <c r="C62" s="108" t="s">
        <v>8</v>
      </c>
      <c r="D62" s="89" t="s">
        <v>9</v>
      </c>
    </row>
    <row r="63" spans="1:4" ht="30" x14ac:dyDescent="0.25">
      <c r="A63" s="91" t="s">
        <v>61</v>
      </c>
      <c r="B63" s="92"/>
      <c r="C63" s="92"/>
      <c r="D63" s="90">
        <v>1</v>
      </c>
    </row>
    <row r="64" spans="1:4" ht="30" x14ac:dyDescent="0.25">
      <c r="A64" s="91" t="s">
        <v>62</v>
      </c>
      <c r="B64" s="92"/>
      <c r="C64" s="92"/>
      <c r="D64" s="90">
        <v>2</v>
      </c>
    </row>
    <row r="65" spans="1:4" ht="45" x14ac:dyDescent="0.25">
      <c r="A65" s="91" t="s">
        <v>63</v>
      </c>
      <c r="B65" s="92"/>
      <c r="C65" s="92"/>
      <c r="D65" s="90">
        <v>3</v>
      </c>
    </row>
    <row r="66" spans="1:4" x14ac:dyDescent="0.25">
      <c r="A66" s="91" t="s">
        <v>64</v>
      </c>
      <c r="B66" s="92"/>
      <c r="C66" s="92"/>
      <c r="D66" s="90">
        <v>4</v>
      </c>
    </row>
    <row r="67" spans="1:4" x14ac:dyDescent="0.25">
      <c r="A67" s="91" t="s">
        <v>65</v>
      </c>
      <c r="B67" s="92"/>
      <c r="C67" s="92"/>
      <c r="D67" s="90">
        <v>5</v>
      </c>
    </row>
    <row r="68" spans="1:4" x14ac:dyDescent="0.25">
      <c r="A68" s="91"/>
      <c r="B68" s="92"/>
      <c r="C68" s="92"/>
      <c r="D68" s="90"/>
    </row>
    <row r="69" spans="1:4" ht="30" x14ac:dyDescent="0.25">
      <c r="A69" s="104" t="s">
        <v>66</v>
      </c>
      <c r="B69" s="108" t="s">
        <v>7</v>
      </c>
      <c r="C69" s="108" t="s">
        <v>8</v>
      </c>
      <c r="D69" s="89" t="s">
        <v>9</v>
      </c>
    </row>
    <row r="70" spans="1:4" x14ac:dyDescent="0.25">
      <c r="A70" s="91" t="s">
        <v>67</v>
      </c>
      <c r="B70" s="92"/>
      <c r="C70" s="92"/>
      <c r="D70" s="90">
        <v>1</v>
      </c>
    </row>
    <row r="71" spans="1:4" x14ac:dyDescent="0.25">
      <c r="A71" s="91" t="s">
        <v>68</v>
      </c>
      <c r="B71" s="92"/>
      <c r="C71" s="92"/>
      <c r="D71" s="90">
        <v>2</v>
      </c>
    </row>
    <row r="72" spans="1:4" x14ac:dyDescent="0.25">
      <c r="A72" s="91" t="s">
        <v>69</v>
      </c>
      <c r="B72" s="92"/>
      <c r="C72" s="92"/>
      <c r="D72" s="90">
        <v>3</v>
      </c>
    </row>
    <row r="73" spans="1:4" x14ac:dyDescent="0.25">
      <c r="A73" s="91" t="s">
        <v>70</v>
      </c>
      <c r="B73" s="92"/>
      <c r="C73" s="92"/>
      <c r="D73" s="90">
        <v>4</v>
      </c>
    </row>
    <row r="74" spans="1:4" x14ac:dyDescent="0.25">
      <c r="A74" s="91" t="s">
        <v>71</v>
      </c>
      <c r="B74" s="92"/>
      <c r="C74" s="92"/>
      <c r="D74" s="90">
        <v>5</v>
      </c>
    </row>
    <row r="75" spans="1:4" x14ac:dyDescent="0.25">
      <c r="A75" s="91"/>
      <c r="B75" s="92"/>
      <c r="C75" s="92"/>
      <c r="D75" s="90"/>
    </row>
    <row r="76" spans="1:4" ht="30" x14ac:dyDescent="0.25">
      <c r="A76" s="104" t="s">
        <v>72</v>
      </c>
      <c r="B76" s="108" t="s">
        <v>7</v>
      </c>
      <c r="C76" s="108" t="s">
        <v>8</v>
      </c>
      <c r="D76" s="89" t="s">
        <v>9</v>
      </c>
    </row>
    <row r="77" spans="1:4" x14ac:dyDescent="0.25">
      <c r="A77" s="91" t="s">
        <v>73</v>
      </c>
      <c r="B77" s="92"/>
      <c r="C77" s="92"/>
      <c r="D77" s="90">
        <v>1</v>
      </c>
    </row>
    <row r="78" spans="1:4" x14ac:dyDescent="0.25">
      <c r="A78" s="91" t="s">
        <v>74</v>
      </c>
      <c r="B78" s="92"/>
      <c r="C78" s="92"/>
      <c r="D78" s="90">
        <v>2</v>
      </c>
    </row>
    <row r="79" spans="1:4" x14ac:dyDescent="0.25">
      <c r="A79" s="91" t="s">
        <v>75</v>
      </c>
      <c r="B79" s="92"/>
      <c r="C79" s="92"/>
      <c r="D79" s="90">
        <v>3</v>
      </c>
    </row>
    <row r="80" spans="1:4" x14ac:dyDescent="0.25">
      <c r="A80" s="91" t="s">
        <v>76</v>
      </c>
      <c r="B80" s="92"/>
      <c r="C80" s="92"/>
      <c r="D80" s="90">
        <v>4</v>
      </c>
    </row>
    <row r="81" spans="1:4" x14ac:dyDescent="0.25">
      <c r="A81" s="91" t="s">
        <v>77</v>
      </c>
      <c r="B81" s="92"/>
      <c r="C81" s="92"/>
      <c r="D81" s="90">
        <v>5</v>
      </c>
    </row>
    <row r="82" spans="1:4" x14ac:dyDescent="0.25">
      <c r="A82" s="91"/>
      <c r="B82" s="92"/>
      <c r="C82" s="92"/>
      <c r="D82" s="90"/>
    </row>
    <row r="83" spans="1:4" ht="30" x14ac:dyDescent="0.25">
      <c r="A83" s="104" t="s">
        <v>78</v>
      </c>
      <c r="B83" s="108" t="s">
        <v>7</v>
      </c>
      <c r="C83" s="108" t="s">
        <v>8</v>
      </c>
      <c r="D83" s="89" t="s">
        <v>9</v>
      </c>
    </row>
    <row r="84" spans="1:4" x14ac:dyDescent="0.25">
      <c r="A84" s="91" t="s">
        <v>79</v>
      </c>
      <c r="B84" s="92"/>
      <c r="C84" s="92"/>
      <c r="D84" s="90">
        <v>1</v>
      </c>
    </row>
    <row r="85" spans="1:4" x14ac:dyDescent="0.25">
      <c r="A85" s="91" t="s">
        <v>80</v>
      </c>
      <c r="B85" s="92"/>
      <c r="C85" s="92"/>
      <c r="D85" s="90">
        <v>2</v>
      </c>
    </row>
    <row r="86" spans="1:4" x14ac:dyDescent="0.25">
      <c r="A86" s="91" t="s">
        <v>81</v>
      </c>
      <c r="B86" s="92"/>
      <c r="C86" s="92"/>
      <c r="D86" s="90">
        <v>3</v>
      </c>
    </row>
    <row r="87" spans="1:4" x14ac:dyDescent="0.25">
      <c r="A87" s="91" t="s">
        <v>82</v>
      </c>
      <c r="B87" s="92"/>
      <c r="C87" s="92"/>
      <c r="D87" s="90">
        <v>4</v>
      </c>
    </row>
    <row r="88" spans="1:4" x14ac:dyDescent="0.25">
      <c r="A88" s="91" t="s">
        <v>83</v>
      </c>
      <c r="B88" s="92"/>
      <c r="C88" s="92"/>
      <c r="D88" s="90">
        <v>5</v>
      </c>
    </row>
    <row r="89" spans="1:4" x14ac:dyDescent="0.25">
      <c r="A89" s="91"/>
      <c r="B89" s="92"/>
      <c r="C89" s="92"/>
      <c r="D89" s="90"/>
    </row>
    <row r="90" spans="1:4" ht="30" x14ac:dyDescent="0.25">
      <c r="A90" s="104" t="s">
        <v>84</v>
      </c>
      <c r="B90" s="108" t="s">
        <v>7</v>
      </c>
      <c r="C90" s="108" t="s">
        <v>8</v>
      </c>
      <c r="D90" s="89" t="s">
        <v>9</v>
      </c>
    </row>
    <row r="91" spans="1:4" x14ac:dyDescent="0.25">
      <c r="A91" s="93" t="s">
        <v>85</v>
      </c>
      <c r="B91" s="95"/>
      <c r="C91" s="95"/>
      <c r="D91" s="90">
        <v>1</v>
      </c>
    </row>
    <row r="92" spans="1:4" ht="30" x14ac:dyDescent="0.25">
      <c r="A92" s="93" t="s">
        <v>86</v>
      </c>
      <c r="B92" s="95"/>
      <c r="C92" s="95"/>
      <c r="D92" s="90">
        <v>2</v>
      </c>
    </row>
    <row r="93" spans="1:4" ht="30" x14ac:dyDescent="0.25">
      <c r="A93" s="93" t="s">
        <v>87</v>
      </c>
      <c r="B93" s="95"/>
      <c r="C93" s="95"/>
      <c r="D93" s="90">
        <v>3</v>
      </c>
    </row>
    <row r="94" spans="1:4" ht="30" x14ac:dyDescent="0.25">
      <c r="A94" s="93" t="s">
        <v>88</v>
      </c>
      <c r="B94" s="95"/>
      <c r="C94" s="95"/>
      <c r="D94" s="90">
        <v>4</v>
      </c>
    </row>
    <row r="95" spans="1:4" ht="30" x14ac:dyDescent="0.25">
      <c r="A95" s="93" t="s">
        <v>89</v>
      </c>
      <c r="B95" s="95"/>
      <c r="C95" s="95"/>
      <c r="D95" s="90">
        <v>5</v>
      </c>
    </row>
    <row r="97" spans="1:4" ht="23.25" x14ac:dyDescent="0.25">
      <c r="A97" s="117" t="s">
        <v>90</v>
      </c>
    </row>
    <row r="98" spans="1:4" ht="30" x14ac:dyDescent="0.25">
      <c r="A98" s="100" t="s">
        <v>91</v>
      </c>
      <c r="B98" s="109" t="s">
        <v>7</v>
      </c>
      <c r="C98" s="109" t="s">
        <v>8</v>
      </c>
      <c r="D98" s="89" t="s">
        <v>9</v>
      </c>
    </row>
    <row r="99" spans="1:4" x14ac:dyDescent="0.25">
      <c r="A99" s="91" t="s">
        <v>92</v>
      </c>
      <c r="B99" s="92"/>
      <c r="C99" s="92"/>
      <c r="D99" s="90">
        <v>1</v>
      </c>
    </row>
    <row r="100" spans="1:4" x14ac:dyDescent="0.25">
      <c r="A100" s="91" t="s">
        <v>93</v>
      </c>
      <c r="B100" s="92"/>
      <c r="C100" s="92"/>
      <c r="D100" s="90">
        <v>2</v>
      </c>
    </row>
    <row r="101" spans="1:4" ht="45" x14ac:dyDescent="0.25">
      <c r="A101" s="91" t="s">
        <v>94</v>
      </c>
      <c r="B101" s="92"/>
      <c r="C101" s="92"/>
      <c r="D101" s="90">
        <v>3</v>
      </c>
    </row>
    <row r="102" spans="1:4" x14ac:dyDescent="0.25">
      <c r="A102" s="91" t="s">
        <v>95</v>
      </c>
      <c r="B102" s="92"/>
      <c r="C102" s="92"/>
      <c r="D102" s="90">
        <v>4</v>
      </c>
    </row>
    <row r="103" spans="1:4" x14ac:dyDescent="0.25">
      <c r="A103" s="91" t="s">
        <v>96</v>
      </c>
      <c r="B103" s="92"/>
      <c r="C103" s="92"/>
      <c r="D103" s="90">
        <v>5</v>
      </c>
    </row>
    <row r="104" spans="1:4" x14ac:dyDescent="0.25">
      <c r="A104" s="91"/>
      <c r="B104" s="92"/>
      <c r="C104" s="92"/>
      <c r="D104" s="90"/>
    </row>
    <row r="105" spans="1:4" ht="30" x14ac:dyDescent="0.25">
      <c r="A105" s="100" t="s">
        <v>97</v>
      </c>
      <c r="B105" s="109" t="s">
        <v>7</v>
      </c>
      <c r="C105" s="109" t="s">
        <v>8</v>
      </c>
      <c r="D105" s="89" t="s">
        <v>9</v>
      </c>
    </row>
    <row r="106" spans="1:4" x14ac:dyDescent="0.25">
      <c r="A106" s="122" t="s">
        <v>98</v>
      </c>
      <c r="B106" s="92"/>
      <c r="C106" s="92"/>
      <c r="D106" s="90">
        <v>1</v>
      </c>
    </row>
    <row r="107" spans="1:4" x14ac:dyDescent="0.25">
      <c r="A107" s="122" t="s">
        <v>99</v>
      </c>
      <c r="B107" s="92"/>
      <c r="C107" s="92"/>
      <c r="D107" s="90">
        <v>2</v>
      </c>
    </row>
    <row r="108" spans="1:4" ht="30" x14ac:dyDescent="0.25">
      <c r="A108" s="122" t="s">
        <v>100</v>
      </c>
      <c r="B108" s="92"/>
      <c r="C108" s="92"/>
      <c r="D108" s="90">
        <v>3</v>
      </c>
    </row>
    <row r="109" spans="1:4" x14ac:dyDescent="0.25">
      <c r="A109" s="123" t="s">
        <v>101</v>
      </c>
      <c r="B109" s="92"/>
      <c r="C109" s="92"/>
      <c r="D109" s="90">
        <v>4</v>
      </c>
    </row>
    <row r="110" spans="1:4" ht="30" x14ac:dyDescent="0.25">
      <c r="A110" s="122" t="s">
        <v>102</v>
      </c>
      <c r="B110" s="92"/>
      <c r="C110" s="92"/>
      <c r="D110" s="90">
        <v>5</v>
      </c>
    </row>
    <row r="111" spans="1:4" x14ac:dyDescent="0.25">
      <c r="A111" s="91"/>
      <c r="B111" s="92"/>
      <c r="C111" s="92"/>
      <c r="D111" s="90"/>
    </row>
    <row r="112" spans="1:4" ht="30" x14ac:dyDescent="0.25">
      <c r="A112" s="100" t="s">
        <v>103</v>
      </c>
      <c r="B112" s="109" t="s">
        <v>7</v>
      </c>
      <c r="C112" s="109" t="s">
        <v>8</v>
      </c>
      <c r="D112" s="89" t="s">
        <v>9</v>
      </c>
    </row>
    <row r="113" spans="1:4" x14ac:dyDescent="0.25">
      <c r="A113" s="91" t="s">
        <v>104</v>
      </c>
      <c r="B113" s="92"/>
      <c r="C113" s="92"/>
      <c r="D113" s="90">
        <v>1</v>
      </c>
    </row>
    <row r="114" spans="1:4" ht="30" x14ac:dyDescent="0.25">
      <c r="A114" s="91" t="s">
        <v>105</v>
      </c>
      <c r="B114" s="92"/>
      <c r="C114" s="92"/>
      <c r="D114" s="90">
        <v>2</v>
      </c>
    </row>
    <row r="115" spans="1:4" x14ac:dyDescent="0.25">
      <c r="A115" s="91" t="s">
        <v>106</v>
      </c>
      <c r="B115" s="92"/>
      <c r="C115" s="92"/>
      <c r="D115" s="90">
        <v>3</v>
      </c>
    </row>
    <row r="116" spans="1:4" x14ac:dyDescent="0.25">
      <c r="A116" s="91" t="s">
        <v>107</v>
      </c>
      <c r="B116" s="92"/>
      <c r="C116" s="92"/>
      <c r="D116" s="90">
        <v>4</v>
      </c>
    </row>
    <row r="117" spans="1:4" x14ac:dyDescent="0.25">
      <c r="A117" s="91" t="s">
        <v>108</v>
      </c>
      <c r="B117" s="92"/>
      <c r="C117" s="92"/>
      <c r="D117" s="90">
        <v>5</v>
      </c>
    </row>
    <row r="118" spans="1:4" x14ac:dyDescent="0.25">
      <c r="A118" s="91"/>
      <c r="B118" s="92"/>
      <c r="C118" s="92"/>
      <c r="D118" s="90"/>
    </row>
    <row r="119" spans="1:4" ht="30" x14ac:dyDescent="0.25">
      <c r="A119" s="100" t="s">
        <v>109</v>
      </c>
      <c r="B119" s="109" t="s">
        <v>7</v>
      </c>
      <c r="C119" s="109" t="s">
        <v>8</v>
      </c>
      <c r="D119" s="89" t="s">
        <v>9</v>
      </c>
    </row>
    <row r="120" spans="1:4" x14ac:dyDescent="0.25">
      <c r="A120" s="91" t="s">
        <v>110</v>
      </c>
      <c r="B120" s="92"/>
      <c r="C120" s="92"/>
      <c r="D120" s="90">
        <v>1</v>
      </c>
    </row>
    <row r="121" spans="1:4" x14ac:dyDescent="0.25">
      <c r="A121" s="91" t="s">
        <v>111</v>
      </c>
      <c r="B121" s="92"/>
      <c r="C121" s="92"/>
      <c r="D121" s="90">
        <v>2</v>
      </c>
    </row>
    <row r="122" spans="1:4" ht="30" x14ac:dyDescent="0.25">
      <c r="A122" s="91" t="s">
        <v>112</v>
      </c>
      <c r="B122" s="92"/>
      <c r="C122" s="92"/>
      <c r="D122" s="90">
        <v>3</v>
      </c>
    </row>
    <row r="123" spans="1:4" x14ac:dyDescent="0.25">
      <c r="A123" s="91" t="s">
        <v>113</v>
      </c>
      <c r="B123" s="92"/>
      <c r="C123" s="92"/>
      <c r="D123" s="90">
        <v>4</v>
      </c>
    </row>
    <row r="124" spans="1:4" ht="30" x14ac:dyDescent="0.25">
      <c r="A124" s="91" t="s">
        <v>114</v>
      </c>
      <c r="B124" s="92"/>
      <c r="C124" s="92"/>
      <c r="D124" s="90">
        <v>5</v>
      </c>
    </row>
    <row r="125" spans="1:4" x14ac:dyDescent="0.25">
      <c r="A125" s="91"/>
      <c r="B125" s="92"/>
      <c r="C125" s="92"/>
      <c r="D125" s="90"/>
    </row>
    <row r="126" spans="1:4" ht="45" x14ac:dyDescent="0.25">
      <c r="A126" s="100" t="s">
        <v>115</v>
      </c>
      <c r="B126" s="109" t="s">
        <v>116</v>
      </c>
      <c r="C126" s="109" t="s">
        <v>117</v>
      </c>
      <c r="D126" s="89" t="s">
        <v>9</v>
      </c>
    </row>
    <row r="127" spans="1:4" x14ac:dyDescent="0.25">
      <c r="A127" s="91" t="s">
        <v>118</v>
      </c>
      <c r="B127" s="92"/>
      <c r="C127" s="92"/>
      <c r="D127" s="90">
        <v>1</v>
      </c>
    </row>
    <row r="128" spans="1:4" x14ac:dyDescent="0.25">
      <c r="A128" s="91" t="s">
        <v>119</v>
      </c>
      <c r="B128" s="92"/>
      <c r="C128" s="92"/>
      <c r="D128" s="90">
        <v>2</v>
      </c>
    </row>
    <row r="129" spans="1:4" x14ac:dyDescent="0.25">
      <c r="A129" s="91" t="s">
        <v>120</v>
      </c>
      <c r="B129" s="92"/>
      <c r="C129" s="92"/>
      <c r="D129" s="90">
        <v>3</v>
      </c>
    </row>
    <row r="130" spans="1:4" x14ac:dyDescent="0.25">
      <c r="A130" s="91" t="s">
        <v>121</v>
      </c>
      <c r="B130" s="92"/>
      <c r="C130" s="92"/>
      <c r="D130" s="90">
        <v>4</v>
      </c>
    </row>
    <row r="131" spans="1:4" ht="30" x14ac:dyDescent="0.25">
      <c r="A131" s="91" t="s">
        <v>114</v>
      </c>
      <c r="B131" s="92"/>
      <c r="C131" s="92"/>
      <c r="D131" s="90">
        <v>5</v>
      </c>
    </row>
    <row r="132" spans="1:4" x14ac:dyDescent="0.25">
      <c r="A132" s="91"/>
      <c r="B132" s="92"/>
      <c r="C132" s="92"/>
      <c r="D132" s="90"/>
    </row>
    <row r="133" spans="1:4" ht="30" x14ac:dyDescent="0.25">
      <c r="A133" s="101" t="s">
        <v>122</v>
      </c>
      <c r="B133" s="109" t="s">
        <v>7</v>
      </c>
      <c r="C133" s="109" t="s">
        <v>8</v>
      </c>
      <c r="D133" s="89" t="s">
        <v>9</v>
      </c>
    </row>
    <row r="134" spans="1:4" x14ac:dyDescent="0.25">
      <c r="A134" s="93" t="s">
        <v>123</v>
      </c>
      <c r="B134" s="95"/>
      <c r="C134" s="95"/>
      <c r="D134" s="90">
        <v>1</v>
      </c>
    </row>
    <row r="135" spans="1:4" ht="30" x14ac:dyDescent="0.25">
      <c r="A135" s="93" t="s">
        <v>124</v>
      </c>
      <c r="B135" s="95"/>
      <c r="C135" s="95"/>
      <c r="D135" s="90">
        <v>2</v>
      </c>
    </row>
    <row r="136" spans="1:4" x14ac:dyDescent="0.25">
      <c r="A136" s="93" t="s">
        <v>125</v>
      </c>
      <c r="B136" s="95"/>
      <c r="C136" s="95"/>
      <c r="D136" s="90">
        <v>3</v>
      </c>
    </row>
    <row r="137" spans="1:4" x14ac:dyDescent="0.25">
      <c r="A137" s="93" t="s">
        <v>126</v>
      </c>
      <c r="B137" s="95"/>
      <c r="C137" s="95"/>
      <c r="D137" s="90">
        <v>4</v>
      </c>
    </row>
    <row r="138" spans="1:4" x14ac:dyDescent="0.25">
      <c r="A138" s="93" t="s">
        <v>127</v>
      </c>
      <c r="B138" s="95"/>
      <c r="C138" s="95"/>
      <c r="D138" s="90">
        <v>5</v>
      </c>
    </row>
    <row r="140" spans="1:4" ht="23.25" x14ac:dyDescent="0.25">
      <c r="A140" s="118" t="s">
        <v>128</v>
      </c>
    </row>
    <row r="141" spans="1:4" ht="30" x14ac:dyDescent="0.25">
      <c r="A141" s="99" t="s">
        <v>129</v>
      </c>
      <c r="B141" s="110" t="s">
        <v>7</v>
      </c>
      <c r="C141" s="110" t="s">
        <v>8</v>
      </c>
      <c r="D141" s="89" t="s">
        <v>9</v>
      </c>
    </row>
    <row r="142" spans="1:4" x14ac:dyDescent="0.25">
      <c r="A142" s="91" t="s">
        <v>28</v>
      </c>
      <c r="B142" s="92"/>
      <c r="C142" s="92"/>
      <c r="D142" s="90">
        <v>1</v>
      </c>
    </row>
    <row r="143" spans="1:4" x14ac:dyDescent="0.25">
      <c r="A143" s="91" t="s">
        <v>130</v>
      </c>
      <c r="B143" s="92"/>
      <c r="C143" s="92"/>
      <c r="D143" s="90">
        <v>2</v>
      </c>
    </row>
    <row r="144" spans="1:4" ht="30" x14ac:dyDescent="0.25">
      <c r="A144" s="91" t="s">
        <v>131</v>
      </c>
      <c r="B144" s="92"/>
      <c r="C144" s="92"/>
      <c r="D144" s="90">
        <v>3</v>
      </c>
    </row>
    <row r="145" spans="1:4" x14ac:dyDescent="0.25">
      <c r="A145" s="91" t="s">
        <v>132</v>
      </c>
      <c r="B145" s="92"/>
      <c r="C145" s="92"/>
      <c r="D145" s="90">
        <v>4</v>
      </c>
    </row>
    <row r="146" spans="1:4" x14ac:dyDescent="0.25">
      <c r="A146" s="91" t="s">
        <v>133</v>
      </c>
      <c r="B146" s="92"/>
      <c r="C146" s="92"/>
      <c r="D146" s="90">
        <v>5</v>
      </c>
    </row>
    <row r="147" spans="1:4" x14ac:dyDescent="0.25">
      <c r="A147" s="91"/>
      <c r="B147" s="92"/>
      <c r="C147" s="92"/>
      <c r="D147" s="90"/>
    </row>
    <row r="148" spans="1:4" ht="30" x14ac:dyDescent="0.25">
      <c r="A148" s="99" t="s">
        <v>134</v>
      </c>
      <c r="B148" s="110" t="s">
        <v>7</v>
      </c>
      <c r="C148" s="110" t="s">
        <v>8</v>
      </c>
      <c r="D148" s="89" t="s">
        <v>9</v>
      </c>
    </row>
    <row r="149" spans="1:4" x14ac:dyDescent="0.25">
      <c r="A149" s="91" t="s">
        <v>135</v>
      </c>
      <c r="B149" s="92"/>
      <c r="C149" s="92"/>
      <c r="D149" s="90">
        <v>1</v>
      </c>
    </row>
    <row r="150" spans="1:4" ht="30" x14ac:dyDescent="0.25">
      <c r="A150" s="91" t="s">
        <v>136</v>
      </c>
      <c r="B150" s="92"/>
      <c r="C150" s="92"/>
      <c r="D150" s="90">
        <v>2</v>
      </c>
    </row>
    <row r="151" spans="1:4" ht="30" x14ac:dyDescent="0.25">
      <c r="A151" s="91" t="s">
        <v>137</v>
      </c>
      <c r="B151" s="92"/>
      <c r="C151" s="92"/>
      <c r="D151" s="90">
        <v>3</v>
      </c>
    </row>
    <row r="152" spans="1:4" x14ac:dyDescent="0.25">
      <c r="A152" s="91" t="s">
        <v>138</v>
      </c>
      <c r="B152" s="92"/>
      <c r="C152" s="92"/>
      <c r="D152" s="90">
        <v>4</v>
      </c>
    </row>
    <row r="153" spans="1:4" ht="30" x14ac:dyDescent="0.25">
      <c r="A153" s="91" t="s">
        <v>139</v>
      </c>
      <c r="B153" s="92"/>
      <c r="C153" s="92"/>
      <c r="D153" s="90">
        <v>5</v>
      </c>
    </row>
    <row r="154" spans="1:4" x14ac:dyDescent="0.25">
      <c r="A154" s="91"/>
      <c r="B154" s="92"/>
      <c r="C154" s="92"/>
      <c r="D154" s="90"/>
    </row>
    <row r="155" spans="1:4" ht="30" x14ac:dyDescent="0.25">
      <c r="A155" s="99" t="s">
        <v>140</v>
      </c>
      <c r="B155" s="110" t="s">
        <v>7</v>
      </c>
      <c r="C155" s="110" t="s">
        <v>8</v>
      </c>
      <c r="D155" s="89" t="s">
        <v>9</v>
      </c>
    </row>
    <row r="156" spans="1:4" x14ac:dyDescent="0.25">
      <c r="A156" s="91" t="s">
        <v>141</v>
      </c>
      <c r="B156" s="92"/>
      <c r="C156" s="92"/>
      <c r="D156" s="90">
        <v>1</v>
      </c>
    </row>
    <row r="157" spans="1:4" x14ac:dyDescent="0.25">
      <c r="A157" s="91" t="s">
        <v>142</v>
      </c>
      <c r="B157" s="92"/>
      <c r="C157" s="92"/>
      <c r="D157" s="90">
        <v>2</v>
      </c>
    </row>
    <row r="158" spans="1:4" ht="30" x14ac:dyDescent="0.25">
      <c r="A158" s="91" t="s">
        <v>143</v>
      </c>
      <c r="B158" s="92"/>
      <c r="C158" s="92"/>
      <c r="D158" s="90">
        <v>3</v>
      </c>
    </row>
    <row r="159" spans="1:4" ht="30" x14ac:dyDescent="0.25">
      <c r="A159" s="91" t="s">
        <v>144</v>
      </c>
      <c r="B159" s="92"/>
      <c r="C159" s="92"/>
      <c r="D159" s="90">
        <v>4</v>
      </c>
    </row>
    <row r="160" spans="1:4" ht="30" x14ac:dyDescent="0.25">
      <c r="A160" s="91" t="s">
        <v>145</v>
      </c>
      <c r="B160" s="92"/>
      <c r="C160" s="92"/>
      <c r="D160" s="90">
        <v>5</v>
      </c>
    </row>
    <row r="161" spans="1:4" x14ac:dyDescent="0.25">
      <c r="A161" s="91"/>
      <c r="B161" s="92"/>
      <c r="C161" s="92"/>
      <c r="D161" s="90"/>
    </row>
    <row r="162" spans="1:4" ht="30" x14ac:dyDescent="0.25">
      <c r="A162" s="99" t="s">
        <v>146</v>
      </c>
      <c r="B162" s="110" t="s">
        <v>7</v>
      </c>
      <c r="C162" s="110" t="s">
        <v>8</v>
      </c>
      <c r="D162" s="89" t="s">
        <v>9</v>
      </c>
    </row>
    <row r="163" spans="1:4" x14ac:dyDescent="0.25">
      <c r="A163" s="91" t="s">
        <v>28</v>
      </c>
      <c r="B163" s="92"/>
      <c r="C163" s="92"/>
      <c r="D163" s="90">
        <v>1</v>
      </c>
    </row>
    <row r="164" spans="1:4" x14ac:dyDescent="0.25">
      <c r="A164" s="91" t="s">
        <v>147</v>
      </c>
      <c r="B164" s="92"/>
      <c r="C164" s="92"/>
      <c r="D164" s="90">
        <v>2</v>
      </c>
    </row>
    <row r="165" spans="1:4" ht="30" x14ac:dyDescent="0.25">
      <c r="A165" s="91" t="s">
        <v>148</v>
      </c>
      <c r="B165" s="92"/>
      <c r="C165" s="92"/>
      <c r="D165" s="90">
        <v>3</v>
      </c>
    </row>
    <row r="166" spans="1:4" ht="30" x14ac:dyDescent="0.25">
      <c r="A166" s="91" t="s">
        <v>149</v>
      </c>
      <c r="B166" s="92"/>
      <c r="C166" s="92"/>
      <c r="D166" s="90">
        <v>4</v>
      </c>
    </row>
    <row r="167" spans="1:4" ht="30" x14ac:dyDescent="0.25">
      <c r="A167" s="91" t="s">
        <v>150</v>
      </c>
      <c r="B167" s="92"/>
      <c r="C167" s="92"/>
      <c r="D167" s="90">
        <v>5</v>
      </c>
    </row>
    <row r="168" spans="1:4" x14ac:dyDescent="0.25">
      <c r="A168" s="91"/>
      <c r="B168" s="92"/>
      <c r="C168" s="92"/>
      <c r="D168" s="90"/>
    </row>
    <row r="169" spans="1:4" ht="30" x14ac:dyDescent="0.25">
      <c r="A169" s="99" t="s">
        <v>151</v>
      </c>
      <c r="B169" s="110" t="s">
        <v>7</v>
      </c>
      <c r="C169" s="110" t="s">
        <v>8</v>
      </c>
      <c r="D169" s="89" t="s">
        <v>9</v>
      </c>
    </row>
    <row r="170" spans="1:4" ht="30" x14ac:dyDescent="0.25">
      <c r="A170" s="91" t="s">
        <v>152</v>
      </c>
      <c r="B170" s="92"/>
      <c r="C170" s="92"/>
      <c r="D170" s="90">
        <v>1</v>
      </c>
    </row>
    <row r="171" spans="1:4" ht="30" x14ac:dyDescent="0.25">
      <c r="A171" s="91" t="s">
        <v>153</v>
      </c>
      <c r="B171" s="92"/>
      <c r="C171" s="92"/>
      <c r="D171" s="90">
        <v>2</v>
      </c>
    </row>
    <row r="172" spans="1:4" ht="30" x14ac:dyDescent="0.25">
      <c r="A172" s="91" t="s">
        <v>154</v>
      </c>
      <c r="B172" s="92"/>
      <c r="C172" s="92"/>
      <c r="D172" s="90">
        <v>3</v>
      </c>
    </row>
    <row r="173" spans="1:4" ht="30" x14ac:dyDescent="0.25">
      <c r="A173" s="91" t="s">
        <v>155</v>
      </c>
      <c r="B173" s="92"/>
      <c r="C173" s="92"/>
      <c r="D173" s="90">
        <v>4</v>
      </c>
    </row>
    <row r="174" spans="1:4" ht="30" x14ac:dyDescent="0.25">
      <c r="A174" s="91" t="s">
        <v>156</v>
      </c>
      <c r="B174" s="92"/>
      <c r="C174" s="92"/>
      <c r="D174" s="90">
        <v>5</v>
      </c>
    </row>
    <row r="176" spans="1:4" ht="23.25" x14ac:dyDescent="0.25">
      <c r="A176" s="119" t="s">
        <v>157</v>
      </c>
    </row>
    <row r="177" spans="1:4" ht="30" x14ac:dyDescent="0.25">
      <c r="A177" s="98" t="s">
        <v>158</v>
      </c>
      <c r="B177" s="111" t="s">
        <v>7</v>
      </c>
      <c r="C177" s="111" t="s">
        <v>8</v>
      </c>
      <c r="D177" s="89" t="s">
        <v>9</v>
      </c>
    </row>
    <row r="178" spans="1:4" x14ac:dyDescent="0.25">
      <c r="A178" s="91" t="s">
        <v>159</v>
      </c>
      <c r="B178" s="92"/>
      <c r="C178" s="92"/>
      <c r="D178" s="90">
        <v>1</v>
      </c>
    </row>
    <row r="179" spans="1:4" x14ac:dyDescent="0.25">
      <c r="A179" s="91" t="s">
        <v>160</v>
      </c>
      <c r="B179" s="92"/>
      <c r="C179" s="92"/>
      <c r="D179" s="90">
        <v>2</v>
      </c>
    </row>
    <row r="180" spans="1:4" x14ac:dyDescent="0.25">
      <c r="A180" s="91" t="s">
        <v>161</v>
      </c>
      <c r="B180" s="92"/>
      <c r="C180" s="92"/>
      <c r="D180" s="90">
        <v>3</v>
      </c>
    </row>
    <row r="181" spans="1:4" ht="30" x14ac:dyDescent="0.25">
      <c r="A181" s="91" t="s">
        <v>162</v>
      </c>
      <c r="B181" s="92"/>
      <c r="C181" s="92"/>
      <c r="D181" s="90">
        <v>4</v>
      </c>
    </row>
    <row r="182" spans="1:4" x14ac:dyDescent="0.25">
      <c r="A182" s="91" t="s">
        <v>163</v>
      </c>
      <c r="B182" s="92"/>
      <c r="C182" s="92"/>
      <c r="D182" s="90">
        <v>5</v>
      </c>
    </row>
    <row r="183" spans="1:4" x14ac:dyDescent="0.25">
      <c r="A183" s="91"/>
      <c r="B183" s="92"/>
      <c r="C183" s="92"/>
      <c r="D183" s="90"/>
    </row>
    <row r="184" spans="1:4" ht="30" x14ac:dyDescent="0.25">
      <c r="A184" s="98" t="s">
        <v>164</v>
      </c>
      <c r="B184" s="111" t="s">
        <v>7</v>
      </c>
      <c r="C184" s="111" t="s">
        <v>8</v>
      </c>
      <c r="D184" s="89" t="s">
        <v>9</v>
      </c>
    </row>
    <row r="185" spans="1:4" x14ac:dyDescent="0.25">
      <c r="A185" s="91" t="s">
        <v>165</v>
      </c>
      <c r="B185" s="92"/>
      <c r="C185" s="92"/>
      <c r="D185" s="90">
        <v>1</v>
      </c>
    </row>
    <row r="186" spans="1:4" x14ac:dyDescent="0.25">
      <c r="A186" s="91" t="s">
        <v>166</v>
      </c>
      <c r="B186" s="92"/>
      <c r="C186" s="92"/>
      <c r="D186" s="90">
        <v>2</v>
      </c>
    </row>
    <row r="187" spans="1:4" x14ac:dyDescent="0.25">
      <c r="A187" s="91" t="s">
        <v>167</v>
      </c>
      <c r="B187" s="92"/>
      <c r="C187" s="92"/>
      <c r="D187" s="90">
        <v>3</v>
      </c>
    </row>
    <row r="188" spans="1:4" x14ac:dyDescent="0.25">
      <c r="A188" s="91" t="s">
        <v>168</v>
      </c>
      <c r="B188" s="92"/>
      <c r="C188" s="92"/>
      <c r="D188" s="90">
        <v>4</v>
      </c>
    </row>
    <row r="189" spans="1:4" x14ac:dyDescent="0.25">
      <c r="A189" s="91" t="s">
        <v>169</v>
      </c>
      <c r="B189" s="92"/>
      <c r="C189" s="92"/>
      <c r="D189" s="90">
        <v>5</v>
      </c>
    </row>
    <row r="190" spans="1:4" x14ac:dyDescent="0.25">
      <c r="A190" s="91"/>
      <c r="B190" s="92"/>
      <c r="C190" s="92"/>
      <c r="D190" s="90"/>
    </row>
    <row r="191" spans="1:4" ht="30" x14ac:dyDescent="0.25">
      <c r="A191" s="98" t="s">
        <v>170</v>
      </c>
      <c r="B191" s="111" t="s">
        <v>7</v>
      </c>
      <c r="C191" s="111" t="s">
        <v>8</v>
      </c>
      <c r="D191" s="89" t="s">
        <v>9</v>
      </c>
    </row>
    <row r="192" spans="1:4" x14ac:dyDescent="0.25">
      <c r="A192" s="91" t="s">
        <v>171</v>
      </c>
      <c r="B192" s="92"/>
      <c r="C192" s="92"/>
      <c r="D192" s="90">
        <v>1</v>
      </c>
    </row>
    <row r="193" spans="1:4" x14ac:dyDescent="0.25">
      <c r="A193" s="91" t="s">
        <v>172</v>
      </c>
      <c r="B193" s="92"/>
      <c r="C193" s="92"/>
      <c r="D193" s="90">
        <v>2</v>
      </c>
    </row>
    <row r="194" spans="1:4" x14ac:dyDescent="0.25">
      <c r="A194" s="91" t="s">
        <v>173</v>
      </c>
      <c r="B194" s="92"/>
      <c r="C194" s="92"/>
      <c r="D194" s="90">
        <v>3</v>
      </c>
    </row>
    <row r="195" spans="1:4" x14ac:dyDescent="0.25">
      <c r="A195" s="91" t="s">
        <v>174</v>
      </c>
      <c r="B195" s="92"/>
      <c r="C195" s="92"/>
      <c r="D195" s="90">
        <v>4</v>
      </c>
    </row>
    <row r="196" spans="1:4" x14ac:dyDescent="0.25">
      <c r="A196" s="91" t="s">
        <v>175</v>
      </c>
      <c r="B196" s="92"/>
      <c r="C196" s="92"/>
      <c r="D196" s="90">
        <v>5</v>
      </c>
    </row>
    <row r="197" spans="1:4" x14ac:dyDescent="0.25">
      <c r="A197" s="91"/>
      <c r="B197" s="92"/>
      <c r="C197" s="92"/>
      <c r="D197" s="90"/>
    </row>
    <row r="198" spans="1:4" ht="30" x14ac:dyDescent="0.25">
      <c r="A198" s="98" t="s">
        <v>176</v>
      </c>
      <c r="B198" s="111" t="s">
        <v>7</v>
      </c>
      <c r="C198" s="111" t="s">
        <v>8</v>
      </c>
      <c r="D198" s="89" t="s">
        <v>9</v>
      </c>
    </row>
    <row r="199" spans="1:4" x14ac:dyDescent="0.25">
      <c r="A199" s="91" t="s">
        <v>177</v>
      </c>
      <c r="B199" s="92"/>
      <c r="C199" s="92"/>
      <c r="D199" s="90">
        <v>1</v>
      </c>
    </row>
    <row r="200" spans="1:4" x14ac:dyDescent="0.25">
      <c r="A200" s="91" t="s">
        <v>178</v>
      </c>
      <c r="B200" s="92"/>
      <c r="C200" s="92"/>
      <c r="D200" s="90">
        <v>2</v>
      </c>
    </row>
    <row r="201" spans="1:4" x14ac:dyDescent="0.25">
      <c r="A201" s="91" t="s">
        <v>179</v>
      </c>
      <c r="B201" s="92"/>
      <c r="C201" s="92"/>
      <c r="D201" s="90">
        <v>3</v>
      </c>
    </row>
    <row r="202" spans="1:4" x14ac:dyDescent="0.25">
      <c r="A202" s="91" t="s">
        <v>180</v>
      </c>
      <c r="B202" s="92"/>
      <c r="C202" s="92"/>
      <c r="D202" s="90">
        <v>4</v>
      </c>
    </row>
    <row r="203" spans="1:4" x14ac:dyDescent="0.25">
      <c r="A203" s="91" t="s">
        <v>181</v>
      </c>
      <c r="B203" s="92"/>
      <c r="C203" s="92"/>
      <c r="D203" s="90">
        <v>5</v>
      </c>
    </row>
    <row r="204" spans="1:4" x14ac:dyDescent="0.25">
      <c r="A204" s="91"/>
      <c r="B204" s="92"/>
      <c r="C204" s="92"/>
      <c r="D204" s="90"/>
    </row>
    <row r="205" spans="1:4" ht="30" x14ac:dyDescent="0.25">
      <c r="A205" s="98" t="s">
        <v>182</v>
      </c>
      <c r="B205" s="111" t="s">
        <v>7</v>
      </c>
      <c r="C205" s="111" t="s">
        <v>8</v>
      </c>
      <c r="D205" s="89" t="s">
        <v>9</v>
      </c>
    </row>
    <row r="206" spans="1:4" x14ac:dyDescent="0.25">
      <c r="A206" s="91" t="s">
        <v>183</v>
      </c>
      <c r="B206" s="92"/>
      <c r="C206" s="92"/>
      <c r="D206" s="90">
        <v>1</v>
      </c>
    </row>
    <row r="207" spans="1:4" x14ac:dyDescent="0.25">
      <c r="A207" s="91" t="s">
        <v>184</v>
      </c>
      <c r="B207" s="92"/>
      <c r="C207" s="92"/>
      <c r="D207" s="90">
        <v>2</v>
      </c>
    </row>
    <row r="208" spans="1:4" x14ac:dyDescent="0.25">
      <c r="A208" s="91" t="s">
        <v>185</v>
      </c>
      <c r="B208" s="92"/>
      <c r="C208" s="92"/>
      <c r="D208" s="90">
        <v>3</v>
      </c>
    </row>
    <row r="209" spans="1:4" x14ac:dyDescent="0.25">
      <c r="A209" s="91" t="s">
        <v>186</v>
      </c>
      <c r="B209" s="92"/>
      <c r="C209" s="92"/>
      <c r="D209" s="90">
        <v>4</v>
      </c>
    </row>
    <row r="210" spans="1:4" x14ac:dyDescent="0.25">
      <c r="A210" s="91" t="s">
        <v>187</v>
      </c>
      <c r="B210" s="92"/>
      <c r="C210" s="92"/>
      <c r="D210" s="90">
        <v>5</v>
      </c>
    </row>
    <row r="212" spans="1:4" ht="23.25" x14ac:dyDescent="0.25">
      <c r="A212" s="120" t="s">
        <v>188</v>
      </c>
    </row>
    <row r="213" spans="1:4" ht="30" x14ac:dyDescent="0.25">
      <c r="A213" s="97" t="s">
        <v>189</v>
      </c>
      <c r="B213" s="112" t="s">
        <v>7</v>
      </c>
      <c r="C213" s="112" t="s">
        <v>8</v>
      </c>
      <c r="D213" s="89" t="s">
        <v>9</v>
      </c>
    </row>
    <row r="214" spans="1:4" x14ac:dyDescent="0.25">
      <c r="A214" s="91" t="s">
        <v>190</v>
      </c>
      <c r="B214" s="92"/>
      <c r="C214" s="92"/>
      <c r="D214" s="90">
        <v>1</v>
      </c>
    </row>
    <row r="215" spans="1:4" x14ac:dyDescent="0.25">
      <c r="A215" s="91" t="s">
        <v>191</v>
      </c>
      <c r="B215" s="92"/>
      <c r="C215" s="92"/>
      <c r="D215" s="90">
        <v>2</v>
      </c>
    </row>
    <row r="216" spans="1:4" ht="30" x14ac:dyDescent="0.25">
      <c r="A216" s="91" t="s">
        <v>192</v>
      </c>
      <c r="B216" s="92"/>
      <c r="C216" s="92"/>
      <c r="D216" s="90">
        <v>3</v>
      </c>
    </row>
    <row r="217" spans="1:4" x14ac:dyDescent="0.25">
      <c r="A217" s="91" t="s">
        <v>193</v>
      </c>
      <c r="B217" s="92"/>
      <c r="C217" s="92"/>
      <c r="D217" s="90">
        <v>4</v>
      </c>
    </row>
    <row r="218" spans="1:4" x14ac:dyDescent="0.25">
      <c r="A218" s="91" t="s">
        <v>194</v>
      </c>
      <c r="B218" s="92"/>
      <c r="C218" s="92"/>
      <c r="D218" s="90">
        <v>5</v>
      </c>
    </row>
    <row r="219" spans="1:4" x14ac:dyDescent="0.25">
      <c r="A219" s="91"/>
      <c r="B219" s="92"/>
      <c r="C219" s="92"/>
      <c r="D219" s="90"/>
    </row>
    <row r="220" spans="1:4" ht="30" x14ac:dyDescent="0.25">
      <c r="A220" s="97" t="s">
        <v>195</v>
      </c>
      <c r="B220" s="112" t="s">
        <v>7</v>
      </c>
      <c r="C220" s="112" t="s">
        <v>8</v>
      </c>
      <c r="D220" s="89" t="s">
        <v>9</v>
      </c>
    </row>
    <row r="221" spans="1:4" x14ac:dyDescent="0.25">
      <c r="A221" s="91" t="s">
        <v>28</v>
      </c>
      <c r="B221" s="92"/>
      <c r="C221" s="92"/>
      <c r="D221" s="90">
        <v>1</v>
      </c>
    </row>
    <row r="222" spans="1:4" x14ac:dyDescent="0.25">
      <c r="A222" s="91" t="s">
        <v>196</v>
      </c>
      <c r="B222" s="92"/>
      <c r="C222" s="92"/>
      <c r="D222" s="90">
        <v>2</v>
      </c>
    </row>
    <row r="223" spans="1:4" ht="30" x14ac:dyDescent="0.25">
      <c r="A223" s="91" t="s">
        <v>197</v>
      </c>
      <c r="B223" s="92"/>
      <c r="C223" s="92"/>
      <c r="D223" s="90">
        <v>3</v>
      </c>
    </row>
    <row r="224" spans="1:4" ht="30" x14ac:dyDescent="0.25">
      <c r="A224" s="91" t="s">
        <v>198</v>
      </c>
      <c r="B224" s="92"/>
      <c r="C224" s="92"/>
      <c r="D224" s="90">
        <v>4</v>
      </c>
    </row>
    <row r="225" spans="1:9" x14ac:dyDescent="0.25">
      <c r="A225" s="91" t="s">
        <v>199</v>
      </c>
      <c r="B225" s="92"/>
      <c r="C225" s="92"/>
      <c r="D225" s="90">
        <v>5</v>
      </c>
    </row>
    <row r="226" spans="1:9" x14ac:dyDescent="0.25">
      <c r="A226" s="91"/>
      <c r="B226" s="92"/>
      <c r="C226" s="92"/>
      <c r="D226" s="90"/>
    </row>
    <row r="227" spans="1:9" ht="30" x14ac:dyDescent="0.25">
      <c r="A227" s="97" t="s">
        <v>200</v>
      </c>
      <c r="B227" s="112" t="s">
        <v>7</v>
      </c>
      <c r="C227" s="112" t="s">
        <v>8</v>
      </c>
      <c r="D227" s="89" t="s">
        <v>9</v>
      </c>
    </row>
    <row r="228" spans="1:9" x14ac:dyDescent="0.25">
      <c r="A228" s="91" t="s">
        <v>201</v>
      </c>
      <c r="B228" s="92"/>
      <c r="C228" s="92"/>
      <c r="D228" s="90">
        <v>1</v>
      </c>
    </row>
    <row r="229" spans="1:9" ht="30" x14ac:dyDescent="0.25">
      <c r="A229" s="91" t="s">
        <v>202</v>
      </c>
      <c r="B229" s="92"/>
      <c r="C229" s="92"/>
      <c r="D229" s="90">
        <v>2</v>
      </c>
    </row>
    <row r="230" spans="1:9" x14ac:dyDescent="0.25">
      <c r="A230" s="91" t="s">
        <v>203</v>
      </c>
      <c r="B230" s="92"/>
      <c r="C230" s="92"/>
      <c r="D230" s="90">
        <v>3</v>
      </c>
    </row>
    <row r="231" spans="1:9" x14ac:dyDescent="0.25">
      <c r="A231" s="91" t="s">
        <v>204</v>
      </c>
      <c r="B231" s="92"/>
      <c r="C231" s="92"/>
      <c r="D231" s="90">
        <v>4</v>
      </c>
    </row>
    <row r="232" spans="1:9" x14ac:dyDescent="0.25">
      <c r="A232" s="91" t="s">
        <v>205</v>
      </c>
      <c r="B232" s="92"/>
      <c r="C232" s="92"/>
      <c r="D232" s="90">
        <v>5</v>
      </c>
    </row>
    <row r="233" spans="1:9" x14ac:dyDescent="0.25">
      <c r="A233" s="91"/>
      <c r="B233" s="92"/>
      <c r="C233" s="92"/>
      <c r="D233" s="90"/>
    </row>
    <row r="234" spans="1:9" ht="30" x14ac:dyDescent="0.25">
      <c r="A234" s="97" t="s">
        <v>206</v>
      </c>
      <c r="B234" s="112" t="s">
        <v>7</v>
      </c>
      <c r="C234" s="112" t="s">
        <v>8</v>
      </c>
      <c r="D234" s="89" t="s">
        <v>9</v>
      </c>
    </row>
    <row r="235" spans="1:9" x14ac:dyDescent="0.25">
      <c r="A235" s="113" t="s">
        <v>28</v>
      </c>
      <c r="B235" s="92"/>
      <c r="C235" s="92"/>
      <c r="D235" s="90">
        <v>1</v>
      </c>
    </row>
    <row r="236" spans="1:9" x14ac:dyDescent="0.25">
      <c r="A236" s="91" t="s">
        <v>207</v>
      </c>
      <c r="B236" s="92"/>
      <c r="C236" s="92"/>
      <c r="D236" s="90">
        <v>2</v>
      </c>
    </row>
    <row r="237" spans="1:9" ht="30" x14ac:dyDescent="0.25">
      <c r="A237" s="91" t="s">
        <v>208</v>
      </c>
      <c r="B237" s="92"/>
      <c r="C237" s="92"/>
      <c r="D237" s="90">
        <v>3</v>
      </c>
    </row>
    <row r="238" spans="1:9" ht="45" x14ac:dyDescent="0.25">
      <c r="A238" s="91" t="s">
        <v>209</v>
      </c>
      <c r="B238" s="92"/>
      <c r="C238" s="92"/>
      <c r="D238" s="90">
        <v>4</v>
      </c>
      <c r="I238" s="106"/>
    </row>
    <row r="239" spans="1:9" ht="30" x14ac:dyDescent="0.25">
      <c r="A239" s="91" t="s">
        <v>210</v>
      </c>
      <c r="B239" s="92"/>
      <c r="C239" s="92"/>
      <c r="D239" s="90">
        <v>5</v>
      </c>
    </row>
    <row r="240" spans="1:9" x14ac:dyDescent="0.25">
      <c r="A240" s="91"/>
      <c r="B240" s="92"/>
      <c r="C240" s="92"/>
      <c r="D240" s="90"/>
    </row>
    <row r="241" spans="1:4" ht="30" x14ac:dyDescent="0.25">
      <c r="A241" s="97" t="s">
        <v>211</v>
      </c>
      <c r="B241" s="112" t="s">
        <v>7</v>
      </c>
      <c r="C241" s="112" t="s">
        <v>8</v>
      </c>
      <c r="D241" s="89" t="s">
        <v>9</v>
      </c>
    </row>
    <row r="242" spans="1:4" x14ac:dyDescent="0.25">
      <c r="A242" s="91" t="s">
        <v>212</v>
      </c>
      <c r="B242" s="92"/>
      <c r="C242" s="92"/>
      <c r="D242" s="90">
        <v>1</v>
      </c>
    </row>
    <row r="243" spans="1:4" ht="30" x14ac:dyDescent="0.25">
      <c r="A243" s="91" t="s">
        <v>213</v>
      </c>
      <c r="B243" s="92"/>
      <c r="C243" s="92"/>
      <c r="D243" s="90">
        <v>2</v>
      </c>
    </row>
    <row r="244" spans="1:4" ht="30" x14ac:dyDescent="0.25">
      <c r="A244" s="91" t="s">
        <v>214</v>
      </c>
      <c r="B244" s="92"/>
      <c r="C244" s="92"/>
      <c r="D244" s="90">
        <v>3</v>
      </c>
    </row>
    <row r="245" spans="1:4" ht="30" x14ac:dyDescent="0.25">
      <c r="A245" s="91" t="s">
        <v>215</v>
      </c>
      <c r="B245" s="92"/>
      <c r="C245" s="92"/>
      <c r="D245" s="90">
        <v>4</v>
      </c>
    </row>
    <row r="246" spans="1:4" ht="30" x14ac:dyDescent="0.25">
      <c r="A246" s="91" t="s">
        <v>216</v>
      </c>
      <c r="B246" s="92"/>
      <c r="C246" s="92"/>
      <c r="D246"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K27"/>
  <sheetViews>
    <sheetView showGridLines="0" topLeftCell="A2" zoomScale="80" zoomScaleNormal="80" workbookViewId="0">
      <selection activeCell="B18" sqref="B18"/>
    </sheetView>
  </sheetViews>
  <sheetFormatPr defaultColWidth="8.7109375" defaultRowHeight="15" x14ac:dyDescent="0.25"/>
  <cols>
    <col min="1" max="1" width="8.7109375" bestFit="1" customWidth="1"/>
    <col min="2" max="4" width="25.7109375" customWidth="1"/>
    <col min="5" max="37" width="6.42578125" style="27" customWidth="1"/>
  </cols>
  <sheetData>
    <row r="1" spans="1:37" s="1" customFormat="1" ht="100.9" customHeight="1" x14ac:dyDescent="0.25">
      <c r="A1" s="36"/>
      <c r="B1" s="37"/>
      <c r="C1" s="37"/>
      <c r="D1" s="38"/>
      <c r="E1" s="39" t="s">
        <v>217</v>
      </c>
      <c r="F1" s="40" t="s">
        <v>217</v>
      </c>
      <c r="G1" s="40" t="s">
        <v>217</v>
      </c>
      <c r="H1" s="40" t="s">
        <v>217</v>
      </c>
      <c r="I1" s="41" t="s">
        <v>217</v>
      </c>
      <c r="J1" s="42" t="s">
        <v>217</v>
      </c>
      <c r="K1" s="39" t="s">
        <v>218</v>
      </c>
      <c r="L1" s="40" t="s">
        <v>218</v>
      </c>
      <c r="M1" s="40" t="s">
        <v>218</v>
      </c>
      <c r="N1" s="40" t="s">
        <v>218</v>
      </c>
      <c r="O1" s="41" t="s">
        <v>218</v>
      </c>
      <c r="P1" s="42" t="s">
        <v>218</v>
      </c>
      <c r="Q1" s="43" t="s">
        <v>219</v>
      </c>
      <c r="R1" s="40" t="s">
        <v>219</v>
      </c>
      <c r="S1" s="40" t="s">
        <v>219</v>
      </c>
      <c r="T1" s="40" t="s">
        <v>219</v>
      </c>
      <c r="U1" s="40" t="s">
        <v>219</v>
      </c>
      <c r="V1" s="41" t="s">
        <v>219</v>
      </c>
      <c r="W1" s="39" t="s">
        <v>220</v>
      </c>
      <c r="X1" s="40" t="s">
        <v>220</v>
      </c>
      <c r="Y1" s="40" t="s">
        <v>220</v>
      </c>
      <c r="Z1" s="40" t="s">
        <v>220</v>
      </c>
      <c r="AA1" s="41" t="s">
        <v>220</v>
      </c>
      <c r="AB1" s="39" t="s">
        <v>221</v>
      </c>
      <c r="AC1" s="40" t="s">
        <v>221</v>
      </c>
      <c r="AD1" s="40" t="s">
        <v>221</v>
      </c>
      <c r="AE1" s="40" t="s">
        <v>221</v>
      </c>
      <c r="AF1" s="42" t="s">
        <v>221</v>
      </c>
      <c r="AG1" s="43" t="s">
        <v>222</v>
      </c>
      <c r="AH1" s="40" t="s">
        <v>222</v>
      </c>
      <c r="AI1" s="40" t="s">
        <v>222</v>
      </c>
      <c r="AJ1" s="40" t="s">
        <v>222</v>
      </c>
      <c r="AK1" s="42" t="s">
        <v>222</v>
      </c>
    </row>
    <row r="2" spans="1:37" s="1" customFormat="1" ht="150.4" customHeight="1" x14ac:dyDescent="0.25">
      <c r="A2" s="8"/>
      <c r="B2" s="9"/>
      <c r="C2" s="9"/>
      <c r="D2" s="10"/>
      <c r="E2" s="11" t="s">
        <v>17</v>
      </c>
      <c r="F2" s="12" t="s">
        <v>23</v>
      </c>
      <c r="G2" s="12" t="s">
        <v>29</v>
      </c>
      <c r="H2" s="12" t="s">
        <v>35</v>
      </c>
      <c r="I2" s="15" t="s">
        <v>41</v>
      </c>
      <c r="J2" s="13" t="s">
        <v>47</v>
      </c>
      <c r="K2" s="11" t="s">
        <v>54</v>
      </c>
      <c r="L2" s="12" t="s">
        <v>60</v>
      </c>
      <c r="M2" s="12" t="s">
        <v>66</v>
      </c>
      <c r="N2" s="12" t="s">
        <v>72</v>
      </c>
      <c r="O2" s="15" t="s">
        <v>78</v>
      </c>
      <c r="P2" s="13" t="s">
        <v>84</v>
      </c>
      <c r="Q2" s="14" t="s">
        <v>91</v>
      </c>
      <c r="R2" s="12" t="s">
        <v>97</v>
      </c>
      <c r="S2" s="12" t="s">
        <v>103</v>
      </c>
      <c r="T2" s="12" t="s">
        <v>109</v>
      </c>
      <c r="U2" s="15" t="s">
        <v>115</v>
      </c>
      <c r="V2" s="15" t="s">
        <v>122</v>
      </c>
      <c r="W2" s="11" t="s">
        <v>129</v>
      </c>
      <c r="X2" s="12" t="s">
        <v>134</v>
      </c>
      <c r="Y2" s="12" t="s">
        <v>140</v>
      </c>
      <c r="Z2" s="12" t="s">
        <v>146</v>
      </c>
      <c r="AA2" s="15" t="s">
        <v>223</v>
      </c>
      <c r="AB2" s="11" t="s">
        <v>158</v>
      </c>
      <c r="AC2" s="12" t="s">
        <v>164</v>
      </c>
      <c r="AD2" s="12" t="s">
        <v>170</v>
      </c>
      <c r="AE2" s="12" t="s">
        <v>224</v>
      </c>
      <c r="AF2" s="13" t="s">
        <v>182</v>
      </c>
      <c r="AG2" s="14" t="s">
        <v>189</v>
      </c>
      <c r="AH2" s="12" t="s">
        <v>195</v>
      </c>
      <c r="AI2" s="12" t="s">
        <v>200</v>
      </c>
      <c r="AJ2" s="12" t="s">
        <v>206</v>
      </c>
      <c r="AK2" s="13" t="s">
        <v>211</v>
      </c>
    </row>
    <row r="3" spans="1:37" x14ac:dyDescent="0.25">
      <c r="A3" s="6" t="s">
        <v>225</v>
      </c>
      <c r="B3" s="2" t="s">
        <v>226</v>
      </c>
      <c r="C3" s="2" t="s">
        <v>227</v>
      </c>
      <c r="D3" s="3" t="s">
        <v>228</v>
      </c>
      <c r="E3" s="16">
        <v>1</v>
      </c>
      <c r="F3" s="17">
        <v>2</v>
      </c>
      <c r="G3" s="17">
        <v>3</v>
      </c>
      <c r="H3" s="17">
        <v>4</v>
      </c>
      <c r="I3" s="20">
        <v>5</v>
      </c>
      <c r="J3" s="18">
        <v>6</v>
      </c>
      <c r="K3" s="16">
        <v>1</v>
      </c>
      <c r="L3" s="17">
        <v>2</v>
      </c>
      <c r="M3" s="17">
        <v>3</v>
      </c>
      <c r="N3" s="17">
        <v>4</v>
      </c>
      <c r="O3" s="20">
        <v>5</v>
      </c>
      <c r="P3" s="18">
        <v>6</v>
      </c>
      <c r="Q3" s="19">
        <v>1</v>
      </c>
      <c r="R3" s="17">
        <v>2</v>
      </c>
      <c r="S3" s="17">
        <v>3</v>
      </c>
      <c r="T3" s="17">
        <v>4</v>
      </c>
      <c r="U3" s="20">
        <v>5</v>
      </c>
      <c r="V3" s="20">
        <v>6</v>
      </c>
      <c r="W3" s="16">
        <v>1</v>
      </c>
      <c r="X3" s="17">
        <v>2</v>
      </c>
      <c r="Y3" s="17">
        <v>3</v>
      </c>
      <c r="Z3" s="17">
        <v>4</v>
      </c>
      <c r="AA3" s="20">
        <v>5</v>
      </c>
      <c r="AB3" s="16">
        <v>1</v>
      </c>
      <c r="AC3" s="17">
        <v>2</v>
      </c>
      <c r="AD3" s="17">
        <v>3</v>
      </c>
      <c r="AE3" s="17">
        <v>4</v>
      </c>
      <c r="AF3" s="18">
        <v>5</v>
      </c>
      <c r="AG3" s="19">
        <v>1</v>
      </c>
      <c r="AH3" s="17">
        <v>2</v>
      </c>
      <c r="AI3" s="17">
        <v>3</v>
      </c>
      <c r="AJ3" s="17">
        <v>4</v>
      </c>
      <c r="AK3" s="18">
        <v>5</v>
      </c>
    </row>
    <row r="4" spans="1:37" x14ac:dyDescent="0.25">
      <c r="A4" s="33" t="s">
        <v>229</v>
      </c>
      <c r="B4" s="5"/>
      <c r="C4" s="5"/>
      <c r="D4" s="5"/>
      <c r="E4" s="21"/>
      <c r="F4" s="22"/>
      <c r="G4" s="22"/>
      <c r="H4" s="22"/>
      <c r="I4" s="22"/>
      <c r="J4" s="23"/>
      <c r="K4" s="21"/>
      <c r="L4" s="22"/>
      <c r="M4" s="22"/>
      <c r="N4" s="22"/>
      <c r="O4" s="22"/>
      <c r="P4" s="23"/>
      <c r="Q4" s="22"/>
      <c r="R4" s="22"/>
      <c r="S4" s="22"/>
      <c r="T4" s="22"/>
      <c r="U4" s="22"/>
      <c r="V4" s="22"/>
      <c r="W4" s="21"/>
      <c r="X4" s="22"/>
      <c r="Y4" s="22"/>
      <c r="Z4" s="22"/>
      <c r="AA4" s="22"/>
      <c r="AB4" s="21"/>
      <c r="AC4" s="22"/>
      <c r="AD4" s="22"/>
      <c r="AE4" s="22"/>
      <c r="AF4" s="23"/>
      <c r="AG4" s="22"/>
      <c r="AH4" s="22"/>
      <c r="AI4" s="22"/>
      <c r="AJ4" s="22"/>
      <c r="AK4" s="23"/>
    </row>
    <row r="5" spans="1:37" x14ac:dyDescent="0.25">
      <c r="A5" s="6">
        <v>1</v>
      </c>
      <c r="B5" s="34" t="s">
        <v>230</v>
      </c>
      <c r="C5" s="2"/>
      <c r="D5" s="3"/>
      <c r="E5" s="44" t="e">
        <f>SUM(Questions!$B13:$B17)/COUNT(Questions!$B13:$B17)</f>
        <v>#DIV/0!</v>
      </c>
      <c r="F5" s="45" t="e">
        <f>SUM(Questions!$B20:$B24)/COUNT(Questions!$B20:$B24)</f>
        <v>#DIV/0!</v>
      </c>
      <c r="G5" s="45" t="e">
        <f>SUM(Questions!$B27:$B31)/COUNT(Questions!$B27:$B31)</f>
        <v>#DIV/0!</v>
      </c>
      <c r="H5" s="45" t="e">
        <f>SUM(Questions!$B34:$B38)/COUNT(Questions!$B34:$B38)</f>
        <v>#DIV/0!</v>
      </c>
      <c r="I5" s="45" t="e">
        <f>SUM(Questions!$B41:$B45)/COUNT(Questions!$B41:$B45)</f>
        <v>#DIV/0!</v>
      </c>
      <c r="J5" s="46" t="e">
        <f>SUM(Questions!$B48:$B52)/COUNT(Questions!$B48:$B52)</f>
        <v>#DIV/0!</v>
      </c>
      <c r="K5" s="44" t="e">
        <f>SUM(Questions!$B56:$B60)/COUNT(Questions!$B56:$B60)</f>
        <v>#DIV/0!</v>
      </c>
      <c r="L5" s="45" t="e">
        <f>SUM(Questions!$B63:$B67)/COUNT(Questions!$B63:$B67)</f>
        <v>#DIV/0!</v>
      </c>
      <c r="M5" s="47" t="e">
        <f>SUM(Questions!$B70:$B74)/COUNT(Questions!$B70:$B74)</f>
        <v>#DIV/0!</v>
      </c>
      <c r="N5" s="45" t="e">
        <f>SUM(Questions!$B77:$B81)/COUNT(Questions!$B77:$B81)</f>
        <v>#DIV/0!</v>
      </c>
      <c r="O5" s="48" t="e">
        <f>SUM(Questions!$B84:$B88)/COUNT(Questions!$B84:$B88)</f>
        <v>#DIV/0!</v>
      </c>
      <c r="P5" s="46" t="e">
        <f>SUM(Questions!$B91:$B95)/COUNT(Questions!$B91:$B95)</f>
        <v>#DIV/0!</v>
      </c>
      <c r="Q5" s="44" t="e">
        <f>SUM(Questions!$B99:$B103)/COUNT(Questions!$B99:$B103)</f>
        <v>#DIV/0!</v>
      </c>
      <c r="R5" s="45" t="e">
        <f>SUM(Questions!$B106:$B110)/COUNT(Questions!$B106:$B110)</f>
        <v>#DIV/0!</v>
      </c>
      <c r="S5" s="45" t="e">
        <f>SUM(Questions!$B113:$B117)/COUNT(Questions!$B113:$B117)</f>
        <v>#DIV/0!</v>
      </c>
      <c r="T5" s="45" t="e">
        <f>SUM(Questions!$B120:$B124)/COUNT(Questions!$B120:$B124)</f>
        <v>#DIV/0!</v>
      </c>
      <c r="U5" s="45" t="e">
        <f>SUM(Questions!$B127:$B131)/COUNT(Questions!$B134:$B138)</f>
        <v>#DIV/0!</v>
      </c>
      <c r="V5" s="46" t="e">
        <f>SUM(Questions!$B134:$B138)/COUNT(Questions!$B134:$B138)</f>
        <v>#DIV/0!</v>
      </c>
      <c r="W5" s="44" t="e">
        <f>SUM(Questions!$B142:$B146)/COUNT(Questions!$B142:$B146)</f>
        <v>#DIV/0!</v>
      </c>
      <c r="X5" s="45" t="e">
        <f>SUM(Questions!$B149:$B153)/COUNT(Questions!$B149:$B153)</f>
        <v>#DIV/0!</v>
      </c>
      <c r="Y5" s="45" t="e">
        <f>SUM(Questions!$B156:$B160)/COUNT(Questions!$B156:$B160)</f>
        <v>#DIV/0!</v>
      </c>
      <c r="Z5" s="45" t="e">
        <f>SUM(Questions!$B163:$B167)/COUNT(Questions!$B163:$B167)</f>
        <v>#DIV/0!</v>
      </c>
      <c r="AA5" s="45" t="e">
        <f>SUM(Questions!$B170:$B174)/COUNT(Questions!$B170:$B174)</f>
        <v>#DIV/0!</v>
      </c>
      <c r="AB5" s="44" t="e">
        <f>SUM(Questions!$B178:$B182)/COUNT(Questions!$B178:$B182)</f>
        <v>#DIV/0!</v>
      </c>
      <c r="AC5" s="45" t="e">
        <f>SUM(Questions!$B185:$B189)/COUNT(Questions!$B185:$B189)</f>
        <v>#DIV/0!</v>
      </c>
      <c r="AD5" s="45" t="e">
        <f>SUM(Questions!$B192:$B196)/COUNT(Questions!$B192:$B196)</f>
        <v>#DIV/0!</v>
      </c>
      <c r="AE5" s="45" t="e">
        <f>SUM(Questions!$B199:$B203)/COUNT(Questions!$B199:$B203)</f>
        <v>#DIV/0!</v>
      </c>
      <c r="AF5" s="46" t="e">
        <f>SUM(Questions!$B206:$B210)/COUNT(Questions!$B206:$B210)</f>
        <v>#DIV/0!</v>
      </c>
      <c r="AG5" s="44" t="e">
        <f>SUM(Questions!$B214:$B218)/COUNT(Questions!$B214:$B218)</f>
        <v>#DIV/0!</v>
      </c>
      <c r="AH5" s="45" t="e">
        <f>SUM(Questions!$B221:$B225)/COUNT(Questions!$B221:$B225)</f>
        <v>#DIV/0!</v>
      </c>
      <c r="AI5" s="45" t="e">
        <f>SUM(Questions!$B228:$B232)/COUNT(Questions!$B228:$B232)</f>
        <v>#DIV/0!</v>
      </c>
      <c r="AJ5" s="45" t="e">
        <f>SUM(Questions!$B235:$B239)/COUNT(Questions!$B235:$B239)</f>
        <v>#DIV/0!</v>
      </c>
      <c r="AK5" s="46" t="e">
        <f>SUM(Questions!$B242:$B246)/COUNT(Questions!$B242:$B246)</f>
        <v>#DIV/0!</v>
      </c>
    </row>
    <row r="6" spans="1:37" x14ac:dyDescent="0.25">
      <c r="A6" s="6">
        <v>2</v>
      </c>
      <c r="B6" s="28" t="s">
        <v>231</v>
      </c>
      <c r="C6" s="2"/>
      <c r="D6" s="3"/>
      <c r="E6" s="24"/>
      <c r="F6" s="25"/>
      <c r="G6" s="25"/>
      <c r="H6" s="25"/>
      <c r="I6" s="29"/>
      <c r="J6" s="26"/>
      <c r="K6" s="24"/>
      <c r="L6" s="29"/>
      <c r="M6" s="32"/>
      <c r="N6" s="30"/>
      <c r="O6" s="35"/>
      <c r="P6" s="26"/>
      <c r="Q6" s="24"/>
      <c r="R6" s="25"/>
      <c r="S6" s="25"/>
      <c r="T6" s="25"/>
      <c r="U6" s="29"/>
      <c r="V6" s="26"/>
      <c r="W6" s="24"/>
      <c r="X6" s="25"/>
      <c r="Y6" s="25"/>
      <c r="Z6" s="25"/>
      <c r="AA6" s="25"/>
      <c r="AB6" s="24"/>
      <c r="AC6" s="25"/>
      <c r="AD6" s="25"/>
      <c r="AE6" s="25"/>
      <c r="AF6" s="26"/>
      <c r="AG6" s="24"/>
      <c r="AH6" s="25"/>
      <c r="AI6" s="25"/>
      <c r="AJ6" s="25"/>
      <c r="AK6" s="26"/>
    </row>
    <row r="7" spans="1:37" x14ac:dyDescent="0.25">
      <c r="A7" s="6">
        <v>3</v>
      </c>
      <c r="B7" s="28" t="s">
        <v>232</v>
      </c>
      <c r="C7" s="2"/>
      <c r="D7" s="3"/>
      <c r="E7" s="24"/>
      <c r="F7" s="25"/>
      <c r="G7" s="25"/>
      <c r="H7" s="25"/>
      <c r="I7" s="29"/>
      <c r="J7" s="26"/>
      <c r="K7" s="24"/>
      <c r="L7" s="25"/>
      <c r="M7" s="32"/>
      <c r="N7" s="25"/>
      <c r="O7" s="29"/>
      <c r="P7" s="26"/>
      <c r="Q7" s="24"/>
      <c r="R7" s="25"/>
      <c r="S7" s="25"/>
      <c r="T7" s="25"/>
      <c r="U7" s="29"/>
      <c r="V7" s="26"/>
      <c r="W7" s="24"/>
      <c r="X7" s="25"/>
      <c r="Y7" s="25"/>
      <c r="Z7" s="25"/>
      <c r="AA7" s="25"/>
      <c r="AB7" s="24"/>
      <c r="AC7" s="25"/>
      <c r="AD7" s="25"/>
      <c r="AE7" s="25"/>
      <c r="AF7" s="26"/>
      <c r="AG7" s="24"/>
      <c r="AH7" s="25"/>
      <c r="AI7" s="25"/>
      <c r="AJ7" s="25"/>
      <c r="AK7" s="26"/>
    </row>
    <row r="8" spans="1:37" x14ac:dyDescent="0.25">
      <c r="A8" s="6">
        <v>4</v>
      </c>
      <c r="B8" s="2"/>
      <c r="C8" s="2"/>
      <c r="D8" s="3"/>
      <c r="E8" s="24"/>
      <c r="F8" s="25"/>
      <c r="G8" s="25"/>
      <c r="H8" s="25"/>
      <c r="I8" s="29"/>
      <c r="J8" s="31"/>
      <c r="K8" s="24"/>
      <c r="L8" s="25"/>
      <c r="M8" s="32"/>
      <c r="N8" s="25"/>
      <c r="O8" s="29"/>
      <c r="P8" s="31"/>
      <c r="Q8" s="24"/>
      <c r="R8" s="25"/>
      <c r="S8" s="25"/>
      <c r="T8" s="25"/>
      <c r="U8" s="29"/>
      <c r="V8" s="26"/>
      <c r="W8" s="24"/>
      <c r="X8" s="25"/>
      <c r="Y8" s="25"/>
      <c r="Z8" s="25"/>
      <c r="AA8" s="25"/>
      <c r="AB8" s="24"/>
      <c r="AC8" s="25"/>
      <c r="AD8" s="25"/>
      <c r="AE8" s="25"/>
      <c r="AF8" s="26"/>
      <c r="AG8" s="24"/>
      <c r="AH8" s="25"/>
      <c r="AI8" s="25"/>
      <c r="AJ8" s="25"/>
      <c r="AK8" s="26"/>
    </row>
    <row r="9" spans="1:37" x14ac:dyDescent="0.25">
      <c r="A9" s="6">
        <v>5</v>
      </c>
      <c r="B9" s="3"/>
      <c r="C9" s="3"/>
      <c r="D9" s="3"/>
      <c r="E9" s="24"/>
      <c r="F9" s="25"/>
      <c r="G9" s="25"/>
      <c r="H9" s="25"/>
      <c r="I9" s="29"/>
      <c r="J9" s="26"/>
      <c r="K9" s="24"/>
      <c r="L9" s="25"/>
      <c r="M9" s="32"/>
      <c r="N9" s="25"/>
      <c r="O9" s="29"/>
      <c r="P9" s="31"/>
      <c r="Q9" s="24"/>
      <c r="R9" s="25"/>
      <c r="S9" s="25"/>
      <c r="T9" s="25"/>
      <c r="U9" s="29"/>
      <c r="V9" s="26"/>
      <c r="W9" s="24"/>
      <c r="X9" s="25"/>
      <c r="Y9" s="25"/>
      <c r="Z9" s="25"/>
      <c r="AA9" s="25"/>
      <c r="AB9" s="24"/>
      <c r="AC9" s="25"/>
      <c r="AD9" s="25"/>
      <c r="AE9" s="25"/>
      <c r="AF9" s="26"/>
      <c r="AG9" s="24"/>
      <c r="AH9" s="25"/>
      <c r="AI9" s="25"/>
      <c r="AJ9" s="25"/>
      <c r="AK9" s="26"/>
    </row>
    <row r="10" spans="1:37" x14ac:dyDescent="0.25">
      <c r="A10" s="6">
        <v>6</v>
      </c>
      <c r="B10" s="2"/>
      <c r="C10" s="2"/>
      <c r="D10" s="3"/>
      <c r="E10" s="24"/>
      <c r="F10" s="25"/>
      <c r="G10" s="25"/>
      <c r="J10" s="26"/>
      <c r="K10" s="24"/>
      <c r="L10" s="25"/>
      <c r="M10" s="32"/>
      <c r="N10" s="25"/>
      <c r="O10" s="29"/>
      <c r="P10" s="31"/>
      <c r="Q10" s="24"/>
      <c r="R10" s="25"/>
      <c r="S10" s="25"/>
      <c r="T10" s="25"/>
      <c r="U10" s="29"/>
      <c r="V10" s="26"/>
      <c r="W10" s="24"/>
      <c r="X10" s="25"/>
      <c r="Y10" s="25"/>
      <c r="Z10" s="25"/>
      <c r="AA10" s="25"/>
      <c r="AB10" s="24"/>
      <c r="AC10" s="25"/>
      <c r="AD10" s="25"/>
      <c r="AE10" s="25"/>
      <c r="AF10" s="26"/>
      <c r="AG10" s="24"/>
      <c r="AH10" s="25"/>
      <c r="AI10" s="25"/>
      <c r="AJ10" s="25"/>
      <c r="AK10" s="26"/>
    </row>
    <row r="11" spans="1:37" x14ac:dyDescent="0.25">
      <c r="A11" s="6">
        <v>7</v>
      </c>
      <c r="B11" s="2"/>
      <c r="C11" s="2"/>
      <c r="D11" s="3"/>
      <c r="E11" s="24"/>
      <c r="F11" s="25"/>
      <c r="G11" s="25"/>
      <c r="H11" s="25"/>
      <c r="I11" s="29"/>
      <c r="J11" s="26"/>
      <c r="K11" s="24"/>
      <c r="L11" s="25"/>
      <c r="M11" s="32"/>
      <c r="N11" s="25"/>
      <c r="O11" s="29"/>
      <c r="P11" s="31"/>
      <c r="Q11" s="24"/>
      <c r="R11" s="25"/>
      <c r="S11" s="25"/>
      <c r="T11" s="25"/>
      <c r="U11" s="29"/>
      <c r="V11" s="26"/>
      <c r="W11" s="24"/>
      <c r="X11" s="25"/>
      <c r="Y11" s="25"/>
      <c r="Z11" s="25"/>
      <c r="AA11" s="25"/>
      <c r="AB11" s="24"/>
      <c r="AC11" s="25"/>
      <c r="AD11" s="25"/>
      <c r="AE11" s="25"/>
      <c r="AF11" s="26"/>
      <c r="AG11" s="24"/>
      <c r="AH11" s="25"/>
      <c r="AI11" s="25"/>
      <c r="AJ11" s="25"/>
      <c r="AK11" s="26"/>
    </row>
    <row r="12" spans="1:37" x14ac:dyDescent="0.25">
      <c r="A12" s="6">
        <v>8</v>
      </c>
      <c r="B12" s="2"/>
      <c r="C12" s="2"/>
      <c r="D12" s="3"/>
      <c r="E12" s="24"/>
      <c r="F12" s="25"/>
      <c r="G12" s="25"/>
      <c r="H12" s="25"/>
      <c r="I12" s="29"/>
      <c r="J12" s="26"/>
      <c r="K12" s="24"/>
      <c r="L12" s="25"/>
      <c r="M12" s="32"/>
      <c r="N12" s="25"/>
      <c r="O12" s="29"/>
      <c r="P12" s="31"/>
      <c r="Q12" s="24"/>
      <c r="R12" s="25"/>
      <c r="S12" s="25"/>
      <c r="T12" s="25"/>
      <c r="U12" s="29"/>
      <c r="V12" s="26"/>
      <c r="W12" s="24"/>
      <c r="X12" s="25"/>
      <c r="Y12" s="25"/>
      <c r="Z12" s="25"/>
      <c r="AA12" s="25"/>
      <c r="AB12" s="24"/>
      <c r="AC12" s="25"/>
      <c r="AD12" s="25"/>
      <c r="AE12" s="32"/>
      <c r="AF12" s="26"/>
      <c r="AG12" s="24"/>
      <c r="AH12" s="25"/>
      <c r="AI12" s="25"/>
      <c r="AJ12" s="32"/>
      <c r="AK12" s="26"/>
    </row>
    <row r="13" spans="1:37" x14ac:dyDescent="0.25">
      <c r="A13" s="6">
        <v>9</v>
      </c>
      <c r="B13" s="2"/>
      <c r="C13" s="2"/>
      <c r="D13" s="3"/>
      <c r="E13" s="24"/>
      <c r="F13" s="25"/>
      <c r="G13" s="25"/>
      <c r="H13" s="25"/>
      <c r="I13" s="29"/>
      <c r="J13" s="26"/>
      <c r="K13" s="24"/>
      <c r="L13" s="25"/>
      <c r="M13" s="32"/>
      <c r="N13" s="25"/>
      <c r="O13" s="29"/>
      <c r="P13" s="31"/>
      <c r="Q13" s="24"/>
      <c r="R13" s="25"/>
      <c r="S13" s="25"/>
      <c r="T13" s="25"/>
      <c r="U13" s="29"/>
      <c r="V13" s="26"/>
      <c r="W13" s="24"/>
      <c r="X13" s="25"/>
      <c r="Y13" s="25"/>
      <c r="Z13" s="25"/>
      <c r="AA13" s="25"/>
      <c r="AB13" s="24"/>
      <c r="AC13" s="25"/>
      <c r="AD13" s="25"/>
      <c r="AE13" s="25"/>
      <c r="AF13" s="26"/>
      <c r="AG13" s="24"/>
      <c r="AH13" s="25"/>
      <c r="AI13" s="25"/>
      <c r="AJ13" s="25"/>
      <c r="AK13" s="26"/>
    </row>
    <row r="14" spans="1:37" x14ac:dyDescent="0.25">
      <c r="A14" s="6">
        <v>10</v>
      </c>
      <c r="B14" s="2"/>
      <c r="C14" s="2"/>
      <c r="D14" s="3"/>
      <c r="E14" s="24"/>
      <c r="F14" s="25"/>
      <c r="G14" s="25"/>
      <c r="H14" s="25"/>
      <c r="I14" s="29"/>
      <c r="J14" s="26"/>
      <c r="K14" s="24"/>
      <c r="L14" s="25"/>
      <c r="M14" s="32"/>
      <c r="N14" s="25"/>
      <c r="O14" s="29"/>
      <c r="P14" s="31"/>
      <c r="Q14" s="24"/>
      <c r="R14" s="25"/>
      <c r="S14" s="25"/>
      <c r="T14" s="25"/>
      <c r="U14" s="29"/>
      <c r="V14" s="26"/>
      <c r="W14" s="24"/>
      <c r="X14" s="25"/>
      <c r="Y14" s="25"/>
      <c r="Z14" s="25"/>
      <c r="AA14" s="25"/>
      <c r="AB14" s="24"/>
      <c r="AC14" s="25"/>
      <c r="AD14" s="25"/>
      <c r="AE14" s="25"/>
      <c r="AF14" s="26"/>
      <c r="AG14" s="24"/>
      <c r="AH14" s="25"/>
      <c r="AI14" s="25"/>
      <c r="AJ14" s="25"/>
      <c r="AK14" s="26"/>
    </row>
    <row r="15" spans="1:37" x14ac:dyDescent="0.25">
      <c r="A15" s="7"/>
      <c r="C15" s="4"/>
    </row>
    <row r="16" spans="1:37" x14ac:dyDescent="0.25">
      <c r="A16" s="33" t="s">
        <v>233</v>
      </c>
      <c r="B16" s="5"/>
      <c r="C16" s="5"/>
      <c r="D16" s="5"/>
      <c r="E16" s="21"/>
      <c r="F16" s="22"/>
      <c r="G16" s="22"/>
      <c r="H16" s="22"/>
      <c r="I16" s="22"/>
      <c r="J16" s="23"/>
      <c r="K16" s="21"/>
      <c r="L16" s="22"/>
      <c r="M16" s="22"/>
      <c r="N16" s="22"/>
      <c r="O16" s="22"/>
      <c r="P16" s="23"/>
      <c r="Q16" s="22"/>
      <c r="R16" s="22"/>
      <c r="S16" s="22"/>
      <c r="T16" s="22"/>
      <c r="U16" s="22"/>
      <c r="V16" s="22"/>
      <c r="W16" s="21"/>
      <c r="X16" s="22"/>
      <c r="Y16" s="22"/>
      <c r="Z16" s="22"/>
      <c r="AA16" s="22"/>
      <c r="AB16" s="22"/>
      <c r="AC16" s="22"/>
      <c r="AD16" s="22"/>
      <c r="AE16" s="22"/>
      <c r="AF16" s="23"/>
      <c r="AG16" s="22"/>
      <c r="AH16" s="22"/>
      <c r="AI16" s="22"/>
      <c r="AJ16" s="22"/>
      <c r="AK16" s="23"/>
    </row>
    <row r="17" spans="1:37" x14ac:dyDescent="0.25">
      <c r="A17" s="6" t="s">
        <v>225</v>
      </c>
      <c r="B17" s="2" t="s">
        <v>226</v>
      </c>
      <c r="C17" s="2" t="s">
        <v>227</v>
      </c>
      <c r="D17" s="3" t="s">
        <v>228</v>
      </c>
      <c r="E17" s="16">
        <v>1</v>
      </c>
      <c r="F17" s="17">
        <v>2</v>
      </c>
      <c r="G17" s="17">
        <v>3</v>
      </c>
      <c r="H17" s="17">
        <v>4</v>
      </c>
      <c r="I17" s="20">
        <v>5</v>
      </c>
      <c r="J17" s="18">
        <v>6</v>
      </c>
      <c r="K17" s="16">
        <v>1</v>
      </c>
      <c r="L17" s="17">
        <v>2</v>
      </c>
      <c r="M17" s="17">
        <v>3</v>
      </c>
      <c r="N17" s="17">
        <v>4</v>
      </c>
      <c r="O17" s="20">
        <v>5</v>
      </c>
      <c r="P17" s="18">
        <v>6</v>
      </c>
      <c r="Q17" s="19">
        <v>1</v>
      </c>
      <c r="R17" s="17">
        <v>2</v>
      </c>
      <c r="S17" s="17">
        <v>3</v>
      </c>
      <c r="T17" s="17">
        <v>4</v>
      </c>
      <c r="U17" s="20">
        <v>5</v>
      </c>
      <c r="V17" s="20">
        <v>6</v>
      </c>
      <c r="W17" s="16">
        <v>1</v>
      </c>
      <c r="X17" s="17">
        <v>2</v>
      </c>
      <c r="Y17" s="17">
        <v>3</v>
      </c>
      <c r="Z17" s="17">
        <v>4</v>
      </c>
      <c r="AA17" s="17">
        <v>5</v>
      </c>
      <c r="AB17" s="19">
        <v>1</v>
      </c>
      <c r="AC17" s="17">
        <v>2</v>
      </c>
      <c r="AD17" s="17">
        <v>3</v>
      </c>
      <c r="AE17" s="17">
        <v>4</v>
      </c>
      <c r="AF17" s="18">
        <v>5</v>
      </c>
      <c r="AG17" s="19">
        <v>1</v>
      </c>
      <c r="AH17" s="17">
        <v>2</v>
      </c>
      <c r="AI17" s="17">
        <v>3</v>
      </c>
      <c r="AJ17" s="17">
        <v>4</v>
      </c>
      <c r="AK17" s="18">
        <v>5</v>
      </c>
    </row>
    <row r="18" spans="1:37" x14ac:dyDescent="0.25">
      <c r="A18" s="6">
        <f t="shared" ref="A18:D27" si="0">A5</f>
        <v>1</v>
      </c>
      <c r="B18" s="34" t="s">
        <v>230</v>
      </c>
      <c r="C18" s="2">
        <f t="shared" si="0"/>
        <v>0</v>
      </c>
      <c r="D18" s="2">
        <f t="shared" si="0"/>
        <v>0</v>
      </c>
      <c r="E18" s="44" t="e">
        <f>SUM(Questions!$C13:$C17)/COUNT(Questions!$C13:$C17)</f>
        <v>#DIV/0!</v>
      </c>
      <c r="F18" s="45" t="e">
        <f>SUM(Questions!$C20:$C24)/COUNT(Questions!$C20:$C24)</f>
        <v>#DIV/0!</v>
      </c>
      <c r="G18" s="45" t="e">
        <f>SUM(Questions!$C27:$C31)/COUNT(Questions!$C27:$C31)</f>
        <v>#DIV/0!</v>
      </c>
      <c r="H18" s="45" t="e">
        <f>SUM(Questions!$C34:$C38)/COUNT(Questions!$C34:$C38)</f>
        <v>#DIV/0!</v>
      </c>
      <c r="I18" s="45" t="e">
        <f>SUM(Questions!$C41:$C45)/COUNT(Questions!$C41:$C45)</f>
        <v>#DIV/0!</v>
      </c>
      <c r="J18" s="46" t="e">
        <f>SUM(Questions!$C48:$C52)/COUNT(Questions!$C48:$C52)</f>
        <v>#DIV/0!</v>
      </c>
      <c r="K18" s="44" t="e">
        <f>SUM(Questions!$C56:$C60)/COUNT(Questions!$C56:$C60)</f>
        <v>#DIV/0!</v>
      </c>
      <c r="L18" s="45" t="e">
        <f>SUM(Questions!$C63:$C67)/COUNT(Questions!$C63:$C67)</f>
        <v>#DIV/0!</v>
      </c>
      <c r="M18" s="47" t="e">
        <f>SUM(Questions!$C70:$C74)/COUNT(Questions!$C70:$C74)</f>
        <v>#DIV/0!</v>
      </c>
      <c r="N18" s="45" t="e">
        <f>SUM(Questions!$C77:$C81)/COUNT(Questions!$C77:$C81)</f>
        <v>#DIV/0!</v>
      </c>
      <c r="O18" s="48" t="e">
        <f>SUM(Questions!$C84:$C88)/COUNT(Questions!$C84:$C88)</f>
        <v>#DIV/0!</v>
      </c>
      <c r="P18" s="46" t="e">
        <f>SUM(Questions!$C91:$C95)/COUNT(Questions!$C91:$C95)</f>
        <v>#DIV/0!</v>
      </c>
      <c r="Q18" s="44" t="e">
        <f>SUM(Questions!$C99:$C103)/COUNT(Questions!$C99:$C103)</f>
        <v>#DIV/0!</v>
      </c>
      <c r="R18" s="45" t="e">
        <f>SUM(Questions!$C106:$C110)/COUNT(Questions!$C106:$C110)</f>
        <v>#DIV/0!</v>
      </c>
      <c r="S18" s="45" t="e">
        <f>SUM(Questions!$C113:$C117)/COUNT(Questions!$C113:$C117)</f>
        <v>#DIV/0!</v>
      </c>
      <c r="T18" s="45" t="e">
        <f>SUM(Questions!$C120:$C124)/COUNT(Questions!$C120:$C124)</f>
        <v>#DIV/0!</v>
      </c>
      <c r="U18" s="45" t="e">
        <f>SUM(Questions!$C127:$C131)/COUNT(Questions!$C127:$C131)</f>
        <v>#DIV/0!</v>
      </c>
      <c r="V18" s="46" t="e">
        <f>SUM(Questions!$C134:$C138)/COUNT(Questions!$C134:$C138)</f>
        <v>#DIV/0!</v>
      </c>
      <c r="W18" s="44" t="e">
        <f>SUM(Questions!$C142:$C146)/COUNT(Questions!$C142:$C146)</f>
        <v>#DIV/0!</v>
      </c>
      <c r="X18" s="45" t="e">
        <f>SUM(Questions!$C149:$C153)/COUNT(Questions!$C149:$C153)</f>
        <v>#DIV/0!</v>
      </c>
      <c r="Y18" s="45" t="e">
        <f>SUM(Questions!$C156:$C160)/COUNT(Questions!$C156:$C160)</f>
        <v>#DIV/0!</v>
      </c>
      <c r="Z18" s="45" t="e">
        <f>SUM(Questions!$C163:$C167)/COUNT(Questions!$C163:$C167)</f>
        <v>#DIV/0!</v>
      </c>
      <c r="AA18" s="45" t="e">
        <f>SUM(Questions!$C170:$C174)/COUNT(Questions!$C170:$C174)</f>
        <v>#DIV/0!</v>
      </c>
      <c r="AB18" s="44" t="e">
        <f>SUM(Questions!$C178:$C182)/COUNT(Questions!$C178:$C182)</f>
        <v>#DIV/0!</v>
      </c>
      <c r="AC18" s="45" t="e">
        <f>SUM(Questions!$C185:$C189)/COUNT(Questions!$C185:$C189)</f>
        <v>#DIV/0!</v>
      </c>
      <c r="AD18" s="45" t="e">
        <f>SUM(Questions!$C192:$C196)/COUNT(Questions!$C192:$C196)</f>
        <v>#DIV/0!</v>
      </c>
      <c r="AE18" s="45" t="e">
        <f>SUM(Questions!$C199:$C203)/COUNT(Questions!$C199:$C203)</f>
        <v>#DIV/0!</v>
      </c>
      <c r="AF18" s="46" t="e">
        <f>SUM(Questions!$C206:$C210)/COUNT(Questions!$C206:$C210)</f>
        <v>#DIV/0!</v>
      </c>
      <c r="AG18" s="44" t="e">
        <f>SUM(Questions!$C214:$C218)/COUNT(Questions!$C214:$C218)</f>
        <v>#DIV/0!</v>
      </c>
      <c r="AH18" s="45" t="e">
        <f>SUM(Questions!$C221:$C225)/COUNT(Questions!$C221:$C225)</f>
        <v>#DIV/0!</v>
      </c>
      <c r="AI18" s="45" t="e">
        <f>SUM(Questions!$C228:$C232)/COUNT(Questions!$C228:$C232)</f>
        <v>#DIV/0!</v>
      </c>
      <c r="AJ18" s="45" t="e">
        <f>SUM(Questions!$C235:$C239)/COUNT(Questions!$C235:$C239)</f>
        <v>#DIV/0!</v>
      </c>
      <c r="AK18" s="46" t="e">
        <f>SUM(Questions!$C242:$C246)/COUNT(Questions!$C242:$C246)</f>
        <v>#DIV/0!</v>
      </c>
    </row>
    <row r="19" spans="1:37" x14ac:dyDescent="0.25">
      <c r="A19" s="6">
        <f t="shared" si="0"/>
        <v>2</v>
      </c>
      <c r="B19" s="28" t="str">
        <f t="shared" si="0"/>
        <v>Reviewer 1 (optional)</v>
      </c>
      <c r="C19" s="2">
        <f t="shared" si="0"/>
        <v>0</v>
      </c>
      <c r="D19" s="2">
        <f t="shared" si="0"/>
        <v>0</v>
      </c>
      <c r="E19" s="24"/>
      <c r="F19" s="25"/>
      <c r="G19" s="25"/>
      <c r="H19" s="25"/>
      <c r="I19" s="29"/>
      <c r="J19" s="26"/>
      <c r="K19" s="24"/>
      <c r="L19" s="25"/>
      <c r="M19" s="25"/>
      <c r="N19" s="25"/>
      <c r="O19" s="29"/>
      <c r="P19" s="26"/>
      <c r="Q19" s="24"/>
      <c r="R19" s="25"/>
      <c r="S19" s="25"/>
      <c r="T19" s="25"/>
      <c r="U19" s="29"/>
      <c r="V19" s="26"/>
      <c r="W19" s="24"/>
      <c r="X19" s="25"/>
      <c r="Y19" s="25"/>
      <c r="Z19" s="25"/>
      <c r="AA19" s="25"/>
      <c r="AB19" s="24"/>
      <c r="AC19" s="25"/>
      <c r="AD19" s="25"/>
      <c r="AE19" s="25"/>
      <c r="AF19" s="26"/>
      <c r="AG19" s="24"/>
      <c r="AH19" s="25"/>
      <c r="AI19" s="25"/>
      <c r="AJ19" s="25"/>
      <c r="AK19" s="26"/>
    </row>
    <row r="20" spans="1:37" x14ac:dyDescent="0.25">
      <c r="A20" s="6">
        <f t="shared" si="0"/>
        <v>3</v>
      </c>
      <c r="B20" s="28" t="str">
        <f t="shared" si="0"/>
        <v>Reviewer 2 (optional)</v>
      </c>
      <c r="C20" s="2">
        <f t="shared" si="0"/>
        <v>0</v>
      </c>
      <c r="D20" s="2">
        <f t="shared" si="0"/>
        <v>0</v>
      </c>
      <c r="E20" s="24"/>
      <c r="F20" s="25"/>
      <c r="G20" s="25"/>
      <c r="H20" s="25"/>
      <c r="I20" s="29"/>
      <c r="J20" s="26"/>
      <c r="K20" s="24"/>
      <c r="L20" s="25"/>
      <c r="M20" s="25"/>
      <c r="N20" s="25"/>
      <c r="O20" s="29"/>
      <c r="P20" s="26"/>
      <c r="Q20" s="24"/>
      <c r="R20" s="25"/>
      <c r="S20" s="25"/>
      <c r="T20" s="25"/>
      <c r="U20" s="29"/>
      <c r="V20" s="26"/>
      <c r="W20" s="24"/>
      <c r="X20" s="25"/>
      <c r="Y20" s="25"/>
      <c r="Z20" s="25"/>
      <c r="AA20" s="25"/>
      <c r="AB20" s="24"/>
      <c r="AC20" s="25"/>
      <c r="AD20" s="25"/>
      <c r="AE20" s="25"/>
      <c r="AF20" s="26"/>
      <c r="AG20" s="24"/>
      <c r="AH20" s="25"/>
      <c r="AI20" s="25"/>
      <c r="AJ20" s="25"/>
      <c r="AK20" s="26"/>
    </row>
    <row r="21" spans="1:37" x14ac:dyDescent="0.25">
      <c r="A21" s="6">
        <f t="shared" si="0"/>
        <v>4</v>
      </c>
      <c r="B21" s="2">
        <f t="shared" si="0"/>
        <v>0</v>
      </c>
      <c r="C21" s="2">
        <f t="shared" si="0"/>
        <v>0</v>
      </c>
      <c r="D21" s="2">
        <f t="shared" si="0"/>
        <v>0</v>
      </c>
      <c r="E21" s="24"/>
      <c r="F21" s="25"/>
      <c r="G21" s="25"/>
      <c r="H21" s="25"/>
      <c r="I21" s="29"/>
      <c r="J21" s="26"/>
      <c r="K21" s="24"/>
      <c r="L21" s="25"/>
      <c r="M21" s="25"/>
      <c r="N21" s="25"/>
      <c r="O21" s="29"/>
      <c r="P21" s="26"/>
      <c r="Q21" s="24"/>
      <c r="R21" s="25"/>
      <c r="S21" s="25"/>
      <c r="T21" s="25"/>
      <c r="U21" s="29"/>
      <c r="V21" s="26"/>
      <c r="W21" s="24"/>
      <c r="X21" s="25"/>
      <c r="Y21" s="25"/>
      <c r="Z21" s="25"/>
      <c r="AA21" s="25"/>
      <c r="AB21" s="24"/>
      <c r="AC21" s="25"/>
      <c r="AD21" s="25"/>
      <c r="AE21" s="25"/>
      <c r="AF21" s="26"/>
      <c r="AG21" s="24"/>
      <c r="AH21" s="25"/>
      <c r="AI21" s="25"/>
      <c r="AJ21" s="25"/>
      <c r="AK21" s="26"/>
    </row>
    <row r="22" spans="1:37" x14ac:dyDescent="0.25">
      <c r="A22" s="6">
        <f t="shared" si="0"/>
        <v>5</v>
      </c>
      <c r="B22" s="2">
        <f t="shared" si="0"/>
        <v>0</v>
      </c>
      <c r="C22" s="2">
        <f t="shared" si="0"/>
        <v>0</v>
      </c>
      <c r="D22" s="2">
        <f t="shared" si="0"/>
        <v>0</v>
      </c>
      <c r="E22" s="24"/>
      <c r="F22" s="25"/>
      <c r="G22" s="25"/>
      <c r="H22" s="25"/>
      <c r="I22" s="29"/>
      <c r="J22" s="26"/>
      <c r="K22" s="24"/>
      <c r="L22" s="25"/>
      <c r="M22" s="25"/>
      <c r="N22" s="25"/>
      <c r="O22" s="29"/>
      <c r="P22" s="26"/>
      <c r="Q22" s="24"/>
      <c r="R22" s="25"/>
      <c r="S22" s="25"/>
      <c r="T22" s="25"/>
      <c r="U22" s="29"/>
      <c r="V22" s="26"/>
      <c r="W22" s="24"/>
      <c r="X22" s="25"/>
      <c r="Y22" s="25"/>
      <c r="Z22" s="25"/>
      <c r="AA22" s="25"/>
      <c r="AB22" s="24"/>
      <c r="AC22" s="25"/>
      <c r="AD22" s="25"/>
      <c r="AE22" s="25"/>
      <c r="AF22" s="26"/>
      <c r="AG22" s="24"/>
      <c r="AH22" s="25"/>
      <c r="AI22" s="25"/>
      <c r="AJ22" s="25"/>
      <c r="AK22" s="26"/>
    </row>
    <row r="23" spans="1:37" x14ac:dyDescent="0.25">
      <c r="A23" s="6">
        <f t="shared" si="0"/>
        <v>6</v>
      </c>
      <c r="B23" s="2">
        <f t="shared" si="0"/>
        <v>0</v>
      </c>
      <c r="C23" s="2">
        <f t="shared" si="0"/>
        <v>0</v>
      </c>
      <c r="D23" s="2">
        <f t="shared" si="0"/>
        <v>0</v>
      </c>
      <c r="E23" s="24"/>
      <c r="F23" s="25"/>
      <c r="G23" s="25"/>
      <c r="H23" s="25"/>
      <c r="I23" s="29"/>
      <c r="J23" s="26"/>
      <c r="K23" s="24"/>
      <c r="L23" s="25"/>
      <c r="M23" s="25"/>
      <c r="N23" s="25"/>
      <c r="O23" s="29"/>
      <c r="P23" s="26"/>
      <c r="Q23" s="24"/>
      <c r="R23" s="25"/>
      <c r="S23" s="25"/>
      <c r="T23" s="25"/>
      <c r="U23" s="29"/>
      <c r="V23" s="26"/>
      <c r="W23" s="24"/>
      <c r="X23" s="25"/>
      <c r="Y23" s="25"/>
      <c r="Z23" s="25"/>
      <c r="AA23" s="25"/>
      <c r="AB23" s="24"/>
      <c r="AC23" s="25"/>
      <c r="AD23" s="25"/>
      <c r="AE23" s="25"/>
      <c r="AF23" s="26"/>
      <c r="AG23" s="24"/>
      <c r="AH23" s="25"/>
      <c r="AI23" s="25"/>
      <c r="AJ23" s="25"/>
      <c r="AK23" s="26"/>
    </row>
    <row r="24" spans="1:37" x14ac:dyDescent="0.25">
      <c r="A24" s="6">
        <f t="shared" si="0"/>
        <v>7</v>
      </c>
      <c r="B24" s="2">
        <f t="shared" si="0"/>
        <v>0</v>
      </c>
      <c r="C24" s="2">
        <f t="shared" si="0"/>
        <v>0</v>
      </c>
      <c r="D24" s="2">
        <f t="shared" si="0"/>
        <v>0</v>
      </c>
      <c r="E24" s="24"/>
      <c r="F24" s="25"/>
      <c r="G24" s="25"/>
      <c r="H24" s="25"/>
      <c r="I24" s="29"/>
      <c r="J24" s="26"/>
      <c r="K24" s="24"/>
      <c r="L24" s="25"/>
      <c r="M24" s="25"/>
      <c r="N24" s="25"/>
      <c r="O24" s="29"/>
      <c r="P24" s="26"/>
      <c r="Q24" s="24"/>
      <c r="R24" s="25"/>
      <c r="S24" s="25"/>
      <c r="T24" s="25"/>
      <c r="U24" s="29"/>
      <c r="V24" s="26"/>
      <c r="W24" s="24"/>
      <c r="X24" s="25"/>
      <c r="Y24" s="25"/>
      <c r="Z24" s="25"/>
      <c r="AA24" s="25"/>
      <c r="AB24" s="24"/>
      <c r="AC24" s="25"/>
      <c r="AD24" s="25"/>
      <c r="AE24" s="25"/>
      <c r="AF24" s="26"/>
      <c r="AG24" s="24"/>
      <c r="AH24" s="25"/>
      <c r="AI24" s="25"/>
      <c r="AJ24" s="25"/>
      <c r="AK24" s="26"/>
    </row>
    <row r="25" spans="1:37" x14ac:dyDescent="0.25">
      <c r="A25" s="6">
        <f t="shared" si="0"/>
        <v>8</v>
      </c>
      <c r="B25" s="2">
        <f t="shared" si="0"/>
        <v>0</v>
      </c>
      <c r="C25" s="2">
        <f t="shared" si="0"/>
        <v>0</v>
      </c>
      <c r="D25" s="2">
        <f t="shared" si="0"/>
        <v>0</v>
      </c>
      <c r="E25" s="24"/>
      <c r="F25" s="25"/>
      <c r="G25" s="25"/>
      <c r="H25" s="25"/>
      <c r="I25" s="29"/>
      <c r="J25" s="26"/>
      <c r="K25" s="24"/>
      <c r="L25" s="25"/>
      <c r="M25" s="25"/>
      <c r="N25" s="25"/>
      <c r="O25" s="29"/>
      <c r="P25" s="26"/>
      <c r="Q25" s="24"/>
      <c r="R25" s="25"/>
      <c r="S25" s="25"/>
      <c r="T25" s="25"/>
      <c r="U25" s="29"/>
      <c r="V25" s="26"/>
      <c r="W25" s="24"/>
      <c r="X25" s="25"/>
      <c r="Y25" s="25"/>
      <c r="Z25" s="25"/>
      <c r="AA25" s="25"/>
      <c r="AB25" s="24"/>
      <c r="AC25" s="25"/>
      <c r="AD25" s="25"/>
      <c r="AE25" s="25"/>
      <c r="AF25" s="26"/>
      <c r="AG25" s="24"/>
      <c r="AH25" s="25"/>
      <c r="AI25" s="25"/>
      <c r="AJ25" s="25"/>
      <c r="AK25" s="26"/>
    </row>
    <row r="26" spans="1:37" x14ac:dyDescent="0.25">
      <c r="A26" s="6">
        <f t="shared" si="0"/>
        <v>9</v>
      </c>
      <c r="B26" s="2">
        <f t="shared" si="0"/>
        <v>0</v>
      </c>
      <c r="C26" s="2">
        <f t="shared" si="0"/>
        <v>0</v>
      </c>
      <c r="D26" s="2">
        <f t="shared" si="0"/>
        <v>0</v>
      </c>
      <c r="E26" s="24"/>
      <c r="F26" s="25"/>
      <c r="G26" s="25"/>
      <c r="H26" s="25"/>
      <c r="I26" s="29"/>
      <c r="J26" s="26"/>
      <c r="K26" s="24"/>
      <c r="L26" s="25"/>
      <c r="M26" s="25"/>
      <c r="N26" s="25"/>
      <c r="O26" s="29"/>
      <c r="P26" s="26"/>
      <c r="Q26" s="24"/>
      <c r="R26" s="25"/>
      <c r="S26" s="25"/>
      <c r="T26" s="25"/>
      <c r="U26" s="29"/>
      <c r="V26" s="26"/>
      <c r="W26" s="24"/>
      <c r="X26" s="25"/>
      <c r="Y26" s="25"/>
      <c r="Z26" s="25"/>
      <c r="AA26" s="25"/>
      <c r="AB26" s="24"/>
      <c r="AC26" s="25"/>
      <c r="AD26" s="25"/>
      <c r="AE26" s="25"/>
      <c r="AF26" s="26"/>
      <c r="AG26" s="24"/>
      <c r="AH26" s="25"/>
      <c r="AI26" s="25"/>
      <c r="AJ26" s="25"/>
      <c r="AK26" s="26"/>
    </row>
    <row r="27" spans="1:37" x14ac:dyDescent="0.25">
      <c r="A27" s="6">
        <f t="shared" si="0"/>
        <v>10</v>
      </c>
      <c r="B27" s="2">
        <f t="shared" si="0"/>
        <v>0</v>
      </c>
      <c r="C27" s="2">
        <f t="shared" si="0"/>
        <v>0</v>
      </c>
      <c r="D27" s="2">
        <f t="shared" si="0"/>
        <v>0</v>
      </c>
      <c r="E27" s="24"/>
      <c r="F27" s="25"/>
      <c r="G27" s="25"/>
      <c r="H27" s="25"/>
      <c r="I27" s="29"/>
      <c r="J27" s="26"/>
      <c r="K27" s="24"/>
      <c r="L27" s="25"/>
      <c r="M27" s="25"/>
      <c r="N27" s="25"/>
      <c r="O27" s="29"/>
      <c r="P27" s="26"/>
      <c r="Q27" s="24"/>
      <c r="R27" s="25"/>
      <c r="S27" s="25"/>
      <c r="T27" s="25"/>
      <c r="U27" s="29"/>
      <c r="V27" s="26"/>
      <c r="W27" s="24"/>
      <c r="X27" s="25"/>
      <c r="Y27" s="25"/>
      <c r="Z27" s="25"/>
      <c r="AA27" s="25"/>
      <c r="AB27" s="24"/>
      <c r="AC27" s="25"/>
      <c r="AD27" s="25"/>
      <c r="AE27" s="25"/>
      <c r="AF27" s="26"/>
      <c r="AG27" s="24"/>
      <c r="AH27" s="25"/>
      <c r="AI27" s="25"/>
      <c r="AJ27" s="25"/>
      <c r="AK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H8"/>
  <sheetViews>
    <sheetView showGridLines="0" topLeftCell="M1" zoomScale="80" zoomScaleNormal="80" workbookViewId="0">
      <selection activeCell="V6" sqref="V6"/>
    </sheetView>
  </sheetViews>
  <sheetFormatPr defaultColWidth="8.7109375" defaultRowHeight="15" x14ac:dyDescent="0.25"/>
  <cols>
    <col min="1" max="1" width="25" style="50" bestFit="1" customWidth="1"/>
    <col min="2" max="34" width="6.28515625" style="84" customWidth="1"/>
    <col min="35" max="16384" width="8.7109375" style="50"/>
  </cols>
  <sheetData>
    <row r="1" spans="1:34" ht="118.5" x14ac:dyDescent="0.25">
      <c r="A1" s="52"/>
      <c r="B1" s="53" t="str">
        <f>'Data (DO NOT EDIT!!)'!E1</f>
        <v>Digital Power Basic Skills</v>
      </c>
      <c r="C1" s="54" t="str">
        <f>'Data (DO NOT EDIT!!)'!F1</f>
        <v>Digital Power Basic Skills</v>
      </c>
      <c r="D1" s="54" t="str">
        <f>'Data (DO NOT EDIT!!)'!G1</f>
        <v>Digital Power Basic Skills</v>
      </c>
      <c r="E1" s="54" t="str">
        <f>'Data (DO NOT EDIT!!)'!H1</f>
        <v>Digital Power Basic Skills</v>
      </c>
      <c r="F1" s="55" t="str">
        <f>'Data (DO NOT EDIT!!)'!I1</f>
        <v>Digital Power Basic Skills</v>
      </c>
      <c r="G1" s="56" t="str">
        <f>'Data (DO NOT EDIT!!)'!J1</f>
        <v>Digital Power Basic Skills</v>
      </c>
      <c r="H1" s="53" t="str">
        <f>'Data (DO NOT EDIT!!)'!K1</f>
        <v>Domain skills</v>
      </c>
      <c r="I1" s="54" t="str">
        <f>'Data (DO NOT EDIT!!)'!L1</f>
        <v>Domain skills</v>
      </c>
      <c r="J1" s="54" t="str">
        <f>'Data (DO NOT EDIT!!)'!M1</f>
        <v>Domain skills</v>
      </c>
      <c r="K1" s="54" t="str">
        <f>'Data (DO NOT EDIT!!)'!N1</f>
        <v>Domain skills</v>
      </c>
      <c r="L1" s="55" t="str">
        <f>'Data (DO NOT EDIT!!)'!O1</f>
        <v>Domain skills</v>
      </c>
      <c r="M1" s="56" t="str">
        <f>'Data (DO NOT EDIT!!)'!P1</f>
        <v>Domain skills</v>
      </c>
      <c r="N1" s="57" t="str">
        <f>'Data (DO NOT EDIT!!)'!Q1</f>
        <v>Hardskills</v>
      </c>
      <c r="O1" s="54" t="str">
        <f>'Data (DO NOT EDIT!!)'!R1</f>
        <v>Hardskills</v>
      </c>
      <c r="P1" s="54" t="str">
        <f>'Data (DO NOT EDIT!!)'!S1</f>
        <v>Hardskills</v>
      </c>
      <c r="Q1" s="54" t="str">
        <f>'Data (DO NOT EDIT!!)'!T1</f>
        <v>Hardskills</v>
      </c>
      <c r="R1" s="54" t="str">
        <f>'Data (DO NOT EDIT!!)'!U1</f>
        <v>Hardskills</v>
      </c>
      <c r="S1" s="55" t="str">
        <f>'Data (DO NOT EDIT!!)'!V1</f>
        <v>Hardskills</v>
      </c>
      <c r="T1" s="53" t="str">
        <f>'Data (DO NOT EDIT!!)'!W1</f>
        <v>Basic Consultancy Skills</v>
      </c>
      <c r="U1" s="54" t="str">
        <f>'Data (DO NOT EDIT!!)'!X1</f>
        <v>Basic Consultancy Skills</v>
      </c>
      <c r="V1" s="54" t="str">
        <f>'Data (DO NOT EDIT!!)'!Y1</f>
        <v>Basic Consultancy Skills</v>
      </c>
      <c r="W1" s="54" t="str">
        <f>'Data (DO NOT EDIT!!)'!Z1</f>
        <v>Basic Consultancy Skills</v>
      </c>
      <c r="X1" s="55" t="str">
        <f>'Data (DO NOT EDIT!!)'!AA1</f>
        <v>Basic Consultancy Skills</v>
      </c>
      <c r="Y1" s="53" t="str">
        <f>'Data (DO NOT EDIT!!)'!AB1</f>
        <v>Business Skills</v>
      </c>
      <c r="Z1" s="54" t="str">
        <f>'Data (DO NOT EDIT!!)'!AC1</f>
        <v>Business Skills</v>
      </c>
      <c r="AA1" s="54" t="str">
        <f>'Data (DO NOT EDIT!!)'!AD1</f>
        <v>Business Skills</v>
      </c>
      <c r="AB1" s="54" t="str">
        <f>'Data (DO NOT EDIT!!)'!AE1</f>
        <v>Business Skills</v>
      </c>
      <c r="AC1" s="56" t="str">
        <f>'Data (DO NOT EDIT!!)'!AF1</f>
        <v>Business Skills</v>
      </c>
      <c r="AD1" s="57" t="str">
        <f>'Data (DO NOT EDIT!!)'!AG1</f>
        <v>Expert Consultancy Skills</v>
      </c>
      <c r="AE1" s="54" t="str">
        <f>'Data (DO NOT EDIT!!)'!AH1</f>
        <v>Expert Consultancy Skills</v>
      </c>
      <c r="AF1" s="54" t="str">
        <f>'Data (DO NOT EDIT!!)'!AI1</f>
        <v>Expert Consultancy Skills</v>
      </c>
      <c r="AG1" s="54" t="str">
        <f>'Data (DO NOT EDIT!!)'!AJ1</f>
        <v>Expert Consultancy Skills</v>
      </c>
      <c r="AH1" s="56" t="str">
        <f>'Data (DO NOT EDIT!!)'!AK1</f>
        <v>Expert Consultancy Skills</v>
      </c>
    </row>
    <row r="2" spans="1:34" ht="118.5" customHeight="1" x14ac:dyDescent="0.25">
      <c r="A2" s="58"/>
      <c r="B2" s="59" t="str">
        <f>'Data (DO NOT EDIT!!)'!E2</f>
        <v>Learning &amp; reflection</v>
      </c>
      <c r="C2" s="60" t="str">
        <f>'Data (DO NOT EDIT!!)'!F2</f>
        <v>Support &amp; collaboration</v>
      </c>
      <c r="D2" s="60" t="str">
        <f>'Data (DO NOT EDIT!!)'!G2</f>
        <v>Entrepreneurial &amp; result-oriented</v>
      </c>
      <c r="E2" s="60" t="str">
        <f>'Data (DO NOT EDIT!!)'!H2</f>
        <v>Customer-oriented</v>
      </c>
      <c r="F2" s="61" t="str">
        <f>'Data (DO NOT EDIT!!)'!I2</f>
        <v>Knowledge sharing</v>
      </c>
      <c r="G2" s="62" t="str">
        <f>'Data (DO NOT EDIT!!)'!J2</f>
        <v>Coaching &amp; guidance</v>
      </c>
      <c r="H2" s="59" t="str">
        <f>'Data (DO NOT EDIT!!)'!K2</f>
        <v>Domain knowledge</v>
      </c>
      <c r="I2" s="60" t="str">
        <f>'Data (DO NOT EDIT!!)'!L2</f>
        <v>Data architecture</v>
      </c>
      <c r="J2" s="60" t="str">
        <f>'Data (DO NOT EDIT!!)'!M2</f>
        <v>Computer science</v>
      </c>
      <c r="K2" s="60" t="str">
        <f>'Data (DO NOT EDIT!!)'!N2</f>
        <v>Data governance (+GDPR + Ethics)</v>
      </c>
      <c r="L2" s="61" t="str">
        <f>'Data (DO NOT EDIT!!)'!O2</f>
        <v>Data quality</v>
      </c>
      <c r="M2" s="62" t="str">
        <f>'Data (DO NOT EDIT!!)'!P2</f>
        <v>Security</v>
      </c>
      <c r="N2" s="63" t="str">
        <f>'Data (DO NOT EDIT!!)'!Q2</f>
        <v>Programming</v>
      </c>
      <c r="O2" s="60" t="str">
        <f>'Data (DO NOT EDIT!!)'!R2</f>
        <v>Data processing</v>
      </c>
      <c r="P2" s="60" t="str">
        <f>'Data (DO NOT EDIT!!)'!S2</f>
        <v>Testing and deployments</v>
      </c>
      <c r="Q2" s="60" t="str">
        <f>'Data (DO NOT EDIT!!)'!T2</f>
        <v>Infrastructure and cloud solutions</v>
      </c>
      <c r="R2" s="60" t="str">
        <f>'Data (DO NOT EDIT!!)'!U2</f>
        <v>Data modeling</v>
      </c>
      <c r="S2" s="61" t="str">
        <f>'Data (DO NOT EDIT!!)'!V2</f>
        <v>Virtualization and containerization</v>
      </c>
      <c r="T2" s="59" t="str">
        <f>'Data (DO NOT EDIT!!)'!W2</f>
        <v>Advising</v>
      </c>
      <c r="U2" s="60" t="str">
        <f>'Data (DO NOT EDIT!!)'!X2</f>
        <v xml:space="preserve">Decisive &amp; problem-solving </v>
      </c>
      <c r="V2" s="60" t="str">
        <f>'Data (DO NOT EDIT!!)'!Y2</f>
        <v>Interpersonal communication</v>
      </c>
      <c r="W2" s="60" t="str">
        <f>'Data (DO NOT EDIT!!)'!Z2</f>
        <v>Expectation management</v>
      </c>
      <c r="X2" s="61" t="str">
        <f>'Data (DO NOT EDIT!!)'!AA2</f>
        <v>Written and oral communication</v>
      </c>
      <c r="Y2" s="59" t="str">
        <f>'Data (DO NOT EDIT!!)'!AB2</f>
        <v>Organizational and management identification</v>
      </c>
      <c r="Z2" s="60" t="str">
        <f>'Data (DO NOT EDIT!!)'!AC2</f>
        <v>Strategic conceptualization</v>
      </c>
      <c r="AA2" s="60" t="str">
        <f>'Data (DO NOT EDIT!!)'!AD2</f>
        <v>Project management</v>
      </c>
      <c r="AB2" s="60" t="str">
        <f>'Data (DO NOT EDIT!!)'!AE2</f>
        <v>Change management</v>
      </c>
      <c r="AC2" s="62" t="str">
        <f>'Data (DO NOT EDIT!!)'!AF2</f>
        <v>Leadership</v>
      </c>
      <c r="AD2" s="63" t="str">
        <f>'Data (DO NOT EDIT!!)'!AG2</f>
        <v>Situational communication</v>
      </c>
      <c r="AE2" s="60" t="str">
        <f>'Data (DO NOT EDIT!!)'!AH2</f>
        <v>Goal-oriented &amp; effective communication</v>
      </c>
      <c r="AF2" s="60" t="str">
        <f>'Data (DO NOT EDIT!!)'!AI2</f>
        <v>Decision-making</v>
      </c>
      <c r="AG2" s="60" t="str">
        <f>'Data (DO NOT EDIT!!)'!AJ2</f>
        <v>Persuading &amp; influencing</v>
      </c>
      <c r="AH2" s="62" t="str">
        <f>'Data (DO NOT EDIT!!)'!AK2</f>
        <v>Constructive (negative) feedback &amp; bad news conversations</v>
      </c>
    </row>
    <row r="3" spans="1:34" x14ac:dyDescent="0.25">
      <c r="A3" s="58"/>
      <c r="B3" s="64">
        <v>1</v>
      </c>
      <c r="C3" s="65">
        <v>2</v>
      </c>
      <c r="D3" s="65">
        <v>3</v>
      </c>
      <c r="E3" s="65">
        <v>4</v>
      </c>
      <c r="F3" s="66">
        <v>5</v>
      </c>
      <c r="G3" s="67">
        <v>6</v>
      </c>
      <c r="H3" s="64">
        <v>7</v>
      </c>
      <c r="I3" s="65">
        <v>8</v>
      </c>
      <c r="J3" s="65">
        <v>9</v>
      </c>
      <c r="K3" s="65">
        <v>10</v>
      </c>
      <c r="L3" s="66">
        <v>11</v>
      </c>
      <c r="M3" s="67">
        <v>12</v>
      </c>
      <c r="N3" s="68">
        <v>13</v>
      </c>
      <c r="O3" s="65">
        <v>14</v>
      </c>
      <c r="P3" s="65">
        <v>15</v>
      </c>
      <c r="Q3" s="65">
        <v>16</v>
      </c>
      <c r="R3" s="65">
        <v>17</v>
      </c>
      <c r="S3" s="66">
        <v>18</v>
      </c>
      <c r="T3" s="64">
        <v>19</v>
      </c>
      <c r="U3" s="65">
        <v>20</v>
      </c>
      <c r="V3" s="65">
        <v>21</v>
      </c>
      <c r="W3" s="65">
        <v>22</v>
      </c>
      <c r="X3" s="66">
        <v>23</v>
      </c>
      <c r="Y3" s="64">
        <v>25</v>
      </c>
      <c r="Z3" s="65">
        <v>26</v>
      </c>
      <c r="AA3" s="65">
        <v>27</v>
      </c>
      <c r="AB3" s="65">
        <v>28</v>
      </c>
      <c r="AC3" s="67">
        <v>29</v>
      </c>
      <c r="AD3" s="68">
        <v>30</v>
      </c>
      <c r="AE3" s="65">
        <v>31</v>
      </c>
      <c r="AF3" s="65">
        <v>32</v>
      </c>
      <c r="AG3" s="65">
        <v>33</v>
      </c>
      <c r="AH3" s="67">
        <v>34</v>
      </c>
    </row>
    <row r="4" spans="1:34" x14ac:dyDescent="0.25">
      <c r="A4" s="69" t="s">
        <v>234</v>
      </c>
      <c r="B4" s="70" t="e">
        <f>'Data (DO NOT EDIT!!)'!E5</f>
        <v>#DIV/0!</v>
      </c>
      <c r="C4" s="71" t="e">
        <f>'Data (DO NOT EDIT!!)'!F5</f>
        <v>#DIV/0!</v>
      </c>
      <c r="D4" s="71" t="e">
        <f>'Data (DO NOT EDIT!!)'!G5</f>
        <v>#DIV/0!</v>
      </c>
      <c r="E4" s="71" t="e">
        <f>'Data (DO NOT EDIT!!)'!H5</f>
        <v>#DIV/0!</v>
      </c>
      <c r="F4" s="72" t="e">
        <f>'Data (DO NOT EDIT!!)'!I5</f>
        <v>#DIV/0!</v>
      </c>
      <c r="G4" s="73" t="e">
        <f>'Data (DO NOT EDIT!!)'!J5</f>
        <v>#DIV/0!</v>
      </c>
      <c r="H4" s="70" t="e">
        <f>'Data (DO NOT EDIT!!)'!K5</f>
        <v>#DIV/0!</v>
      </c>
      <c r="I4" s="71" t="e">
        <f>'Data (DO NOT EDIT!!)'!L5</f>
        <v>#DIV/0!</v>
      </c>
      <c r="J4" s="71" t="e">
        <f>'Data (DO NOT EDIT!!)'!M5</f>
        <v>#DIV/0!</v>
      </c>
      <c r="K4" s="71" t="e">
        <f>'Data (DO NOT EDIT!!)'!N5</f>
        <v>#DIV/0!</v>
      </c>
      <c r="L4" s="72" t="e">
        <f>'Data (DO NOT EDIT!!)'!O5</f>
        <v>#DIV/0!</v>
      </c>
      <c r="M4" s="73" t="e">
        <f>'Data (DO NOT EDIT!!)'!P5</f>
        <v>#DIV/0!</v>
      </c>
      <c r="N4" s="70" t="e">
        <f>'Data (DO NOT EDIT!!)'!Q5</f>
        <v>#DIV/0!</v>
      </c>
      <c r="O4" s="71" t="e">
        <f>'Data (DO NOT EDIT!!)'!R5</f>
        <v>#DIV/0!</v>
      </c>
      <c r="P4" s="71" t="e">
        <f>'Data (DO NOT EDIT!!)'!S5</f>
        <v>#DIV/0!</v>
      </c>
      <c r="Q4" s="71" t="e">
        <f>'Data (DO NOT EDIT!!)'!T5</f>
        <v>#DIV/0!</v>
      </c>
      <c r="R4" s="71" t="e">
        <f>'Data (DO NOT EDIT!!)'!U5</f>
        <v>#DIV/0!</v>
      </c>
      <c r="S4" s="73" t="e">
        <f>'Data (DO NOT EDIT!!)'!V5</f>
        <v>#DIV/0!</v>
      </c>
      <c r="T4" s="70" t="e">
        <f>'Data (DO NOT EDIT!!)'!W5</f>
        <v>#DIV/0!</v>
      </c>
      <c r="U4" s="71" t="e">
        <f>'Data (DO NOT EDIT!!)'!X5</f>
        <v>#DIV/0!</v>
      </c>
      <c r="V4" s="71" t="e">
        <f>'Data (DO NOT EDIT!!)'!Y5</f>
        <v>#DIV/0!</v>
      </c>
      <c r="W4" s="71" t="e">
        <f>'Data (DO NOT EDIT!!)'!Z5</f>
        <v>#DIV/0!</v>
      </c>
      <c r="X4" s="72" t="e">
        <f>'Data (DO NOT EDIT!!)'!AA5</f>
        <v>#DIV/0!</v>
      </c>
      <c r="Y4" s="70" t="e">
        <f>'Data (DO NOT EDIT!!)'!AB5</f>
        <v>#DIV/0!</v>
      </c>
      <c r="Z4" s="71" t="e">
        <f>'Data (DO NOT EDIT!!)'!AC5</f>
        <v>#DIV/0!</v>
      </c>
      <c r="AA4" s="71" t="e">
        <f>'Data (DO NOT EDIT!!)'!AD5</f>
        <v>#DIV/0!</v>
      </c>
      <c r="AB4" s="71" t="e">
        <f>'Data (DO NOT EDIT!!)'!AE5</f>
        <v>#DIV/0!</v>
      </c>
      <c r="AC4" s="73" t="e">
        <f>'Data (DO NOT EDIT!!)'!AF5</f>
        <v>#DIV/0!</v>
      </c>
      <c r="AD4" s="70" t="e">
        <f>'Data (DO NOT EDIT!!)'!AG5</f>
        <v>#DIV/0!</v>
      </c>
      <c r="AE4" s="71" t="e">
        <f>'Data (DO NOT EDIT!!)'!AH5</f>
        <v>#DIV/0!</v>
      </c>
      <c r="AF4" s="71" t="e">
        <f>'Data (DO NOT EDIT!!)'!AI5</f>
        <v>#DIV/0!</v>
      </c>
      <c r="AG4" s="71" t="e">
        <f>'Data (DO NOT EDIT!!)'!AJ5</f>
        <v>#DIV/0!</v>
      </c>
      <c r="AH4" s="73" t="e">
        <f>'Data (DO NOT EDIT!!)'!AK5</f>
        <v>#DIV/0!</v>
      </c>
    </row>
    <row r="5" spans="1:34" ht="15.75" thickBot="1" x14ac:dyDescent="0.3">
      <c r="A5" s="74" t="s">
        <v>235</v>
      </c>
      <c r="B5" s="75"/>
      <c r="C5" s="76"/>
      <c r="D5" s="76"/>
      <c r="E5" s="76"/>
      <c r="F5" s="76"/>
      <c r="G5" s="77" t="e">
        <f>AVERAGE(B4:G4)</f>
        <v>#DIV/0!</v>
      </c>
      <c r="H5" s="75"/>
      <c r="I5" s="76"/>
      <c r="J5" s="76"/>
      <c r="K5" s="76"/>
      <c r="L5" s="76"/>
      <c r="M5" s="77" t="e">
        <f>AVERAGE(H4:M4)</f>
        <v>#DIV/0!</v>
      </c>
      <c r="N5" s="75"/>
      <c r="O5" s="76"/>
      <c r="P5" s="76"/>
      <c r="Q5" s="76"/>
      <c r="R5" s="76"/>
      <c r="S5" s="77" t="e">
        <f>AVERAGE(N4:S4)</f>
        <v>#DIV/0!</v>
      </c>
      <c r="T5" s="75"/>
      <c r="U5" s="76"/>
      <c r="V5" s="76"/>
      <c r="W5" s="76"/>
      <c r="X5" s="77" t="e">
        <f>AVERAGE(T4:X4)</f>
        <v>#DIV/0!</v>
      </c>
      <c r="Y5" s="75"/>
      <c r="Z5" s="76"/>
      <c r="AA5" s="76"/>
      <c r="AB5" s="76"/>
      <c r="AC5" s="77" t="e">
        <f>AVERAGE(Y4:AC4)</f>
        <v>#DIV/0!</v>
      </c>
      <c r="AD5" s="75"/>
      <c r="AE5" s="76"/>
      <c r="AF5" s="76"/>
      <c r="AG5" s="76"/>
      <c r="AH5" s="77" t="e">
        <f>AVERAGE(AD4:AH4)</f>
        <v>#DIV/0!</v>
      </c>
    </row>
    <row r="6" spans="1:34" x14ac:dyDescent="0.25">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row>
    <row r="7" spans="1:34" x14ac:dyDescent="0.25">
      <c r="A7" s="80" t="s">
        <v>236</v>
      </c>
      <c r="B7" s="70" t="e">
        <f>'Data (DO NOT EDIT!!)'!E18</f>
        <v>#DIV/0!</v>
      </c>
      <c r="C7" s="71" t="e">
        <f>'Data (DO NOT EDIT!!)'!F18</f>
        <v>#DIV/0!</v>
      </c>
      <c r="D7" s="71" t="e">
        <f>'Data (DO NOT EDIT!!)'!G18</f>
        <v>#DIV/0!</v>
      </c>
      <c r="E7" s="71" t="e">
        <f>'Data (DO NOT EDIT!!)'!H18</f>
        <v>#DIV/0!</v>
      </c>
      <c r="F7" s="72" t="e">
        <f>'Data (DO NOT EDIT!!)'!I18</f>
        <v>#DIV/0!</v>
      </c>
      <c r="G7" s="73" t="e">
        <f>'Data (DO NOT EDIT!!)'!J18</f>
        <v>#DIV/0!</v>
      </c>
      <c r="H7" s="70" t="e">
        <f>'Data (DO NOT EDIT!!)'!K18</f>
        <v>#DIV/0!</v>
      </c>
      <c r="I7" s="71" t="e">
        <f>'Data (DO NOT EDIT!!)'!L18</f>
        <v>#DIV/0!</v>
      </c>
      <c r="J7" s="71" t="e">
        <f>'Data (DO NOT EDIT!!)'!M18</f>
        <v>#DIV/0!</v>
      </c>
      <c r="K7" s="71" t="e">
        <f>'Data (DO NOT EDIT!!)'!N18</f>
        <v>#DIV/0!</v>
      </c>
      <c r="L7" s="72" t="e">
        <f>'Data (DO NOT EDIT!!)'!O18</f>
        <v>#DIV/0!</v>
      </c>
      <c r="M7" s="73" t="e">
        <f>'Data (DO NOT EDIT!!)'!P18</f>
        <v>#DIV/0!</v>
      </c>
      <c r="N7" s="70" t="e">
        <f>'Data (DO NOT EDIT!!)'!Q18</f>
        <v>#DIV/0!</v>
      </c>
      <c r="O7" s="71" t="e">
        <f>'Data (DO NOT EDIT!!)'!R18</f>
        <v>#DIV/0!</v>
      </c>
      <c r="P7" s="71" t="e">
        <f>'Data (DO NOT EDIT!!)'!S18</f>
        <v>#DIV/0!</v>
      </c>
      <c r="Q7" s="71" t="e">
        <f>'Data (DO NOT EDIT!!)'!T18</f>
        <v>#DIV/0!</v>
      </c>
      <c r="R7" s="71" t="e">
        <f>'Data (DO NOT EDIT!!)'!U18</f>
        <v>#DIV/0!</v>
      </c>
      <c r="S7" s="73" t="e">
        <f>'Data (DO NOT EDIT!!)'!V18</f>
        <v>#DIV/0!</v>
      </c>
      <c r="T7" s="70" t="e">
        <f>'Data (DO NOT EDIT!!)'!W18</f>
        <v>#DIV/0!</v>
      </c>
      <c r="U7" s="71" t="e">
        <f>'Data (DO NOT EDIT!!)'!X18</f>
        <v>#DIV/0!</v>
      </c>
      <c r="V7" s="71" t="e">
        <f>'Data (DO NOT EDIT!!)'!Y18</f>
        <v>#DIV/0!</v>
      </c>
      <c r="W7" s="71" t="e">
        <f>'Data (DO NOT EDIT!!)'!Z18</f>
        <v>#DIV/0!</v>
      </c>
      <c r="X7" s="71" t="e">
        <f>'Data (DO NOT EDIT!!)'!AA18</f>
        <v>#DIV/0!</v>
      </c>
      <c r="Y7" s="70" t="e">
        <f>'Data (DO NOT EDIT!!)'!AB18</f>
        <v>#DIV/0!</v>
      </c>
      <c r="Z7" s="71" t="e">
        <f>'Data (DO NOT EDIT!!)'!AC18</f>
        <v>#DIV/0!</v>
      </c>
      <c r="AA7" s="71" t="e">
        <f>'Data (DO NOT EDIT!!)'!AD18</f>
        <v>#DIV/0!</v>
      </c>
      <c r="AB7" s="71" t="e">
        <f>'Data (DO NOT EDIT!!)'!AE18</f>
        <v>#DIV/0!</v>
      </c>
      <c r="AC7" s="73" t="e">
        <f>'Data (DO NOT EDIT!!)'!AF18</f>
        <v>#DIV/0!</v>
      </c>
      <c r="AD7" s="70" t="e">
        <f>'Data (DO NOT EDIT!!)'!AG18</f>
        <v>#DIV/0!</v>
      </c>
      <c r="AE7" s="71" t="e">
        <f>'Data (DO NOT EDIT!!)'!AH18</f>
        <v>#DIV/0!</v>
      </c>
      <c r="AF7" s="71" t="e">
        <f>'Data (DO NOT EDIT!!)'!AI18</f>
        <v>#DIV/0!</v>
      </c>
      <c r="AG7" s="71" t="e">
        <f>'Data (DO NOT EDIT!!)'!AJ18</f>
        <v>#DIV/0!</v>
      </c>
      <c r="AH7" s="73" t="e">
        <f>'Data (DO NOT EDIT!!)'!AK18</f>
        <v>#DIV/0!</v>
      </c>
    </row>
    <row r="8" spans="1:34" ht="15.75" thickBot="1" x14ac:dyDescent="0.3">
      <c r="A8" s="81" t="s">
        <v>235</v>
      </c>
      <c r="B8" s="82"/>
      <c r="C8" s="83"/>
      <c r="D8" s="83"/>
      <c r="E8" s="83"/>
      <c r="F8" s="83"/>
      <c r="G8" s="77" t="e">
        <f>AVERAGE(B7:G7)</f>
        <v>#DIV/0!</v>
      </c>
      <c r="H8" s="82"/>
      <c r="I8" s="83"/>
      <c r="J8" s="83"/>
      <c r="K8" s="83"/>
      <c r="L8" s="83"/>
      <c r="M8" s="77" t="e">
        <f>AVERAGE(H7:M7)</f>
        <v>#DIV/0!</v>
      </c>
      <c r="N8" s="82"/>
      <c r="O8" s="83"/>
      <c r="P8" s="83"/>
      <c r="Q8" s="83"/>
      <c r="R8" s="83"/>
      <c r="S8" s="77" t="e">
        <f>AVERAGE(N7:S7)</f>
        <v>#DIV/0!</v>
      </c>
      <c r="T8" s="82"/>
      <c r="U8" s="83"/>
      <c r="V8" s="83"/>
      <c r="W8" s="83"/>
      <c r="X8" s="83" t="e">
        <f>AVERAGE(T7:X7)</f>
        <v>#DIV/0!</v>
      </c>
      <c r="Y8" s="82"/>
      <c r="Z8" s="83"/>
      <c r="AA8" s="83"/>
      <c r="AB8" s="83"/>
      <c r="AC8" s="77" t="e">
        <f>AVERAGE(Y7:AC7)</f>
        <v>#DIV/0!</v>
      </c>
      <c r="AD8" s="82"/>
      <c r="AE8" s="83"/>
      <c r="AF8" s="83"/>
      <c r="AG8" s="83"/>
      <c r="AH8" s="77" t="e">
        <f>AVERAGE(AD7:AH7)</f>
        <v>#DIV/0!</v>
      </c>
    </row>
  </sheetData>
  <conditionalFormatting sqref="B4:AC4">
    <cfRule type="colorScale" priority="17">
      <colorScale>
        <cfvo type="min"/>
        <cfvo type="percentile" val="50"/>
        <cfvo type="max"/>
        <color rgb="FFF8696B"/>
        <color rgb="FFFFEB84"/>
        <color rgb="FF63BE7B"/>
      </colorScale>
    </cfRule>
  </conditionalFormatting>
  <conditionalFormatting sqref="M5 G5 S5 AC5">
    <cfRule type="colorScale" priority="10">
      <colorScale>
        <cfvo type="min"/>
        <cfvo type="percentile" val="50"/>
        <cfvo type="max"/>
        <color rgb="FFF8696B"/>
        <color rgb="FFFFEB84"/>
        <color rgb="FF63BE7B"/>
      </colorScale>
    </cfRule>
  </conditionalFormatting>
  <conditionalFormatting sqref="X5">
    <cfRule type="colorScale" priority="1">
      <colorScale>
        <cfvo type="min"/>
        <cfvo type="percentile" val="50"/>
        <cfvo type="max"/>
        <color rgb="FFF8696B"/>
        <color rgb="FFFFEB84"/>
        <color rgb="FF63BE7B"/>
      </colorScale>
    </cfRule>
  </conditionalFormatting>
  <conditionalFormatting sqref="AD4:AH4">
    <cfRule type="colorScale" priority="15">
      <colorScale>
        <cfvo type="min"/>
        <cfvo type="percentile" val="50"/>
        <cfvo type="max"/>
        <color rgb="FFF8696B"/>
        <color rgb="FFFFEB84"/>
        <color rgb="FF63BE7B"/>
      </colorScale>
    </cfRule>
  </conditionalFormatting>
  <conditionalFormatting sqref="AH5">
    <cfRule type="colorScale" priority="1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45B4F2-3B30-4162-9FB0-76A0A8117CF5}">
  <ds:schemaRefs>
    <ds:schemaRef ds:uri="http://purl.org/dc/elements/1.1/"/>
    <ds:schemaRef ds:uri="http://schemas.microsoft.com/office/2006/metadata/properties"/>
    <ds:schemaRef ds:uri="http://schemas.microsoft.com/office/2006/documentManagement/types"/>
    <ds:schemaRef ds:uri="9b040ff4-24fd-4220-8396-ee1f6ad4992d"/>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0b4895a4-109c-4734-9b5c-08e0b57b8d04"/>
  </ds:schemaRefs>
</ds:datastoreItem>
</file>

<file path=customXml/itemProps2.xml><?xml version="1.0" encoding="utf-8"?>
<ds:datastoreItem xmlns:ds="http://schemas.openxmlformats.org/officeDocument/2006/customXml" ds:itemID="{1BED4C5A-89BB-426D-A3C1-28D7A5A60BCA}"/>
</file>

<file path=customXml/itemProps3.xml><?xml version="1.0" encoding="utf-8"?>
<ds:datastoreItem xmlns:ds="http://schemas.openxmlformats.org/officeDocument/2006/customXml" ds:itemID="{B931CFB9-F32C-49D5-B8D0-53B29C3656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Theory</vt:lpstr>
      <vt:lpstr>Questions</vt:lpstr>
      <vt:lpstr>Data (DO NOT EDIT!!)</vt:lpstr>
      <vt:lpstr>Results (DO NOT EDIT!!)</vt:lpstr>
      <vt:lpstr>Questions!Print_Area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Jordan Holliday</cp:lastModifiedBy>
  <cp:revision/>
  <dcterms:created xsi:type="dcterms:W3CDTF">2020-11-26T09:31:06Z</dcterms:created>
  <dcterms:modified xsi:type="dcterms:W3CDTF">2023-11-08T13:04:53Z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45358900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