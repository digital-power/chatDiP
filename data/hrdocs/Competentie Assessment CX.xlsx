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C:\Users\ChantalvanderJagt\OneDrive - Digital Power BV\Competentie Assessments\"/>
    </mc:Choice>
  </mc:AlternateContent>
  <xr:revisionPtr revIDLastSave="10" documentId="13_ncr:1_{E1273607-10EC-4A07-B38A-0757C8F3658B}" xr6:coauthVersionLast="47" xr6:coauthVersionMax="47" xr10:uidLastSave="{122F5C44-4ACC-48F5-B558-52CE1B6F434A}"/>
  <bookViews>
    <workbookView xWindow="-108" yWindow="-108" windowWidth="23256" windowHeight="12720" firstSheet="1" activeTab="1" xr2:uid="{1F9F934B-3F76-4FFB-9890-B75BF435F439}"/>
  </bookViews>
  <sheets>
    <sheet name="Theorie" sheetId="4" r:id="rId1"/>
    <sheet name="Vragenlijst" sheetId="1" r:id="rId2"/>
    <sheet name="Data (NIET BEWERKEN!!)" sheetId="3" r:id="rId3"/>
    <sheet name="Uitwerking (NIET BEWERKEN!!)" sheetId="2" r:id="rId4"/>
  </sheets>
  <definedNames>
    <definedName name="_xlnm.Print_Area" localSheetId="1">Vragenlijst!$B$29:$E$121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19" i="3" l="1"/>
  <c r="CA19" i="3"/>
  <c r="BZ19" i="3"/>
  <c r="BY19" i="3"/>
  <c r="BX19" i="3"/>
  <c r="BW19" i="3"/>
  <c r="BV19" i="3"/>
  <c r="BU19" i="3"/>
  <c r="BT19" i="3"/>
  <c r="BS19" i="3"/>
  <c r="BR19" i="3"/>
  <c r="BQ19" i="3"/>
  <c r="BP19" i="3"/>
  <c r="BO19" i="3"/>
  <c r="BN19" i="3"/>
  <c r="BM19" i="3"/>
  <c r="BL19" i="3"/>
  <c r="BK19" i="3"/>
  <c r="BJ19" i="3"/>
  <c r="BI19" i="3"/>
  <c r="BH19" i="3"/>
  <c r="BG19" i="3"/>
  <c r="BF19" i="3"/>
  <c r="BE19" i="3"/>
  <c r="BD19" i="3"/>
  <c r="BC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K19" i="3"/>
  <c r="J19" i="3"/>
  <c r="I19" i="3"/>
  <c r="H19" i="3"/>
  <c r="G19" i="3"/>
  <c r="F19" i="3"/>
  <c r="E19" i="3"/>
  <c r="O2" i="2" l="1"/>
  <c r="P2" i="2"/>
  <c r="O4" i="2"/>
  <c r="P4" i="2"/>
  <c r="P5" i="2"/>
  <c r="CB5" i="2"/>
  <c r="CA5" i="2"/>
  <c r="BZ5" i="2"/>
  <c r="BY5" i="2"/>
  <c r="BX5" i="2"/>
  <c r="BW5" i="2"/>
  <c r="BV5" i="2"/>
  <c r="BU5" i="2"/>
  <c r="BT5" i="2"/>
  <c r="BS5" i="2"/>
  <c r="BR5" i="2"/>
  <c r="BQ5" i="2"/>
  <c r="BP5" i="2"/>
  <c r="BO5" i="2"/>
  <c r="BN5" i="2"/>
  <c r="BM5" i="2"/>
  <c r="BL5" i="2"/>
  <c r="BK5" i="2"/>
  <c r="BJ5" i="2"/>
  <c r="BI5" i="2"/>
  <c r="BH5" i="2"/>
  <c r="BG5" i="2"/>
  <c r="BF5" i="2"/>
  <c r="BE5" i="2"/>
  <c r="BD5" i="2"/>
  <c r="BC5" i="2"/>
  <c r="AX5" i="2"/>
  <c r="AW5" i="2"/>
  <c r="AV5" i="2"/>
  <c r="AU5" i="2"/>
  <c r="AT5" i="2"/>
  <c r="AS5" i="2"/>
  <c r="AR5" i="2"/>
  <c r="AQ5" i="2"/>
  <c r="AP5" i="2"/>
  <c r="AO5" i="2"/>
  <c r="AN5" i="2"/>
  <c r="AM5" i="2"/>
  <c r="AL5" i="2"/>
  <c r="AK5" i="2"/>
  <c r="AJ5" i="2"/>
  <c r="AI5" i="2"/>
  <c r="AH5" i="2"/>
  <c r="AG5" i="2"/>
  <c r="AF5" i="2"/>
  <c r="AE5" i="2"/>
  <c r="AD5" i="2"/>
  <c r="AC5" i="2"/>
  <c r="AB5" i="2"/>
  <c r="AA5" i="2"/>
  <c r="Z5" i="2"/>
  <c r="Y5" i="2"/>
  <c r="X5" i="2"/>
  <c r="W5" i="2"/>
  <c r="V5" i="2"/>
  <c r="U5" i="2"/>
  <c r="T5" i="2"/>
  <c r="S5" i="2"/>
  <c r="R5" i="2"/>
  <c r="Q5" i="2"/>
  <c r="K5" i="2"/>
  <c r="J5" i="2"/>
  <c r="I5" i="2"/>
  <c r="H5" i="2"/>
  <c r="G5" i="2"/>
  <c r="F5" i="2"/>
  <c r="E5" i="2"/>
  <c r="AW3" i="3"/>
  <c r="AX3" i="3"/>
  <c r="AV3" i="3"/>
  <c r="AR3" i="3"/>
  <c r="AS3" i="3"/>
  <c r="AT3" i="3"/>
  <c r="AU3" i="3"/>
  <c r="AQ3" i="3"/>
  <c r="AN3" i="3"/>
  <c r="AO3" i="3"/>
  <c r="AP3" i="3"/>
  <c r="AJ3" i="3"/>
  <c r="AK3" i="3"/>
  <c r="AL3" i="3"/>
  <c r="AM3" i="3"/>
  <c r="AI3" i="3"/>
  <c r="AE3" i="3"/>
  <c r="AF3" i="3"/>
  <c r="AG3" i="3"/>
  <c r="AH3" i="3"/>
  <c r="AD3" i="3"/>
  <c r="Z3" i="3"/>
  <c r="AA3" i="3"/>
  <c r="AB3" i="3"/>
  <c r="AC3" i="3"/>
  <c r="Y3" i="3"/>
  <c r="U3" i="3"/>
  <c r="V3" i="3"/>
  <c r="W3" i="3"/>
  <c r="X3" i="3"/>
  <c r="T3" i="3"/>
  <c r="Q3" i="3"/>
  <c r="R3" i="3"/>
  <c r="S3" i="3"/>
  <c r="P3" i="3"/>
  <c r="L3" i="3"/>
  <c r="M3" i="3"/>
  <c r="N3" i="3"/>
  <c r="O3" i="3"/>
  <c r="K3" i="3"/>
  <c r="CB4" i="2" l="1"/>
  <c r="CA4" i="2"/>
  <c r="BZ4" i="2"/>
  <c r="BY4" i="2"/>
  <c r="BX4" i="2"/>
  <c r="BW4" i="2"/>
  <c r="BV4" i="2"/>
  <c r="BU4" i="2"/>
  <c r="BT4" i="2"/>
  <c r="BS4" i="2"/>
  <c r="BR4" i="2"/>
  <c r="BQ4" i="2"/>
  <c r="BP4" i="2"/>
  <c r="BO4" i="2"/>
  <c r="BN4" i="2"/>
  <c r="CB2" i="2"/>
  <c r="CA2" i="2"/>
  <c r="BZ2" i="2"/>
  <c r="BY2" i="2"/>
  <c r="BX2" i="2"/>
  <c r="BW2" i="2"/>
  <c r="BV2" i="2"/>
  <c r="BU2" i="2"/>
  <c r="BT2" i="2"/>
  <c r="BS2" i="2"/>
  <c r="BR2" i="2"/>
  <c r="BQ2" i="2"/>
  <c r="BP2" i="2"/>
  <c r="BO2" i="2"/>
  <c r="BN2" i="2"/>
  <c r="BM2" i="2"/>
  <c r="BL2" i="2"/>
  <c r="BK2" i="2"/>
  <c r="BJ2" i="2"/>
  <c r="BI2" i="2"/>
  <c r="BH2" i="2"/>
  <c r="BG2" i="2"/>
  <c r="BF2" i="2"/>
  <c r="BE2" i="2"/>
  <c r="BD2" i="2"/>
  <c r="BC2" i="2"/>
  <c r="BB2" i="2"/>
  <c r="BA2" i="2"/>
  <c r="AZ2" i="2"/>
  <c r="AY2" i="2"/>
  <c r="L2" i="2" l="1"/>
  <c r="M2" i="2"/>
  <c r="N2" i="2"/>
  <c r="Q2" i="2"/>
  <c r="R2" i="2"/>
  <c r="S2" i="2"/>
  <c r="T2" i="2"/>
  <c r="U2" i="2"/>
  <c r="V2" i="2"/>
  <c r="W2" i="2"/>
  <c r="X2" i="2"/>
  <c r="Y2" i="2"/>
  <c r="Z2" i="2"/>
  <c r="AA2" i="2"/>
  <c r="AB2" i="2"/>
  <c r="AC2" i="2"/>
  <c r="AD2" i="2"/>
  <c r="AE2" i="2"/>
  <c r="AF2" i="2"/>
  <c r="AG2" i="2"/>
  <c r="AH2" i="2"/>
  <c r="AI2" i="2"/>
  <c r="AJ2" i="2"/>
  <c r="AK2" i="2"/>
  <c r="AL2" i="2"/>
  <c r="AM2" i="2"/>
  <c r="AN2" i="2"/>
  <c r="AO2" i="2"/>
  <c r="AP2" i="2"/>
  <c r="AQ2" i="2"/>
  <c r="AR2" i="2"/>
  <c r="AS2" i="2"/>
  <c r="AT2" i="2"/>
  <c r="AU2" i="2"/>
  <c r="AV2" i="2"/>
  <c r="AW2" i="2"/>
  <c r="AX2" i="2"/>
  <c r="E32" i="3" l="1"/>
  <c r="F32" i="3"/>
  <c r="G32" i="3"/>
  <c r="H32" i="3"/>
  <c r="I32" i="3"/>
  <c r="J32" i="3"/>
  <c r="E34" i="3"/>
  <c r="F34" i="3"/>
  <c r="G34" i="3"/>
  <c r="H34" i="3"/>
  <c r="I34" i="3"/>
  <c r="J34" i="3"/>
  <c r="E36" i="3"/>
  <c r="F36" i="3"/>
  <c r="G36" i="3"/>
  <c r="H36" i="3"/>
  <c r="I36" i="3"/>
  <c r="J36" i="3"/>
  <c r="CB20" i="3"/>
  <c r="CB11" i="2" s="1"/>
  <c r="CA20" i="3"/>
  <c r="CA11" i="2" s="1"/>
  <c r="BZ20" i="3"/>
  <c r="BZ11" i="2" s="1"/>
  <c r="BY20" i="3"/>
  <c r="BY11" i="2" s="1"/>
  <c r="BX20" i="3"/>
  <c r="BX11" i="2" s="1"/>
  <c r="BW20" i="3"/>
  <c r="BW11" i="2" s="1"/>
  <c r="BV20" i="3"/>
  <c r="BV11" i="2" s="1"/>
  <c r="BU20" i="3"/>
  <c r="BU11" i="2" s="1"/>
  <c r="BT20" i="3"/>
  <c r="BT11" i="2" s="1"/>
  <c r="BS20" i="3"/>
  <c r="BS11" i="2" s="1"/>
  <c r="BR20" i="3"/>
  <c r="BR11" i="2" s="1"/>
  <c r="BQ20" i="3"/>
  <c r="BQ11" i="2" s="1"/>
  <c r="BP20" i="3"/>
  <c r="BP11" i="2" s="1"/>
  <c r="BO20" i="3"/>
  <c r="BO11" i="2" s="1"/>
  <c r="BN20" i="3"/>
  <c r="BN11" i="2" s="1"/>
  <c r="BM20" i="3"/>
  <c r="BM11" i="2" s="1"/>
  <c r="BL20" i="3"/>
  <c r="BL11" i="2" s="1"/>
  <c r="BK20" i="3"/>
  <c r="BK11" i="2" s="1"/>
  <c r="BJ20" i="3"/>
  <c r="BJ11" i="2" s="1"/>
  <c r="BI20" i="3"/>
  <c r="BI11" i="2" s="1"/>
  <c r="BH20" i="3"/>
  <c r="BH11" i="2" s="1"/>
  <c r="BG20" i="3"/>
  <c r="BG11" i="2" s="1"/>
  <c r="BF20" i="3"/>
  <c r="BF11" i="2" s="1"/>
  <c r="BE20" i="3"/>
  <c r="BE11" i="2" s="1"/>
  <c r="BD20" i="3"/>
  <c r="BD11" i="2" s="1"/>
  <c r="BC20" i="3"/>
  <c r="BC11" i="2" s="1"/>
  <c r="BB20" i="3"/>
  <c r="BB11" i="2" s="1"/>
  <c r="BA20" i="3"/>
  <c r="BA11" i="2" s="1"/>
  <c r="AZ20" i="3"/>
  <c r="AZ11" i="2" s="1"/>
  <c r="AY20" i="3"/>
  <c r="AY11" i="2" s="1"/>
  <c r="AX20" i="3"/>
  <c r="AX11" i="2" s="1"/>
  <c r="AW20" i="3"/>
  <c r="AW11" i="2" s="1"/>
  <c r="AV20" i="3"/>
  <c r="AV11" i="2" s="1"/>
  <c r="AU20" i="3"/>
  <c r="AU11" i="2" s="1"/>
  <c r="AT20" i="3"/>
  <c r="AT11" i="2" s="1"/>
  <c r="AS20" i="3"/>
  <c r="AS11" i="2" s="1"/>
  <c r="AR20" i="3"/>
  <c r="AR11" i="2" s="1"/>
  <c r="AQ20" i="3"/>
  <c r="AQ11" i="2" s="1"/>
  <c r="AP20" i="3"/>
  <c r="AP11" i="2" s="1"/>
  <c r="AO20" i="3"/>
  <c r="AO11" i="2" s="1"/>
  <c r="AN20" i="3"/>
  <c r="AN11" i="2" s="1"/>
  <c r="AM20" i="3"/>
  <c r="AM11" i="2" s="1"/>
  <c r="AL20" i="3"/>
  <c r="AL11" i="2" s="1"/>
  <c r="AK20" i="3"/>
  <c r="AK11" i="2" s="1"/>
  <c r="AJ20" i="3"/>
  <c r="AJ11" i="2" s="1"/>
  <c r="AI20" i="3"/>
  <c r="AI11" i="2" s="1"/>
  <c r="AH20" i="3"/>
  <c r="AH11" i="2" s="1"/>
  <c r="AG20" i="3"/>
  <c r="AG11" i="2" s="1"/>
  <c r="AF20" i="3"/>
  <c r="AF11" i="2" s="1"/>
  <c r="AE20" i="3"/>
  <c r="AE11" i="2" s="1"/>
  <c r="AD20" i="3"/>
  <c r="AD11" i="2" s="1"/>
  <c r="AC20" i="3"/>
  <c r="AC11" i="2" s="1"/>
  <c r="AB20" i="3"/>
  <c r="AB11" i="2" s="1"/>
  <c r="AA20" i="3"/>
  <c r="AA11" i="2" s="1"/>
  <c r="Z20" i="3"/>
  <c r="Z11" i="2" s="1"/>
  <c r="Y20" i="3"/>
  <c r="Y11" i="2" s="1"/>
  <c r="X20" i="3"/>
  <c r="X11" i="2" s="1"/>
  <c r="W20" i="3"/>
  <c r="W11" i="2" s="1"/>
  <c r="V20" i="3"/>
  <c r="V11" i="2" s="1"/>
  <c r="U20" i="3"/>
  <c r="U11" i="2" s="1"/>
  <c r="T20" i="3"/>
  <c r="T11" i="2" s="1"/>
  <c r="S20" i="3"/>
  <c r="S11" i="2" s="1"/>
  <c r="R20" i="3"/>
  <c r="R11" i="2" s="1"/>
  <c r="Q20" i="3"/>
  <c r="Q11" i="2" s="1"/>
  <c r="P20" i="3"/>
  <c r="P11" i="2" s="1"/>
  <c r="O20" i="3"/>
  <c r="O11" i="2" s="1"/>
  <c r="N20" i="3"/>
  <c r="N11" i="2" s="1"/>
  <c r="M20" i="3"/>
  <c r="M11" i="2" s="1"/>
  <c r="L20" i="3"/>
  <c r="L11" i="2" s="1"/>
  <c r="K20" i="3"/>
  <c r="CB7" i="3"/>
  <c r="CB7" i="2" s="1"/>
  <c r="CA7" i="3"/>
  <c r="CA7" i="2" s="1"/>
  <c r="BZ7" i="3"/>
  <c r="BZ7" i="2" s="1"/>
  <c r="BY7" i="3"/>
  <c r="BY7" i="2" s="1"/>
  <c r="BX7" i="3"/>
  <c r="BX7" i="2" s="1"/>
  <c r="BW7" i="3"/>
  <c r="BW7" i="2" s="1"/>
  <c r="BV7" i="3"/>
  <c r="BV7" i="2" s="1"/>
  <c r="BU7" i="3"/>
  <c r="BU7" i="2" s="1"/>
  <c r="BT7" i="3"/>
  <c r="BT7" i="2" s="1"/>
  <c r="BS7" i="3"/>
  <c r="BS7" i="2" s="1"/>
  <c r="BR7" i="3"/>
  <c r="BR7" i="2" s="1"/>
  <c r="BQ7" i="3"/>
  <c r="BQ7" i="2" s="1"/>
  <c r="BP7" i="3"/>
  <c r="BP7" i="2" s="1"/>
  <c r="BO7" i="3"/>
  <c r="BO7" i="2" s="1"/>
  <c r="BN7" i="3"/>
  <c r="BN7" i="2" s="1"/>
  <c r="BM7" i="3"/>
  <c r="BM7" i="2" s="1"/>
  <c r="BL7" i="3"/>
  <c r="BL7" i="2" s="1"/>
  <c r="BK7" i="3"/>
  <c r="BK7" i="2" s="1"/>
  <c r="BJ7" i="3"/>
  <c r="BJ7" i="2" s="1"/>
  <c r="BI7" i="3"/>
  <c r="BI7" i="2" s="1"/>
  <c r="BH7" i="3"/>
  <c r="BH7" i="2" s="1"/>
  <c r="BG7" i="3"/>
  <c r="BG7" i="2" s="1"/>
  <c r="BF7" i="3"/>
  <c r="BF7" i="2" s="1"/>
  <c r="BE7" i="3"/>
  <c r="BE7" i="2" s="1"/>
  <c r="BD7" i="3"/>
  <c r="BD7" i="2" s="1"/>
  <c r="BC7" i="3"/>
  <c r="BC7" i="2" s="1"/>
  <c r="BB7" i="3"/>
  <c r="BB7" i="2" s="1"/>
  <c r="BA7" i="3"/>
  <c r="BA7" i="2" s="1"/>
  <c r="AZ7" i="3"/>
  <c r="AZ7" i="2" s="1"/>
  <c r="AY7" i="3"/>
  <c r="AY7" i="2" s="1"/>
  <c r="AX7" i="3"/>
  <c r="AX7" i="2" s="1"/>
  <c r="AW7" i="3"/>
  <c r="AW7" i="2" s="1"/>
  <c r="AV7" i="3"/>
  <c r="AV7" i="2" s="1"/>
  <c r="AU7" i="3"/>
  <c r="AU7" i="2" s="1"/>
  <c r="AT7" i="3"/>
  <c r="AT7" i="2" s="1"/>
  <c r="AS7" i="3"/>
  <c r="AS7" i="2" s="1"/>
  <c r="AR7" i="3"/>
  <c r="AR7" i="2" s="1"/>
  <c r="AQ7" i="3"/>
  <c r="AQ7" i="2" s="1"/>
  <c r="AP7" i="3"/>
  <c r="AP7" i="2" s="1"/>
  <c r="AO7" i="3"/>
  <c r="AO7" i="2" s="1"/>
  <c r="AN7" i="3"/>
  <c r="AN7" i="2" s="1"/>
  <c r="AM7" i="3"/>
  <c r="AM7" i="2" s="1"/>
  <c r="AL7" i="3"/>
  <c r="AL7" i="2" s="1"/>
  <c r="AK7" i="3"/>
  <c r="AK7" i="2" s="1"/>
  <c r="AJ7" i="3"/>
  <c r="AJ7" i="2" s="1"/>
  <c r="AI7" i="3"/>
  <c r="AI7" i="2" s="1"/>
  <c r="AH7" i="3"/>
  <c r="AH7" i="2" s="1"/>
  <c r="AG7" i="3"/>
  <c r="AG7" i="2" s="1"/>
  <c r="AF7" i="3"/>
  <c r="AF7" i="2" s="1"/>
  <c r="AE7" i="3"/>
  <c r="AE7" i="2" s="1"/>
  <c r="AD7" i="3"/>
  <c r="AD7" i="2" s="1"/>
  <c r="AC7" i="3"/>
  <c r="AC7" i="2" s="1"/>
  <c r="AB7" i="3"/>
  <c r="AB7" i="2" s="1"/>
  <c r="AA7" i="3"/>
  <c r="AA7" i="2" s="1"/>
  <c r="Z7" i="3"/>
  <c r="Z7" i="2" s="1"/>
  <c r="Y7" i="3"/>
  <c r="Y7" i="2" s="1"/>
  <c r="X7" i="3"/>
  <c r="X7" i="2" s="1"/>
  <c r="W7" i="3"/>
  <c r="W7" i="2" s="1"/>
  <c r="V7" i="3"/>
  <c r="V7" i="2" s="1"/>
  <c r="U7" i="3"/>
  <c r="U7" i="2" s="1"/>
  <c r="T7" i="3"/>
  <c r="T7" i="2" s="1"/>
  <c r="S7" i="3"/>
  <c r="S7" i="2" s="1"/>
  <c r="R7" i="3"/>
  <c r="R7" i="2" s="1"/>
  <c r="Q7" i="3"/>
  <c r="Q7" i="2" s="1"/>
  <c r="P7" i="3"/>
  <c r="P7" i="2" s="1"/>
  <c r="O7" i="3"/>
  <c r="O7" i="2" s="1"/>
  <c r="N7" i="3"/>
  <c r="N7" i="2" s="1"/>
  <c r="M7" i="3"/>
  <c r="M7" i="2" s="1"/>
  <c r="L7" i="3"/>
  <c r="L7" i="2" s="1"/>
  <c r="K7"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AO34" i="3"/>
  <c r="AP34" i="3"/>
  <c r="AQ34" i="3"/>
  <c r="AR34" i="3"/>
  <c r="AS34" i="3"/>
  <c r="AT34" i="3"/>
  <c r="AU34" i="3"/>
  <c r="AV34" i="3"/>
  <c r="AW34" i="3"/>
  <c r="AX34" i="3"/>
  <c r="AY34" i="3"/>
  <c r="BN34" i="3"/>
  <c r="BO34" i="3"/>
  <c r="BP34" i="3"/>
  <c r="BQ34" i="3"/>
  <c r="BR34" i="3"/>
  <c r="BS34" i="3"/>
  <c r="BT34" i="3"/>
  <c r="BU34" i="3"/>
  <c r="BV34" i="3"/>
  <c r="BW34" i="3"/>
  <c r="BX34" i="3"/>
  <c r="BY34" i="3"/>
  <c r="BZ34" i="3"/>
  <c r="CA34" i="3"/>
  <c r="CB34"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P36" i="3"/>
  <c r="AQ36" i="3"/>
  <c r="AR36" i="3"/>
  <c r="AS36" i="3"/>
  <c r="AT36" i="3"/>
  <c r="AU36" i="3"/>
  <c r="AV36" i="3"/>
  <c r="AW36" i="3"/>
  <c r="AX36" i="3"/>
  <c r="AY36" i="3"/>
  <c r="BN36" i="3"/>
  <c r="BO36" i="3"/>
  <c r="BP36" i="3"/>
  <c r="BQ36" i="3"/>
  <c r="BR36" i="3"/>
  <c r="BS36" i="3"/>
  <c r="BT36" i="3"/>
  <c r="BU36" i="3"/>
  <c r="BV36" i="3"/>
  <c r="BW36" i="3"/>
  <c r="BX36" i="3"/>
  <c r="BY36" i="3"/>
  <c r="BZ36" i="3"/>
  <c r="CA36" i="3"/>
  <c r="CB36" i="3"/>
  <c r="K36" i="3"/>
  <c r="K34" i="3"/>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N4" i="2"/>
  <c r="M4" i="2"/>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AO32" i="3"/>
  <c r="AP32" i="3"/>
  <c r="AQ32" i="3"/>
  <c r="AR32" i="3"/>
  <c r="AS32" i="3"/>
  <c r="AT32" i="3"/>
  <c r="AU32" i="3"/>
  <c r="AV32" i="3"/>
  <c r="AW32" i="3"/>
  <c r="AX32" i="3"/>
  <c r="L4" i="2"/>
  <c r="K32" i="3"/>
  <c r="L5" i="3"/>
  <c r="L19" i="3" s="1"/>
  <c r="AY4" i="3"/>
  <c r="AY4" i="2" s="1"/>
  <c r="M5" i="3" l="1"/>
  <c r="M19" i="3" s="1"/>
  <c r="L5" i="2"/>
  <c r="BM13" i="2"/>
  <c r="AC8" i="2"/>
  <c r="AP12" i="2"/>
  <c r="AU12" i="2"/>
  <c r="BW13" i="2"/>
  <c r="CB13" i="2"/>
  <c r="AH8" i="2"/>
  <c r="AX8" i="2"/>
  <c r="S12" i="2"/>
  <c r="X12" i="2"/>
  <c r="AP8" i="2"/>
  <c r="AU8" i="2"/>
  <c r="AC12" i="2"/>
  <c r="S8" i="2"/>
  <c r="X8" i="2"/>
  <c r="AX12" i="2"/>
  <c r="AH12" i="2"/>
  <c r="BR9" i="2"/>
  <c r="BM9" i="2"/>
  <c r="BW9" i="2"/>
  <c r="BR13" i="2"/>
  <c r="CB9" i="2"/>
  <c r="BM4" i="3"/>
  <c r="BM4" i="2" s="1"/>
  <c r="BL4" i="3"/>
  <c r="BL4" i="2" s="1"/>
  <c r="BK4" i="3"/>
  <c r="BK4" i="2" s="1"/>
  <c r="BJ4" i="3"/>
  <c r="BJ4" i="2" s="1"/>
  <c r="BI4" i="3"/>
  <c r="BI4" i="2" s="1"/>
  <c r="BH4" i="3"/>
  <c r="BH4" i="2" s="1"/>
  <c r="BG4" i="3"/>
  <c r="BG4" i="2" s="1"/>
  <c r="BF4" i="3"/>
  <c r="BF4" i="2" s="1"/>
  <c r="BE4" i="3"/>
  <c r="BE4" i="2" s="1"/>
  <c r="BD4" i="3"/>
  <c r="BD4" i="2" s="1"/>
  <c r="BC4" i="3"/>
  <c r="BC4" i="2" s="1"/>
  <c r="BB4" i="3"/>
  <c r="BB4" i="2" s="1"/>
  <c r="BA4" i="3"/>
  <c r="BA4" i="2" s="1"/>
  <c r="AZ4" i="3"/>
  <c r="AZ4" i="2" s="1"/>
  <c r="AY32" i="3"/>
  <c r="BB5" i="3"/>
  <c r="BA5" i="3"/>
  <c r="AZ5" i="3"/>
  <c r="AY5" i="3"/>
  <c r="K11" i="2"/>
  <c r="O12" i="2" s="1"/>
  <c r="K7" i="2"/>
  <c r="O8" i="2" s="1"/>
  <c r="F20" i="3"/>
  <c r="F11" i="2" s="1"/>
  <c r="G20" i="3"/>
  <c r="G11" i="2" s="1"/>
  <c r="H20" i="3"/>
  <c r="H11" i="2" s="1"/>
  <c r="I20" i="3"/>
  <c r="I11" i="2" s="1"/>
  <c r="J20" i="3"/>
  <c r="J11" i="2" s="1"/>
  <c r="F7" i="3"/>
  <c r="F7" i="2" s="1"/>
  <c r="G7" i="3"/>
  <c r="G7" i="2" s="1"/>
  <c r="H7" i="3"/>
  <c r="H7" i="2" s="1"/>
  <c r="I7" i="3"/>
  <c r="I7" i="2" s="1"/>
  <c r="J7" i="3"/>
  <c r="J7" i="2" s="1"/>
  <c r="E20" i="3"/>
  <c r="E11" i="2" s="1"/>
  <c r="E7" i="3"/>
  <c r="E7" i="2" s="1"/>
  <c r="C29" i="3"/>
  <c r="C28" i="3"/>
  <c r="C27" i="3"/>
  <c r="C26" i="3"/>
  <c r="C25" i="3"/>
  <c r="C24" i="3"/>
  <c r="C23" i="3"/>
  <c r="C22" i="3"/>
  <c r="C21" i="3"/>
  <c r="C20" i="3"/>
  <c r="AY5" i="2" l="1"/>
  <c r="AY19" i="3"/>
  <c r="AZ5" i="2"/>
  <c r="AZ19" i="3"/>
  <c r="BB5" i="2"/>
  <c r="BB19" i="3"/>
  <c r="BA5" i="2"/>
  <c r="BA19" i="3"/>
  <c r="N5" i="3"/>
  <c r="N19" i="3" s="1"/>
  <c r="M5" i="2"/>
  <c r="AX13" i="2"/>
  <c r="AX9" i="2"/>
  <c r="AZ32" i="3"/>
  <c r="AZ34" i="3"/>
  <c r="AZ36" i="3"/>
  <c r="J9" i="2"/>
  <c r="J13" i="2"/>
  <c r="K4" i="2"/>
  <c r="J4" i="2"/>
  <c r="I4" i="2"/>
  <c r="H4" i="2"/>
  <c r="G4" i="2"/>
  <c r="F4" i="2"/>
  <c r="K2" i="2"/>
  <c r="J2" i="2"/>
  <c r="I2" i="2"/>
  <c r="H2" i="2"/>
  <c r="G2" i="2"/>
  <c r="F2" i="2"/>
  <c r="E4" i="2"/>
  <c r="E2" i="2"/>
  <c r="A25" i="3"/>
  <c r="B25" i="3"/>
  <c r="D25" i="3"/>
  <c r="A26" i="3"/>
  <c r="B26" i="3"/>
  <c r="D26" i="3"/>
  <c r="A27" i="3"/>
  <c r="B27" i="3"/>
  <c r="D27" i="3"/>
  <c r="A28" i="3"/>
  <c r="B28" i="3"/>
  <c r="D28" i="3"/>
  <c r="A29" i="3"/>
  <c r="B29" i="3"/>
  <c r="D29" i="3"/>
  <c r="A24" i="3"/>
  <c r="B24" i="3"/>
  <c r="D24" i="3"/>
  <c r="O5" i="3" l="1"/>
  <c r="O19" i="3" s="1"/>
  <c r="N5" i="2"/>
  <c r="BA34" i="3"/>
  <c r="BA36" i="3"/>
  <c r="BA32" i="3"/>
  <c r="BB32" i="3"/>
  <c r="B21" i="3"/>
  <c r="D21" i="3"/>
  <c r="B22" i="3"/>
  <c r="D22" i="3"/>
  <c r="B23" i="3"/>
  <c r="D23" i="3"/>
  <c r="D20" i="3"/>
  <c r="B20" i="3"/>
  <c r="AN5" i="3" l="1"/>
  <c r="AO5" i="3" s="1"/>
  <c r="AP5" i="3" s="1"/>
  <c r="AR5" i="3" s="1"/>
  <c r="AS5" i="3" s="1"/>
  <c r="AT5" i="3" s="1"/>
  <c r="AU5" i="3" s="1"/>
  <c r="AW5" i="3" s="1"/>
  <c r="AX5" i="3" s="1"/>
  <c r="O5" i="2"/>
  <c r="BB36" i="3"/>
  <c r="BB34" i="3"/>
  <c r="A21" i="3"/>
  <c r="A22" i="3"/>
  <c r="A23" i="3"/>
  <c r="A20" i="3"/>
  <c r="BC36" i="3" l="1"/>
  <c r="BC34" i="3"/>
  <c r="BC32" i="3"/>
  <c r="BD34" i="3" l="1"/>
  <c r="BD36" i="3"/>
  <c r="BD32" i="3"/>
  <c r="BE34" i="3" l="1"/>
  <c r="BE36" i="3"/>
  <c r="BE32" i="3"/>
  <c r="BF36" i="3" l="1"/>
  <c r="BF34" i="3"/>
  <c r="BF32" i="3"/>
  <c r="BG36" i="3" l="1"/>
  <c r="BG34" i="3"/>
  <c r="BG32" i="3"/>
  <c r="BH34" i="3" l="1"/>
  <c r="BH36" i="3"/>
  <c r="BH32" i="3"/>
  <c r="BI34" i="3" l="1"/>
  <c r="BI36" i="3"/>
  <c r="BI32" i="3"/>
  <c r="BJ34" i="3" l="1"/>
  <c r="BJ36" i="3"/>
  <c r="BJ32" i="3"/>
  <c r="BK36" i="3" l="1"/>
  <c r="BK34" i="3"/>
  <c r="BK32" i="3"/>
  <c r="BL32" i="3" l="1"/>
  <c r="BL34" i="3"/>
  <c r="BL36" i="3"/>
  <c r="BM32" i="3" l="1"/>
  <c r="BM34" i="3"/>
  <c r="BM36" i="3"/>
</calcChain>
</file>

<file path=xl/sharedStrings.xml><?xml version="1.0" encoding="utf-8"?>
<sst xmlns="http://schemas.openxmlformats.org/spreadsheetml/2006/main" count="462" uniqueCount="293">
  <si>
    <t>Digital Power Competentiehuis</t>
  </si>
  <si>
    <t>Competentiegebieden</t>
  </si>
  <si>
    <t>Vragenlijst</t>
  </si>
  <si>
    <t>Invulinstructie</t>
  </si>
  <si>
    <t xml:space="preserve">
Ieder competentiegebied (6), te herkennen aan de verschillende kleuren, bestaat uit een aantal specifieke competenties.
Bepaal voor iedere competentie waar je ambitie (wenselijk competenieniveau) ligt en waar je nu staat (competentieniveau tot heden). 
- Doe dit door jezelf te scoren op de aangegeven schaal (zie voorbeeld)
- Indien je (nu) geen ambitie hebt op een competentie, hou je de score aan die weergeeft wat je competentieniveau tot heden is.
Bepaal bij iedere competentie welke beschrijvng het beste past voor de situatie (heden/ wens). Kijk niet alleen naar kennis en kunde, maar ook naar invloedssfeer en mate aan (persoonlijk) leiderschap in je rol bij de klant. 
Creeer je gewenste profiel aan de hand van je ambitie! En ontwikkel díe competenties die invulling geven aan het verwezenlijken van deze ambitie.
Het doel is niet om te toetsen of je wel/ geen goede consultant bent binnen dit domein. Het doel is wel dat je competenties ontwikkelt die bij jouw ambitie passen.
Wees realitisch bij het invullen. Alleen dan gebruik je het tot de volle potentie.
Succes met invullen!</t>
  </si>
  <si>
    <t>Vul per situatie de corresponderende invulwaarde in bij de best passende competentie beschrijving</t>
  </si>
  <si>
    <t>Situatie competentieniveau</t>
  </si>
  <si>
    <t>Voorbeeld competentiegebied</t>
  </si>
  <si>
    <t>Competentieniveau tot heden</t>
  </si>
  <si>
    <t>Wenselijk competentieniveau</t>
  </si>
  <si>
    <t>Voorbeeld competentie</t>
  </si>
  <si>
    <t>Voorbeeld competentie beschrijving: Acteert bij klanten op competentie A.</t>
  </si>
  <si>
    <t>Voorbeeld competentie beschrijving: Acteert bij klanten naast compententie A, ook op competentie B.</t>
  </si>
  <si>
    <t>Voorbeeld competentie beschrijving: Acteert bij klanten naast compententie A en B, ook op competentie C.</t>
  </si>
  <si>
    <t>Voorbeeld competentie beschrijving: Acteert bij klanten naast compententie A, B en C, ook op competentie D.</t>
  </si>
  <si>
    <t>Voorbeeld competentie beschrijving: Acteert bij klanten naast compententie A, B, C en D, ook op competentie E.</t>
  </si>
  <si>
    <t>Digital Power basis competenties</t>
  </si>
  <si>
    <t>Leren &amp; reflecteren</t>
  </si>
  <si>
    <t>Heeft een groei mindset</t>
  </si>
  <si>
    <t>Ontvangt positieve en opbouwende feedback met een open houding, is in staat dit voor zelfreflectie te gebruiken, het op te nemen in zijn/ haar eigen ontwikkeling en hier de nodige ontwikkeling op te ondernemen met trainingen en cursussen.</t>
  </si>
  <si>
    <t>Is naast eerdergenoemde externe prikkel (feedback van anderen), in staat zelf kritisch te blijven op eigen kennis en ervaring en het eventueel ontbreken ervan. Neemt hierin de nodige acties en neemt daarin zelf de regie over de eigen ontwikkeling.</t>
  </si>
  <si>
    <t>Neemt een voorbeeldrol aan in eerdergenoemde competenties en draagt deze eveneens actief uit vanuit de begeleidende rol naar juniors en mediors.</t>
  </si>
  <si>
    <t>Neemt een leidersrol aan in eerdergenoemde competenties en draagt deze actief uit vanuit de begeleidersrol en/ of als organisatieverantwoordelijke.</t>
  </si>
  <si>
    <t>Ondersteunen &amp; samenwerken</t>
  </si>
  <si>
    <t>Heeft een collegiale mindset</t>
  </si>
  <si>
    <t>Is behulpzaam en betrokken naar zowel interne als externe collega's</t>
  </si>
  <si>
    <t xml:space="preserve">Zoekt actief de samenwerking op. Zowel binnen als buiten het eigen team waarin je (tijdelijk) onderdeel van uitmaakt. </t>
  </si>
  <si>
    <t>Neemt een voorbeeld rol in bij het zoeken naar samenwerking. Neemt de verantwoordelijkheid op zich om anderen te ondersteunen en de hulp te bieden om ervoor te zorgen dat teamleden zelfredzaam worden in hun werkzaamheden.</t>
  </si>
  <si>
    <t>n.v.t.</t>
  </si>
  <si>
    <t>Ondernemen &amp; resultaatgericht</t>
  </si>
  <si>
    <t>Heeft een ondernemende &amp; resultaatgerichte mindset</t>
  </si>
  <si>
    <t xml:space="preserve">Gericht op effectief handelen en het op tijd opleveren van afgesproken werk, binnen de afgesproken tijd. </t>
  </si>
  <si>
    <t>Naast eerdergenoemde competenties in staat kansen te herkennen en actief te handelen om klanten te helpen en/ of DiP verder te profilen. Is in staat klantdoelstellingen te vertalen naar concrete en praktische acties.</t>
  </si>
  <si>
    <t>Naast eerdergenoemde competenties in staat commerciele activiteiten (zoals het uitbouwen van uren, additionele opdrachten genereren ed.) te verhogen. Ontplooit binnen DiP projecten en overziet en/ of begeleidt deze naar het beoogde resultaat.</t>
  </si>
  <si>
    <t>Naast eerdergenoemde competenties verantwoordelijk voor de ontwikkeling van een specialisme binnen DiP. Incl. het monitoren en marktconform houden van dit specialisme.</t>
  </si>
  <si>
    <t>Klantgericht</t>
  </si>
  <si>
    <t>Heeft een klantgerichte mindset</t>
  </si>
  <si>
    <t>Herkent behoeften en belangen van de klant; stelt zich hulpvaardig op en houdt in het handelen rekening met de behoeften en belangen van de klant.</t>
  </si>
  <si>
    <t>Denkt naast eerdergenoemde competenties, actief mee met de klant. Deelt inzichten in de klantorganisatie binnen DiP om commerciële  activiteiten verder uit te kunnen breiden. Streeft daarin actief naar verhoging van klanttevredenheid en kwaliteitsverbetering.</t>
  </si>
  <si>
    <t>Stimuleert en faciliteert naast eerdergenoemde competenties, ook anderen om actief klantgericht te opereren. Is in staat klantactiviteit uit te breiden d.m.v. expertise. Overtreft de verwachtingen van de klant.</t>
  </si>
  <si>
    <t>Draagt, naast eerdergenoemde competenties, de verantwoordelijkheid voor een klantgerichte aanpak. Zet zich in voor het structureel hoogwaardig houden van de klantgerichtheid.</t>
  </si>
  <si>
    <t>Kennisdeling</t>
  </si>
  <si>
    <t>Neemt actief kennis op uit de DiP organisatie.</t>
  </si>
  <si>
    <t>Neemt kennis op uit de DiP organisatie en deelt actief eigen ervaringen met collega's.</t>
  </si>
  <si>
    <t>Deelt, naast eerdergenoemde, actief eigen ervaringen en kennis in DiP meet-ups, peergroups en het geven van trainingen, etc. Draagt kennis eveneens extern uit in meet-ups, conferenties, trainingen, blogs, inspiratiesessies, etc.</t>
  </si>
  <si>
    <t>Is naast eerdergenoemde activiteiten, door verworven kennis en ervaring een vraagbaak voor consultants in zijn/ haar specialisme. En draagt bij aan de teamspirit.</t>
  </si>
  <si>
    <t>Draagt, naast eerdergenoemde activiteiten, eveneens de verantwoordelijkheid over het niveau van kennisdeling. Zorgt ervoor dat kennisdeling op peil blijft qua inhoud en frequentie.</t>
  </si>
  <si>
    <t>Coaching &amp; begeleiding</t>
  </si>
  <si>
    <t>Heeft nooit (in)formeel coaching of begeleiding gegeven op professioneel gebied</t>
  </si>
  <si>
    <t>Heeft één of meerdere trainingen/ cursussen gevolgd over coachen en/ of begeleiden op professioneel gebied.</t>
  </si>
  <si>
    <t>Heeft (binnen DiP) één of meerdere collega's informeel gecoached en/ of begeleidt op professioneel gebied.</t>
  </si>
  <si>
    <t>Begeleidt (binnen DiP) formeel één of meerdere junior/ medior consultants op professioneel gebied in hun ontwikkeling.</t>
  </si>
  <si>
    <t>Begeleidt (binnen DiP) formeel meer dan 4 jaar één of meerdere junior/ medior/ senior consultants op professioeel gebied in hun ontwikkeling.</t>
  </si>
  <si>
    <t xml:space="preserve">Ethiek en professionaliteit </t>
  </si>
  <si>
    <t>0. Onbekend mee (ken het niet) 
1. Bekend mee (ik weet wat het kan)
2. Hobbymatig (Mee gewerkt)
3. Acceptabel (kan erop verkocht worden)
4. Marktconform / Prima (vergelijkbaar binnen DiP en buiten DiP)
5. Beter dan marktconform
6. Onderscheidend (onderscheidend binnen DiP en buiten DiP) Kun je onderscheidend zijn op assumpties? of bijv. correlatie?</t>
  </si>
  <si>
    <t>Is zich bewust van het bestaan van de AVG en andere relevante wetgeving</t>
  </si>
  <si>
    <t>Is bekend met de juridische eisen rondom privacy (AVG, data opslag, dataverzameling, datalek, etc) en neemt deze in acht bij de eigen werkzaamheden.</t>
  </si>
  <si>
    <t>Adviseert klanten pro-actief over de juridische eisen en implicaties rondom privacy.</t>
  </si>
  <si>
    <t>Neemt naast bovengenoemde, eveneens ethische overwegingen en implicaties in acht bij de eigen werkzaamheden. Attendeert over dit aspect.</t>
  </si>
  <si>
    <t>Adviseert klanten pro-actief over de ethische overwegingen en implicaties van keuzes.</t>
  </si>
  <si>
    <t xml:space="preserve">Basis Data vaardigheden </t>
  </si>
  <si>
    <r>
      <t xml:space="preserve">Is bewust van de verschillende typen data en de (on)mogelijkheden hiervan
</t>
    </r>
    <r>
      <rPr>
        <sz val="11"/>
        <color theme="0" tint="-0.249977111117893"/>
        <rFont val="Calibri"/>
        <family val="2"/>
        <scheme val="minor"/>
      </rPr>
      <t>Met typen data wordt nominaal, ordinaal interval en ratio bedoeld.</t>
    </r>
  </si>
  <si>
    <r>
      <t xml:space="preserve">Begrijpt data kwaliteit en herkent problemen hierin
</t>
    </r>
    <r>
      <rPr>
        <sz val="11"/>
        <color theme="0" tint="-0.249977111117893"/>
        <rFont val="Calibri"/>
        <family val="2"/>
        <scheme val="minor"/>
      </rPr>
      <t>Bekend met verschillende problemen en biases die in data voorkomen. Te denken aan onvolledig, onjuist, inconsistent en/of verouderd.</t>
    </r>
  </si>
  <si>
    <r>
      <rPr>
        <b/>
        <sz val="11"/>
        <color rgb="FF000000"/>
        <rFont val="Calibri"/>
      </rPr>
      <t xml:space="preserve">Kent ook de oplossingen om met data kwaliteitsproblemen om te gaan
</t>
    </r>
    <r>
      <rPr>
        <sz val="11"/>
        <color rgb="FFBFBFBF"/>
        <rFont val="Calibri"/>
      </rPr>
      <t>Kan passende oplossingen toepassen voor verschillende data kwaliteitsproblemen.</t>
    </r>
  </si>
  <si>
    <r>
      <t xml:space="preserve">Kan doelmatig en doeltreffend data bewerken/manipuleren
</t>
    </r>
    <r>
      <rPr>
        <sz val="11"/>
        <color theme="0" tint="-0.249977111117893"/>
        <rFont val="Calibri"/>
        <family val="2"/>
        <scheme val="minor"/>
      </rPr>
      <t>Data bewerken en combineren ter voorbereiding van het analyseren. Van handmatig in Excel tot formules t/m script.</t>
    </r>
  </si>
  <si>
    <t>Statistiek</t>
  </si>
  <si>
    <r>
      <t xml:space="preserve">Assumpties steekproefgrootte, verdeling e.d.
</t>
    </r>
    <r>
      <rPr>
        <sz val="11"/>
        <color theme="0" tint="-0.249977111117893"/>
        <rFont val="Calibri"/>
        <family val="2"/>
        <scheme val="minor"/>
      </rPr>
      <t>De assumpties/aannames die worden gehanteerd voor het bepalen van de statistische toets. Het checken van de verdeling a.d.h.v. beschrijvende statistieken zoals standaard deviatie, modus, mediaan e.d.</t>
    </r>
  </si>
  <si>
    <r>
      <t xml:space="preserve">Betrouwbaarsheids intervallen
</t>
    </r>
    <r>
      <rPr>
        <sz val="11"/>
        <color theme="0" tint="-0.249977111117893"/>
        <rFont val="Calibri"/>
        <family val="2"/>
        <scheme val="minor"/>
      </rPr>
      <t xml:space="preserve">Met betrouwbaarheids intervallen wordt bedoeld de interval van  waarden waartussen het resultaat van je onderzoek/steefproef valt. </t>
    </r>
  </si>
  <si>
    <r>
      <t xml:space="preserve">Statistische toetsen - wanneer welke toepassen?
</t>
    </r>
    <r>
      <rPr>
        <sz val="11"/>
        <color theme="0" tint="-0.249977111117893"/>
        <rFont val="Calibri"/>
        <family val="2"/>
        <scheme val="minor"/>
      </rPr>
      <t>De verschillende toetsen zoals z-test, t-test, chi-kwadraattoets die worden toegepast bij het analyseren van een experiment</t>
    </r>
  </si>
  <si>
    <r>
      <t xml:space="preserve">Correlatie
</t>
    </r>
    <r>
      <rPr>
        <sz val="11"/>
        <color theme="0" tint="-0.249977111117893"/>
        <rFont val="Calibri"/>
        <family val="2"/>
        <scheme val="minor"/>
      </rPr>
      <t>Meeteenheid  om statisch verband aan te tonen.</t>
    </r>
  </si>
  <si>
    <r>
      <t xml:space="preserve">Regressie
</t>
    </r>
    <r>
      <rPr>
        <sz val="11"/>
        <color theme="0" tint="-0.249977111117893"/>
        <rFont val="Calibri"/>
        <family val="2"/>
        <scheme val="minor"/>
      </rPr>
      <t>Meetmethode om a.d.h.v. verschillende variabelen verband en voorspellende waarde aan te tonen</t>
    </r>
  </si>
  <si>
    <t>Kwalitatieve Analyse en Onderzoeksvaardigheden</t>
  </si>
  <si>
    <r>
      <t xml:space="preserve">Betrouwbaarheid &amp; Validiteit
</t>
    </r>
    <r>
      <rPr>
        <sz val="11"/>
        <color theme="0" tint="-0.249977111117893"/>
        <rFont val="Calibri"/>
        <family val="2"/>
        <scheme val="minor"/>
      </rPr>
      <t>Bekend met de begrippen, kan onderzoeken hierop beoordelen.</t>
    </r>
  </si>
  <si>
    <r>
      <t xml:space="preserve">Selecteren passende onderzoekmethode voor vraagstuk
</t>
    </r>
    <r>
      <rPr>
        <sz val="11"/>
        <color theme="0" tint="-0.249977111117893"/>
        <rFont val="Calibri"/>
        <family val="2"/>
        <scheme val="minor"/>
      </rPr>
      <t>In staat om de juiste onderzoeksmethode te selecteren voor het vraagstuk en doel.</t>
    </r>
  </si>
  <si>
    <r>
      <t xml:space="preserve">Onderzoeksdesign
</t>
    </r>
    <r>
      <rPr>
        <sz val="11"/>
        <color theme="0" tint="-0.249977111117893"/>
        <rFont val="Calibri"/>
        <family val="2"/>
        <scheme val="minor"/>
      </rPr>
      <t xml:space="preserve">Kan een onderzoeksontwerp maken voor het realiseren van het onderzoek met betrekking op validiteit en betrouwbaarheid en haalbaarheid &amp; ethiek. </t>
    </r>
  </si>
  <si>
    <r>
      <t xml:space="preserve">Interpreteren van onderzoeksresultaten naar waarde
</t>
    </r>
    <r>
      <rPr>
        <sz val="11"/>
        <color theme="0" tint="-0.249977111117893"/>
        <rFont val="Calibri"/>
        <family val="2"/>
        <scheme val="minor"/>
      </rPr>
      <t>Herkennen van wat de onderzoeksresultaten betekenen voor de organisatie en de acties die eruit kunnen komen.</t>
    </r>
  </si>
  <si>
    <r>
      <t xml:space="preserve">Onderzoeksvaardigheden in business context
</t>
    </r>
    <r>
      <rPr>
        <sz val="11"/>
        <color theme="0" tint="-0.249977111117893"/>
        <rFont val="Calibri"/>
        <family val="2"/>
        <scheme val="minor"/>
      </rPr>
      <t>In staat om de juiste onderzoeksmethode te selecteren voor het vraagstuk in relatie tot de business context met betrekking op kosten, tijd tot resultaten en verschillende stakeholder belangen.</t>
    </r>
  </si>
  <si>
    <t>Metrics en doelen</t>
  </si>
  <si>
    <r>
      <t xml:space="preserve">Metrics voor de usability- en user experience
</t>
    </r>
    <r>
      <rPr>
        <sz val="11"/>
        <color theme="0" tint="-0.249977111117893"/>
        <rFont val="Calibri"/>
        <family val="2"/>
        <scheme val="minor"/>
      </rPr>
      <t>De vertaling van menselijk gedrag naar metrics op gedrag en attitude niveau. Te denken aan time on task, task succes rate en satisfaction.</t>
    </r>
  </si>
  <si>
    <r>
      <t xml:space="preserve">Metrics voor de customer experience
</t>
    </r>
    <r>
      <rPr>
        <sz val="11"/>
        <color theme="0" tint="-0.249977111117893"/>
        <rFont val="Calibri"/>
        <family val="2"/>
        <scheme val="minor"/>
      </rPr>
      <t>De vertaling van de klantervaring naar meeteenheden zoals CSAT, NPS of CES</t>
    </r>
  </si>
  <si>
    <r>
      <t xml:space="preserve">Metrics aansluiting maken tussen de strategie en ux/cx metrics
</t>
    </r>
    <r>
      <rPr>
        <sz val="11"/>
        <color theme="0" tint="-0.249977111117893"/>
        <rFont val="Calibri"/>
        <family val="2"/>
        <scheme val="minor"/>
      </rPr>
      <t>Gelaagdheid in metrics aanbrengen op elk niveau(individueel, operationeel, tactisch, strategisch) in de organisatie. Zijn de metrics de drivers van de strategie?</t>
    </r>
  </si>
  <si>
    <r>
      <t xml:space="preserve">Metrics vertalen naar concrete meetbare definities
</t>
    </r>
    <r>
      <rPr>
        <sz val="11"/>
        <color theme="0" tint="-0.249977111117893"/>
        <rFont val="Calibri"/>
        <family val="2"/>
        <scheme val="minor"/>
      </rPr>
      <t>Het kunnen uitschrijven van exacte definities in de betreffende organisatie en context</t>
    </r>
  </si>
  <si>
    <r>
      <t xml:space="preserve">Metrics voor het juiste niveau in de organisatie om op te sturen
</t>
    </r>
    <r>
      <rPr>
        <sz val="11"/>
        <color theme="0" tint="-0.249977111117893"/>
        <rFont val="Calibri"/>
        <family val="2"/>
        <scheme val="minor"/>
      </rPr>
      <t>Vertaling van metrics naar operationeel, tactisch en strategisch</t>
    </r>
  </si>
  <si>
    <t xml:space="preserve">CX Theorie </t>
  </si>
  <si>
    <r>
      <t xml:space="preserve">Perceptie en decision making
</t>
    </r>
    <r>
      <rPr>
        <sz val="11"/>
        <color theme="0" tint="-0.249977111117893"/>
        <rFont val="Calibri"/>
        <family val="2"/>
        <scheme val="minor"/>
      </rPr>
      <t xml:space="preserve">Kennis van menselijke informatieverwerking en hoe mensen beslissingen maken en deze beinvloed kan worden. </t>
    </r>
  </si>
  <si>
    <t>Het optimalisatieprocess 
Kennis van het DiP Optimalisatieproces en andere, kan dit ook inzetten bij klanten.</t>
  </si>
  <si>
    <r>
      <t xml:space="preserve">CX Maturity Modellen 
</t>
    </r>
    <r>
      <rPr>
        <sz val="11"/>
        <color theme="0" tint="-0.249977111117893"/>
        <rFont val="Calibri"/>
        <family val="2"/>
        <scheme val="minor"/>
      </rPr>
      <t>Kennis van het DiP CX Maturity Model  en andereen kan dit ook inzetten bij klanten.</t>
    </r>
  </si>
  <si>
    <r>
      <t xml:space="preserve">Merk, Usability, User Experience, Customer Experience 
</t>
    </r>
    <r>
      <rPr>
        <sz val="11"/>
        <color theme="0" tint="-0.249977111117893"/>
        <rFont val="Calibri"/>
        <family val="2"/>
        <scheme val="minor"/>
      </rPr>
      <t xml:space="preserve">Begrijpen van de concepten en ze aan elkaar kunnen relateren en aan de organisatiedoelen en belangen. </t>
    </r>
  </si>
  <si>
    <r>
      <t xml:space="preserve">CX strategie
</t>
    </r>
    <r>
      <rPr>
        <sz val="11"/>
        <color theme="0" tint="-0.249977111117893"/>
        <rFont val="Calibri"/>
        <family val="2"/>
        <scheme val="minor"/>
      </rPr>
      <t>Begrijpen wat een CX strategie is, waarom dit nodig is en hoe je dit kan opstellen</t>
    </r>
    <r>
      <rPr>
        <b/>
        <sz val="11"/>
        <rFont val="Calibri"/>
        <family val="2"/>
        <scheme val="minor"/>
      </rPr>
      <t>.</t>
    </r>
  </si>
  <si>
    <r>
      <t xml:space="preserve">Copywriting |  UX writing | Content
</t>
    </r>
    <r>
      <rPr>
        <sz val="11"/>
        <color theme="0" tint="-0.249977111117893"/>
        <rFont val="Calibri"/>
        <family val="2"/>
        <scheme val="minor"/>
      </rPr>
      <t>Begrijpen van het belang van content en taalniveaus en gebruik voor de organisatie en hoe je dit in kan zetten.</t>
    </r>
  </si>
  <si>
    <r>
      <t xml:space="preserve">Customer Journey Mapping &amp; Persona's
</t>
    </r>
    <r>
      <rPr>
        <sz val="11"/>
        <color theme="0" tint="-0.249977111117893"/>
        <rFont val="Calibri"/>
        <family val="2"/>
        <scheme val="minor"/>
      </rPr>
      <t>Begrijpt de verschillende customer journey maps, kan de verschillen uitleggen en wanneer je deze zou gebruiken. Kent ook de verschillende perspectieven en functies van persona's</t>
    </r>
  </si>
  <si>
    <r>
      <t xml:space="preserve">Personalisatie en segmentatie
</t>
    </r>
    <r>
      <rPr>
        <sz val="11"/>
        <color theme="0" tint="-0.249977111117893"/>
        <rFont val="Calibri"/>
        <family val="2"/>
        <scheme val="minor"/>
      </rPr>
      <t>Kan duidelijk de verschillen uitleggen tussen ab testen, segmenteren en personaliseren en de verschillende methoden om hierop te komen en wat de implicaties zijn van de keuze.</t>
    </r>
  </si>
  <si>
    <t xml:space="preserve">CX Kennis toepassingsdomein </t>
  </si>
  <si>
    <r>
      <t xml:space="preserve">Customer Journey (CXO) 
</t>
    </r>
    <r>
      <rPr>
        <sz val="11"/>
        <color theme="0" tint="-0.249977111117893"/>
        <rFont val="Calibri"/>
        <family val="2"/>
        <scheme val="minor"/>
      </rPr>
      <t>Klantreizen en customer journey management over verschillende kanalen. Met managen wordt bedoeld het meten en optimaliseren a.d.h.v. metrics.</t>
    </r>
  </si>
  <si>
    <r>
      <t xml:space="preserve">Marketing Analytics
</t>
    </r>
    <r>
      <rPr>
        <sz val="11"/>
        <color theme="0" tint="-0.249977111117893"/>
        <rFont val="Calibri"/>
        <family val="2"/>
        <scheme val="minor"/>
      </rPr>
      <t>Analyseren en optimaliseren van marketingkanalen.</t>
    </r>
  </si>
  <si>
    <r>
      <t xml:space="preserve">eCommerce Analytics
</t>
    </r>
    <r>
      <rPr>
        <sz val="11"/>
        <color theme="0" tint="-0.249977111117893"/>
        <rFont val="Calibri"/>
        <family val="2"/>
        <scheme val="minor"/>
      </rPr>
      <t>Analyseren en optimaliseren van een ecommerce website.</t>
    </r>
  </si>
  <si>
    <r>
      <t xml:space="preserve">Product Analytics
</t>
    </r>
    <r>
      <rPr>
        <sz val="11"/>
        <color theme="0" tint="-0.249977111117893"/>
        <rFont val="Calibri"/>
        <family val="2"/>
        <scheme val="minor"/>
      </rPr>
      <t>Analyseren en optimaliseren van digitale producten zoals een Spotify, Saas oplossingen of interne applicaties.</t>
    </r>
  </si>
  <si>
    <r>
      <t xml:space="preserve">Customer Service optimalisatie
</t>
    </r>
    <r>
      <rPr>
        <sz val="11"/>
        <color theme="0" tint="-0.249977111117893"/>
        <rFont val="Calibri"/>
        <family val="2"/>
        <scheme val="minor"/>
      </rPr>
      <t xml:space="preserve">Analyeren en optimaliseren van de servicekanalen, van digitaal tot klantenservice. </t>
    </r>
  </si>
  <si>
    <t>Bonusskill</t>
  </si>
  <si>
    <t>Design: Schetsen &amp; wireframes</t>
  </si>
  <si>
    <r>
      <t xml:space="preserve">Prototyping
</t>
    </r>
    <r>
      <rPr>
        <sz val="11"/>
        <color theme="0" tint="-0.249977111117893"/>
        <rFont val="Calibri"/>
        <family val="2"/>
        <scheme val="minor"/>
      </rPr>
      <t>Het maken van interactieve oplossingen om het te kunnen testen. Dit kan in een Figma of bijv. in de Frontend</t>
    </r>
  </si>
  <si>
    <r>
      <t xml:space="preserve">Visual design
</t>
    </r>
    <r>
      <rPr>
        <sz val="11"/>
        <color theme="0" tint="-0.249977111117893"/>
        <rFont val="Calibri"/>
        <family val="2"/>
        <scheme val="minor"/>
      </rPr>
      <t xml:space="preserve">Het maken visuele ontwerpen gericht op de vormgeving van de interface. </t>
    </r>
  </si>
  <si>
    <t>Hardskills</t>
  </si>
  <si>
    <r>
      <rPr>
        <b/>
        <sz val="11"/>
        <rFont val="Calibri"/>
        <family val="2"/>
        <scheme val="minor"/>
      </rPr>
      <t xml:space="preserve">Customer Journey Mapping </t>
    </r>
    <r>
      <rPr>
        <sz val="11"/>
        <rFont val="Calibri"/>
        <family val="2"/>
        <scheme val="minor"/>
      </rPr>
      <t xml:space="preserve">
</t>
    </r>
    <r>
      <rPr>
        <sz val="11"/>
        <color theme="0" tint="-0.249977111117893"/>
        <rFont val="Calibri"/>
        <family val="2"/>
        <scheme val="minor"/>
      </rPr>
      <t>Opzetten en uitvoeren van een customer journey map sessie.</t>
    </r>
  </si>
  <si>
    <t xml:space="preserve">Customer Journey Mapping </t>
  </si>
  <si>
    <r>
      <rPr>
        <b/>
        <sz val="11"/>
        <rFont val="Calibri"/>
        <family val="2"/>
        <scheme val="minor"/>
      </rPr>
      <t xml:space="preserve">Usability Testen - Formative  </t>
    </r>
    <r>
      <rPr>
        <sz val="11"/>
        <rFont val="Calibri"/>
        <family val="2"/>
        <scheme val="minor"/>
      </rPr>
      <t xml:space="preserve">
</t>
    </r>
    <r>
      <rPr>
        <sz val="11"/>
        <color theme="0" tint="-0.249977111117893"/>
        <rFont val="Calibri"/>
        <family val="2"/>
        <scheme val="minor"/>
      </rPr>
      <t>Opzetten en uitvoeren van een test.</t>
    </r>
  </si>
  <si>
    <t>Usability Testen - Formative</t>
  </si>
  <si>
    <r>
      <rPr>
        <b/>
        <sz val="11"/>
        <rFont val="Calibri"/>
        <family val="2"/>
        <scheme val="minor"/>
      </rPr>
      <t xml:space="preserve">Usability Testen - Summative  </t>
    </r>
    <r>
      <rPr>
        <sz val="11"/>
        <rFont val="Calibri"/>
        <family val="2"/>
        <scheme val="minor"/>
      </rPr>
      <t xml:space="preserve">
</t>
    </r>
    <r>
      <rPr>
        <sz val="11"/>
        <color theme="0" tint="-0.249977111117893"/>
        <rFont val="Calibri"/>
        <family val="2"/>
        <scheme val="minor"/>
      </rPr>
      <t xml:space="preserve">Opzetten, uitvoeren en analyseren van een test. </t>
    </r>
  </si>
  <si>
    <t>Usability Testen - Summative</t>
  </si>
  <si>
    <r>
      <rPr>
        <b/>
        <sz val="11"/>
        <rFont val="Calibri"/>
        <family val="2"/>
        <scheme val="minor"/>
      </rPr>
      <t xml:space="preserve">AB Testen </t>
    </r>
    <r>
      <rPr>
        <sz val="11"/>
        <rFont val="Calibri"/>
        <family val="2"/>
        <scheme val="minor"/>
      </rPr>
      <t xml:space="preserve">
</t>
    </r>
    <r>
      <rPr>
        <sz val="11"/>
        <color theme="0" tint="-0.249977111117893"/>
        <rFont val="Calibri"/>
        <family val="2"/>
        <scheme val="minor"/>
      </rPr>
      <t>Opzetten, uitvoeren en analyseren van een test.</t>
    </r>
  </si>
  <si>
    <t>AB Testen</t>
  </si>
  <si>
    <r>
      <rPr>
        <b/>
        <sz val="11"/>
        <rFont val="Calibri"/>
        <family val="2"/>
        <scheme val="minor"/>
      </rPr>
      <t>Behavioral Analytics (Web en app analytics tooling)</t>
    </r>
    <r>
      <rPr>
        <sz val="11"/>
        <rFont val="Calibri"/>
        <family val="2"/>
        <scheme val="minor"/>
      </rPr>
      <t xml:space="preserve">
</t>
    </r>
    <r>
      <rPr>
        <sz val="11"/>
        <color theme="0" tint="-0.249977111117893"/>
        <rFont val="Calibri"/>
        <family val="2"/>
        <scheme val="minor"/>
      </rPr>
      <t>Het analyseren van kwantitatieve data in analysetools zoals GA, Adobe, Amplitude</t>
    </r>
  </si>
  <si>
    <t>Behavioral Analytics (Web en app analytics tooling)</t>
  </si>
  <si>
    <r>
      <rPr>
        <b/>
        <sz val="11"/>
        <rFont val="Calibri"/>
        <family val="2"/>
        <scheme val="minor"/>
      </rPr>
      <t>Marketing Analytics</t>
    </r>
    <r>
      <rPr>
        <sz val="11"/>
        <rFont val="Calibri"/>
        <family val="2"/>
        <scheme val="minor"/>
      </rPr>
      <t xml:space="preserve">
</t>
    </r>
    <r>
      <rPr>
        <sz val="11"/>
        <color theme="0" tint="-0.249977111117893"/>
        <rFont val="Calibri"/>
        <family val="2"/>
        <scheme val="minor"/>
      </rPr>
      <t xml:space="preserve">Het analyseren van het effect en resultaat van campagnes en advertenties </t>
    </r>
  </si>
  <si>
    <t>Marketing Analytics</t>
  </si>
  <si>
    <r>
      <rPr>
        <b/>
        <sz val="11"/>
        <rFont val="Calibri"/>
        <family val="2"/>
        <scheme val="minor"/>
      </rPr>
      <t>Session recordings</t>
    </r>
    <r>
      <rPr>
        <sz val="11"/>
        <rFont val="Calibri"/>
        <family val="2"/>
        <scheme val="minor"/>
      </rPr>
      <t xml:space="preserve">
</t>
    </r>
    <r>
      <rPr>
        <sz val="11"/>
        <color theme="0" tint="-0.249977111117893"/>
        <rFont val="Calibri"/>
        <family val="2"/>
        <scheme val="minor"/>
      </rPr>
      <t>Het kwantificeren en analyseren van session recordings</t>
    </r>
  </si>
  <si>
    <t>Session recordings</t>
  </si>
  <si>
    <r>
      <rPr>
        <b/>
        <sz val="11"/>
        <rFont val="Calibri"/>
        <family val="2"/>
        <scheme val="minor"/>
      </rPr>
      <t>Heathmaps &amp; Scrollmaps</t>
    </r>
    <r>
      <rPr>
        <sz val="11"/>
        <rFont val="Calibri"/>
        <family val="2"/>
        <scheme val="minor"/>
      </rPr>
      <t xml:space="preserve">
</t>
    </r>
    <r>
      <rPr>
        <sz val="11"/>
        <color theme="0" tint="-0.249977111117893"/>
        <rFont val="Calibri"/>
        <family val="2"/>
        <scheme val="minor"/>
      </rPr>
      <t>Het kwantificeren en analyseren van heathmaps en scrollmaps</t>
    </r>
  </si>
  <si>
    <t>Heathmaps &amp; Scrollmaps</t>
  </si>
  <si>
    <r>
      <rPr>
        <b/>
        <sz val="11"/>
        <rFont val="Calibri"/>
        <family val="2"/>
        <scheme val="minor"/>
      </rPr>
      <t>Interviewen  (opzetten en uitvoeren van een interview)</t>
    </r>
    <r>
      <rPr>
        <sz val="11"/>
        <rFont val="Calibri"/>
        <family val="2"/>
        <scheme val="minor"/>
      </rPr>
      <t xml:space="preserve">
</t>
    </r>
    <r>
      <rPr>
        <sz val="11"/>
        <color theme="0" tint="-0.249977111117893"/>
        <rFont val="Calibri"/>
        <family val="2"/>
        <scheme val="minor"/>
      </rPr>
      <t xml:space="preserve">Vragen voorbereiden, doorvragen, empatisch luisteren, transcriberen </t>
    </r>
  </si>
  <si>
    <t>Interviewen  (opzetten en uitvoeren van een interview)</t>
  </si>
  <si>
    <r>
      <rPr>
        <b/>
        <sz val="11"/>
        <rFont val="Calibri"/>
        <family val="2"/>
        <scheme val="minor"/>
      </rPr>
      <t>Survey Design (opzetten en uitvoeren van een survey)</t>
    </r>
    <r>
      <rPr>
        <sz val="11"/>
        <rFont val="Calibri"/>
        <family val="2"/>
        <scheme val="minor"/>
      </rPr>
      <t xml:space="preserve">
</t>
    </r>
    <r>
      <rPr>
        <sz val="11"/>
        <color theme="0" tint="-0.249977111117893"/>
        <rFont val="Calibri"/>
        <family val="2"/>
        <scheme val="minor"/>
      </rPr>
      <t>Vragen uiteenzetten, formuleren en vragenschaal bepalen</t>
    </r>
  </si>
  <si>
    <t>Survey Design (opzetten en uitvoeren van een survey)</t>
  </si>
  <si>
    <r>
      <rPr>
        <b/>
        <sz val="11"/>
        <rFont val="Calibri"/>
        <family val="2"/>
        <scheme val="minor"/>
      </rPr>
      <t>SQL</t>
    </r>
    <r>
      <rPr>
        <sz val="11"/>
        <rFont val="Calibri"/>
        <family val="2"/>
        <scheme val="minor"/>
      </rPr>
      <t xml:space="preserve">
</t>
    </r>
    <r>
      <rPr>
        <sz val="11"/>
        <color theme="0" tint="-0.249977111117893"/>
        <rFont val="Calibri"/>
        <family val="2"/>
        <scheme val="minor"/>
      </rPr>
      <t>Het schrijven van queries en ophalen van data a.d.h.v. de SQL syntax</t>
    </r>
  </si>
  <si>
    <t>SQL</t>
  </si>
  <si>
    <r>
      <rPr>
        <b/>
        <sz val="11"/>
        <rFont val="Calibri"/>
        <family val="2"/>
        <scheme val="minor"/>
      </rPr>
      <t>Python</t>
    </r>
    <r>
      <rPr>
        <sz val="11"/>
        <rFont val="Calibri"/>
        <family val="2"/>
        <scheme val="minor"/>
      </rPr>
      <t xml:space="preserve">
</t>
    </r>
    <r>
      <rPr>
        <sz val="11"/>
        <color theme="0" tint="-0.249977111117893"/>
        <rFont val="Calibri"/>
        <family val="2"/>
        <scheme val="minor"/>
      </rPr>
      <t>Het analyseren van data a.d.h.v. de Python Syntax</t>
    </r>
  </si>
  <si>
    <t>Python</t>
  </si>
  <si>
    <r>
      <rPr>
        <b/>
        <sz val="11"/>
        <rFont val="Calibri"/>
        <family val="2"/>
        <scheme val="minor"/>
      </rPr>
      <t>Javascript</t>
    </r>
    <r>
      <rPr>
        <sz val="11"/>
        <rFont val="Calibri"/>
        <family val="2"/>
        <scheme val="minor"/>
      </rPr>
      <t xml:space="preserve">
</t>
    </r>
    <r>
      <rPr>
        <sz val="11"/>
        <color theme="0" tint="-0.249977111117893"/>
        <rFont val="Calibri"/>
        <family val="2"/>
        <scheme val="minor"/>
      </rPr>
      <t>Het gebruik van Javascript voor het inrichten van experimenten zoals A/B testen</t>
    </r>
  </si>
  <si>
    <t>Javascript</t>
  </si>
  <si>
    <r>
      <rPr>
        <b/>
        <sz val="11"/>
        <rFont val="Calibri"/>
        <family val="2"/>
        <scheme val="minor"/>
      </rPr>
      <t xml:space="preserve">R </t>
    </r>
    <r>
      <rPr>
        <sz val="11"/>
        <rFont val="Calibri"/>
        <family val="2"/>
        <scheme val="minor"/>
      </rPr>
      <t xml:space="preserve">
</t>
    </r>
    <r>
      <rPr>
        <sz val="11"/>
        <color theme="0" tint="-0.249977111117893"/>
        <rFont val="Calibri"/>
        <family val="2"/>
        <scheme val="minor"/>
      </rPr>
      <t>Het analyseren van data a.d.h.v. de R Syntax</t>
    </r>
  </si>
  <si>
    <t>R</t>
  </si>
  <si>
    <r>
      <rPr>
        <b/>
        <sz val="11"/>
        <rFont val="Calibri"/>
        <family val="2"/>
        <scheme val="minor"/>
      </rPr>
      <t>HTML / CSS</t>
    </r>
    <r>
      <rPr>
        <sz val="11"/>
        <rFont val="Calibri"/>
        <family val="2"/>
        <scheme val="minor"/>
      </rPr>
      <t xml:space="preserve">
</t>
    </r>
    <r>
      <rPr>
        <sz val="11"/>
        <color theme="0" tint="-0.249977111117893"/>
        <rFont val="Calibri"/>
        <family val="2"/>
        <scheme val="minor"/>
      </rPr>
      <t>Het gebruik van HTML en CSS voor het inrichten van experimenten zoals A/B testen of visualiseren van oplossingen</t>
    </r>
  </si>
  <si>
    <t>HTML / CSS</t>
  </si>
  <si>
    <t>Basis consultancy competenties</t>
  </si>
  <si>
    <t>Adviseren</t>
  </si>
  <si>
    <t>Geeft advies over vragen vanuit de directe business (stakeholders). Veelal op operationeel gebied.</t>
  </si>
  <si>
    <t>Geeft naast eerdergenoemde competenties, pro-actief advies over aanverwante analyses en inzichten. Is in staat inzichten te bezien vanuit andere perspectieven dan de eigen business (stakeholders) en betrekt deze in het proces.</t>
  </si>
  <si>
    <t>Geeft naast eerdergenoemde competenties, advies met een organisatie brede impact.</t>
  </si>
  <si>
    <t>Geeft naast eerdergenoemde competenties, advies op management- en/ of organisatieniveau.</t>
  </si>
  <si>
    <t>Doortastend &amp; probleemoplossend</t>
  </si>
  <si>
    <t>Heeft een nieuwsgierige en pragmatische mindset.</t>
  </si>
  <si>
    <t>In staat binnen je afdeling/ project kritische vragen te stellen. In staat tot een passende oplossing te komen voor de eigen business (stakeholders).</t>
  </si>
  <si>
    <t>Naast eerdergenoemde competenties in staat om tot de kern van het probleem te komen met een afdelings- en/ of opdrachtoverstijgende impact. In staat dit te adresseren en tot een oplossing te komen die breder gedragen wordt.</t>
  </si>
  <si>
    <t>Naast eerdergenoemde competenties in staat tot de kern van het probleem te komen met een organisatie brede impact.</t>
  </si>
  <si>
    <t>Naast eerdergenoemde competenties in staat tot de kern van het probleem te komen met een organisatie brede impact. In staat dit te adresseren en tot een oplossing te komen die orgaisatiebreed gedragen wordt.</t>
  </si>
  <si>
    <t>Interpersoonlijk communicatie</t>
  </si>
  <si>
    <t>Heeft een toegankelijke houding.</t>
  </si>
  <si>
    <t>Heeft een zichtbare en toegankelijke houding. Kan goed luisteren en terugkoppelen en kan zich goed in anderen verplaatsen.</t>
  </si>
  <si>
    <t>Stelt zich naast eerdergenoemde competenties assertief op en hanteert een gezonde belans tussen meebewegen met de klant en het bewaken van de eigen grenzen.</t>
  </si>
  <si>
    <t>Bevorderd, naast eerdergenoemde competenties, actief de onderlinge communicatie tussen jezelf en je opdrachtgever(s). En daarbij ook met de team(s) en afdeling(en) waarmee word samengewerkt.</t>
  </si>
  <si>
    <t>Reikt, naast eerdergenoemde competenties, actief handvatten en middelen aan om de onderlinge communicatie tussen teams en afdelingen vorm te geven en te bevorderen.</t>
  </si>
  <si>
    <t>Verwachtingsmanagement</t>
  </si>
  <si>
    <t>Toetst verwachtingen die worden gesteld aan zijn/ haar werk; manier van werken, scope, doel, tijdslijnen, inhoud, etc.</t>
  </si>
  <si>
    <t>Inventariseert naast eerdergenoemde, de achterliggende belangen. Neemt deze informatie mee bij het stellen van prioriteiten en communiceert deze pro-actief.</t>
  </si>
  <si>
    <t>Benoemt en bespreekt verwachtingen vanuit persoonlijke titel en/ of DiP belangen en neemt hierin het iniatief bij het vaststellen van samenwerking, scope, prioriteiten, doel, tijdslijnen, inhoud, etc.</t>
  </si>
  <si>
    <t>Stelt verwachtingen en stuurt er actief op aan dat belangen en verwachtingen van alle betrokkenen uitgesproken en zo ver als mogelijka afgestemt worden.</t>
  </si>
  <si>
    <t>Schriftelijke en mondelinge communicatie (presentatie, voorstel, resultaat, advies)</t>
  </si>
  <si>
    <t>Spreekt én schrijft begrijpelijk en correct Nederlands en Engels voor een zakelijke doelgroep. Is goed verstaanbaar in zowel volume als uitspraak.</t>
  </si>
  <si>
    <t>Stemt, naast eerdergenoemde competenties, de spreek- en/ of schrijfstijl af op het beoogd doel of de doelgroep. Is daarin helder en to-the-point uit, zodat de boodschap goed begrepen wordt. Toetst of de boodschap op een juiste wijze is overgekomen.</t>
  </si>
  <si>
    <t>Is naast eerdergenoemde competenties in staat complexe onderwerpen begrijpelijk te maken voor anderen en stelt daarin een samenwerkende houding aan de dag.</t>
  </si>
  <si>
    <t>Past naast eerdergenoemde competenties situationele communicatie toe. Je geeft impliciete sturing aan de uitkomst van de mondelinge transactie (presentatie, bila, gesprek, advies, etc.)</t>
  </si>
  <si>
    <t>Past naast eerdergenoemde competenties, situationeel leiderschap toe waarin impliciete sturing overgaat naar expliciete sturing. Ofwel leiderschap.</t>
  </si>
  <si>
    <t>Business competenties</t>
  </si>
  <si>
    <t>Organisatie- en managementidentificatie</t>
  </si>
  <si>
    <t>Heeft geen/ weinig kennis van de organisatiestructuur bij een klant.</t>
  </si>
  <si>
    <t>Heeft kennis van de organisatiestructuur bij een klant.</t>
  </si>
  <si>
    <t>Heeft gevoel voor verhoudingen binnen de organisatie. Onderkent belangen van stakeholders.</t>
  </si>
  <si>
    <t>Heeft gevoel voor verhoudingen binnen de organisatie. Onderkent belangen van stakeholders en overziet conquenties van aanpak en legt verbanden met andere stakeholders en/ of vraagstukken.</t>
  </si>
  <si>
    <t>Wordt als Business Analist ingezet</t>
  </si>
  <si>
    <t>Strategische conceptualisatie</t>
  </si>
  <si>
    <t>Is in staat operationele strategie en doelen te herkennen</t>
  </si>
  <si>
    <t>Is in staat operationele strategie en doelen aan elkaar te verbinden en te conceptualiseren</t>
  </si>
  <si>
    <t>Is in staat strategie en doelen van management- en operatie aan elkaar te verbinden en te conceptualiseren</t>
  </si>
  <si>
    <t>Is in staat strategie en doelen van directie-, management - en operatie aan elkaar te verbinden en te conceptualiseren</t>
  </si>
  <si>
    <t>Wordt als Strateeg ingezet</t>
  </si>
  <si>
    <t>Projectmanagement</t>
  </si>
  <si>
    <t>Heeft opdrachtgever en/ of stakeholders op de hoogte gehouden van voortgang op de eigen opdracht- of projectplanning</t>
  </si>
  <si>
    <t>Heeft opdrachtgever én stakeholders op de hoogte gehouden van voortgang op de project- of opdrachtplanning</t>
  </si>
  <si>
    <t>Heeft één of meerdere projecten gemanaged, zonder hierbij gebruik te maken van een methodische aanpak</t>
  </si>
  <si>
    <t>Heeft één of meerdere projecten gemanaged a.d.h.v. projectmanagement methodes als (Agile, Scrum, Kanban, Lean, Six Sigma, Prince2, etc.)</t>
  </si>
  <si>
    <t>Wordt als Projectmanager/ Productowner ingezet</t>
  </si>
  <si>
    <t>Verandermanagement (richting datagedreven werken)</t>
  </si>
  <si>
    <t>Heeft nog nooit een verandertraject richting datagedreven werken meegemaakt</t>
  </si>
  <si>
    <t>Heeft een actief meewerkende rol gespeeld bij één of meerdere verandertrajecten richting datagedreven werken</t>
  </si>
  <si>
    <t>Heeft één of meerdere verandertrajecten geleidt richting datagedreven werken, zonder hierbij gebruik te maken van een methodische aanpak</t>
  </si>
  <si>
    <t>Heeft één of meerdere verandertrajecten geleidt richting datagedreven werken en hierbij gebruik gemaakt van een methodische aanpak</t>
  </si>
  <si>
    <t>Wordt als Verandermanager ingezet</t>
  </si>
  <si>
    <t>Leidinggeven</t>
  </si>
  <si>
    <t>Heeft nooit (in)formeel leiding gegeven op het gebied van data</t>
  </si>
  <si>
    <t>Heeft meegewerkt aan opdrachten en/ of projecten op het gebied van data</t>
  </si>
  <si>
    <t>Herkent strategische kansen op het gebied van data en heeft hierin  actief meegewerkt als adviseur</t>
  </si>
  <si>
    <t>Toont leiderschap en heeft bij een of meerdere opdrachten als drijvende kracht achter strategische keuzes op het gebied van data geacteert</t>
  </si>
  <si>
    <t>Heeft vanuit een leidinggevende positie bij een of meerdere opdrachten als drijvende kracht achter strategische keuzes op het gebied van data geacteert</t>
  </si>
  <si>
    <t>Expert consultancy competenties</t>
  </si>
  <si>
    <t>Situationele communicatie</t>
  </si>
  <si>
    <t>Hanteert een communicatiestijl die het dichtste bij de eigen persoon past.</t>
  </si>
  <si>
    <t>Is zich bewust van de eigen communicatiestijl en het effect op gesprekspartners.</t>
  </si>
  <si>
    <t xml:space="preserve">Heeft naast eerdergenoemde, kennis van de verschillende situaties en bijbehorende communicatiestijlen en gebruikt deze kennis actief omde eigen communicatie op af te stemmen. </t>
  </si>
  <si>
    <t>Gebruikt naast eerdergenoemde de situationele communicatie, situationeel leiderschap om sturing aan te brengen..</t>
  </si>
  <si>
    <t>Gebruikt naast eerdergenoemde , situationeel leiderschap bij het leidinggeven.</t>
  </si>
  <si>
    <t>Doelgerichte &amp; effectieve communicatie</t>
  </si>
  <si>
    <t>Communiceert op gestructureerde wijze en vermijd vakjargon.</t>
  </si>
  <si>
    <t>Communiceert naast eerdergenoemde op doelgerichte wijze, zodat vooraf en/ of snel voor (alle) gesprekspartners en/ of deelnemers binnen het project duidelijk is waar het over gaat en wat daarin van hen verwacht wordt.</t>
  </si>
  <si>
    <t xml:space="preserve">Gebruikt eerdergenoemde competenties op afdelingsoverstijgend niveau. Weet daarin gesprekspartners in het beoogde doel mee te nemen d.m.v. pakkende voorbeelden, prikkelende stellingen en het schetsen van (implicatie) scenario's. </t>
  </si>
  <si>
    <t>Gebruikt eerdergenoemde competenties op organisatie niveau.</t>
  </si>
  <si>
    <t>Besluitvaardigheid</t>
  </si>
  <si>
    <t>Zelfstandig, weloverwogen beslissingen genomen en daar verantwoording voor gedragen.</t>
  </si>
  <si>
    <t>Naast eerdergenoemde, beslissingen genomen die moed en durf benodigde vanwege de moeilijke aard van de beslissing, binnen je project- of opdracht.</t>
  </si>
  <si>
    <t>Naast eerdergenoemde setting, moeilijke beslissingen moeten nemen die project- of opdrachtoverstijgende impact hebben gehad.</t>
  </si>
  <si>
    <t>Naast eerdergenoemde setting, moeilijke beslissingen moeten nemen die afdelingsoverstijgende impact hebben gehad.</t>
  </si>
  <si>
    <t>Naast eerdergenoemde setting, moeilijke beslissingen moeten nemen die organisatiebrede impact hebben gehad.</t>
  </si>
  <si>
    <t>Overtuigen &amp; beinvloeden</t>
  </si>
  <si>
    <t>Heeft vertrouwen in eigen kunde en beoordelingsvermogen bij het uiteenzetten van bevindingen en adviezen.</t>
  </si>
  <si>
    <t>Acteert naast eerdergenoemde competenties, met zelfvertrouwen bij het uiteenzetten van de (eigen) standpunten en adviezen. Luistert en zoekt aansluiting om een win-win situatie te creëeren.</t>
  </si>
  <si>
    <t>Maakt naast eerdergenoemde competenties, bij het overtuigen en beinvloeden actief gebruik van prikkelende stellingen en illustraties om stellingname te bevorderen. Is in staat communicatie- en gedragsstijlen te herkennen en de eigen communicatie- en/ of gedragsstijl daarop aan te passen.</t>
  </si>
  <si>
    <t>Maakt van eerdergenoemde competenties gebruik om effectief richting en leiding te geven in een bredere setting (team, afdeling, organisatie, etc.)</t>
  </si>
  <si>
    <t>Opbouwende (negatieve) feedback &amp; slecht nieuws gesprekken</t>
  </si>
  <si>
    <t>Heeft, indien gevraagd, opbouwende feedback gegeven.</t>
  </si>
  <si>
    <t>Heeft, naast eerdergenoemde, ongevraagd opbouwende feedback gegeven bij een gelijke machtsverhouding (peers/ consultants).</t>
  </si>
  <si>
    <t>Heeft, naast eerdergenoemde, ongevraagd opbouwende feedback gegeven in een ongelijke machtsverhouding (leidinggevende/ opdrachtgever) en deze om weten te buigen naar een toekomstbestendige situatie en/ of relatie.</t>
  </si>
  <si>
    <t>Heeft, naast eerdergenoemde, slecht nieuws gesprek gevoerd vanuit de begeleidend consultant/ leidinggevende rol, daarin stellingname moeten nemen en om moeten buigen naar een toekomstbestendige situatie.</t>
  </si>
  <si>
    <t>Heeft, naast eerdergenoemde, slecht nieuws gesprek gevoerd vanuit de begeleidend consultant/ leidinggevende rol, daarin stellingname moeten nemen en een negatieve beslissing moeten nemen.</t>
  </si>
  <si>
    <t>Digital Power Basic Skills</t>
  </si>
  <si>
    <t>Domein Skills</t>
  </si>
  <si>
    <t>Basic Consultancy Skills</t>
  </si>
  <si>
    <t>Business Skills</t>
  </si>
  <si>
    <t>Expert Consultancy Skills</t>
  </si>
  <si>
    <t>Bewust</t>
  </si>
  <si>
    <t>Bekend</t>
  </si>
  <si>
    <t>Adviseert</t>
  </si>
  <si>
    <t>Neemt mee in werkzaamheden</t>
  </si>
  <si>
    <t>Adviseert pro-actief</t>
  </si>
  <si>
    <t>Bewust van verschillende typen data en de (on)mogelijkheden</t>
  </si>
  <si>
    <t>Begrijpt data kwaliteit en herkent problemen</t>
  </si>
  <si>
    <t>Kent oplossingen om data met kwaliteitsproblemen om te gaan</t>
  </si>
  <si>
    <t>Kan doelmatig en doeltreffend data bewerken/ manipuleren</t>
  </si>
  <si>
    <t>Assumpties steekproefgrootte, verdeling, etc.</t>
  </si>
  <si>
    <t>Betrouwbaarheids intervallen</t>
  </si>
  <si>
    <t>Statistische toetsen</t>
  </si>
  <si>
    <t>Correlatie</t>
  </si>
  <si>
    <t>Regressie</t>
  </si>
  <si>
    <t>betrouwbaarheid &amp; validiteit</t>
  </si>
  <si>
    <t>Selecteren onderzoeksmethode</t>
  </si>
  <si>
    <t>Onderzoeksdesign</t>
  </si>
  <si>
    <t>Interpreteren onderzoeksresultaten</t>
  </si>
  <si>
    <t>Onderzoeksvaardigheden in business</t>
  </si>
  <si>
    <t>Metrics voor usability en UX</t>
  </si>
  <si>
    <t>Metrics voor CX</t>
  </si>
  <si>
    <t>Metrics aansluiting tussen strategie en ux/ cx metrics</t>
  </si>
  <si>
    <t>Metrics vertalen naar meetbare definities</t>
  </si>
  <si>
    <t>Metrics op het juiste organisatie niveau</t>
  </si>
  <si>
    <t>Perceptie en decisionmaking</t>
  </si>
  <si>
    <t>Kunnen inzetten van DiP optmalisatieproces</t>
  </si>
  <si>
    <t>CX Marurty modellen</t>
  </si>
  <si>
    <t>Merk, usability, UX en CX</t>
  </si>
  <si>
    <t>CX strategie</t>
  </si>
  <si>
    <t>Copywriting | UX writing | Content</t>
  </si>
  <si>
    <t>Custoner Journer Mapping &amp; Persona's</t>
  </si>
  <si>
    <t>Personalisatie en segmentatie</t>
  </si>
  <si>
    <t>Customer Journey (CXO)</t>
  </si>
  <si>
    <t>eCommerce Analytics</t>
  </si>
  <si>
    <t>Product Analytics</t>
  </si>
  <si>
    <t>Customer Service Optimalisatie</t>
  </si>
  <si>
    <t>Design</t>
  </si>
  <si>
    <t>Prototyping</t>
  </si>
  <si>
    <t>Visual design</t>
  </si>
  <si>
    <t>Verwachtings-management</t>
  </si>
  <si>
    <t>Schriftelijke en mondelinge communicatie</t>
  </si>
  <si>
    <t>Organisatie- en management-identificatie</t>
  </si>
  <si>
    <t>Verander-management</t>
  </si>
  <si>
    <t>Opbouwende feedback &amp; slecht nieuws gesprekken</t>
  </si>
  <si>
    <t>ID</t>
  </si>
  <si>
    <t>Naam</t>
  </si>
  <si>
    <t>Functie</t>
  </si>
  <si>
    <t>Specialisme</t>
  </si>
  <si>
    <t>Huidig</t>
  </si>
  <si>
    <t>Jijzelf (verplicht)</t>
  </si>
  <si>
    <t>Feedback gever 1 (optioneel)</t>
  </si>
  <si>
    <t>Feedback gever 2 (optioneel)</t>
  </si>
  <si>
    <t>Ambitie</t>
  </si>
  <si>
    <t>Competentie omschrijving</t>
  </si>
  <si>
    <t>Huig</t>
  </si>
  <si>
    <t>Ethiek en professionaliteit</t>
  </si>
  <si>
    <t>Basis data vaardigheden</t>
  </si>
  <si>
    <t>Kwantitatieve Analyse en Onderzoeksvaardigheden</t>
  </si>
  <si>
    <t>CX Theorie</t>
  </si>
  <si>
    <t>Score op huidig situatie</t>
  </si>
  <si>
    <t>Subtotaal Gem</t>
  </si>
  <si>
    <t>Totaal Gem</t>
  </si>
  <si>
    <t>Score op ambitie</t>
  </si>
  <si>
    <t>Totaal</t>
  </si>
  <si>
    <t>Categorieën</t>
  </si>
  <si>
    <t xml:space="preserve">Domain skills subcategorieën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</si>
</sst>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11"/>
      <color theme="0"/>
      <name val="Calibri"/>
      <family val="2"/>
      <scheme val="minor"/>
    </font>
    <font>
      <b/>
      <sz val="18"/>
      <color theme="0"/>
      <name val="Calibri"/>
      <family val="2"/>
      <scheme val="minor"/>
    </font>
    <font>
      <sz val="11"/>
      <color theme="0" tint="-0.249977111117893"/>
      <name val="Calibri"/>
      <family val="2"/>
      <scheme val="minor"/>
    </font>
    <font>
      <sz val="14"/>
      <color theme="1"/>
      <name val="Calibri"/>
      <family val="2"/>
      <scheme val="minor"/>
    </font>
    <font>
      <sz val="11"/>
      <color rgb="FFFFC000"/>
      <name val="Calibri"/>
      <family val="2"/>
      <scheme val="minor"/>
    </font>
    <font>
      <b/>
      <sz val="20"/>
      <name val="Calibri"/>
      <family val="2"/>
      <scheme val="minor"/>
    </font>
    <font>
      <sz val="11"/>
      <name val="Calibri"/>
      <family val="2"/>
      <scheme val="minor"/>
    </font>
    <font>
      <b/>
      <i/>
      <sz val="18"/>
      <name val="Calibri"/>
      <family val="2"/>
      <scheme val="minor"/>
    </font>
    <font>
      <sz val="11"/>
      <name val="Calibri Light"/>
      <family val="2"/>
      <scheme val="major"/>
    </font>
    <font>
      <b/>
      <sz val="18"/>
      <name val="Calibri"/>
      <family val="2"/>
      <scheme val="minor"/>
    </font>
    <font>
      <b/>
      <sz val="11"/>
      <name val="Calibri"/>
      <family val="2"/>
      <scheme val="minor"/>
    </font>
    <font>
      <b/>
      <i/>
      <sz val="18"/>
      <color theme="1"/>
      <name val="Calibri"/>
      <family val="2"/>
      <scheme val="minor"/>
    </font>
    <font>
      <b/>
      <i/>
      <sz val="11"/>
      <color theme="1"/>
      <name val="Calibri"/>
      <family val="2"/>
      <scheme val="minor"/>
    </font>
    <font>
      <i/>
      <sz val="11"/>
      <color rgb="FFA5A5A5"/>
      <name val="Calibri"/>
      <family val="2"/>
      <scheme val="minor"/>
    </font>
    <font>
      <b/>
      <sz val="11"/>
      <color rgb="FF000000"/>
      <name val="Calibri"/>
    </font>
    <font>
      <sz val="11"/>
      <color rgb="FFBFBFBF"/>
      <name val="Calibri"/>
    </font>
    <font>
      <b/>
      <sz val="11"/>
      <name val="Calibri"/>
    </font>
  </fonts>
  <fills count="1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
      <patternFill patternType="solid">
        <fgColor rgb="FFFFC000"/>
        <bgColor indexed="64"/>
      </patternFill>
    </fill>
    <fill>
      <patternFill patternType="solid">
        <fgColor rgb="FFED7D31"/>
        <bgColor indexed="64"/>
      </patternFill>
    </fill>
    <fill>
      <patternFill patternType="solid">
        <fgColor rgb="FF7030A0"/>
        <bgColor indexed="64"/>
      </patternFill>
    </fill>
    <fill>
      <patternFill patternType="solid">
        <fgColor theme="6"/>
        <bgColor indexed="64"/>
      </patternFill>
    </fill>
    <fill>
      <patternFill patternType="solid">
        <fgColor rgb="FFA5A5A5"/>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style="medium">
        <color indexed="64"/>
      </top>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right style="thin">
        <color theme="0" tint="-0.14996795556505021"/>
      </right>
      <top style="thin">
        <color indexed="64"/>
      </top>
      <bottom style="thin">
        <color indexed="64"/>
      </bottom>
      <diagonal/>
    </border>
    <border>
      <left/>
      <right/>
      <top style="thin">
        <color indexed="64"/>
      </top>
      <bottom/>
      <diagonal/>
    </border>
    <border>
      <left/>
      <right style="thin">
        <color indexed="64"/>
      </right>
      <top style="medium">
        <color indexed="64"/>
      </top>
      <bottom/>
      <diagonal/>
    </border>
    <border>
      <left/>
      <right/>
      <top style="medium">
        <color indexed="64"/>
      </top>
      <bottom/>
      <diagonal/>
    </border>
    <border>
      <left/>
      <right/>
      <top style="thin">
        <color indexed="64"/>
      </top>
      <bottom style="hair">
        <color indexed="64"/>
      </bottom>
      <diagonal/>
    </border>
    <border>
      <left/>
      <right/>
      <top style="hair">
        <color indexed="64"/>
      </top>
      <bottom style="hair">
        <color indexed="64"/>
      </bottom>
      <diagonal/>
    </border>
    <border>
      <left style="medium">
        <color indexed="64"/>
      </left>
      <right style="thin">
        <color indexed="64"/>
      </right>
      <top style="medium">
        <color indexed="64"/>
      </top>
      <bottom/>
      <diagonal/>
    </border>
    <border>
      <left style="thin">
        <color theme="1"/>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02">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1"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6" xfId="0" applyFill="1" applyBorder="1" applyAlignment="1">
      <alignment horizontal="center" textRotation="90" wrapText="1"/>
    </xf>
    <xf numFmtId="164" fontId="0" fillId="6" borderId="0" xfId="0" applyNumberFormat="1" applyFill="1"/>
    <xf numFmtId="164" fontId="0" fillId="6" borderId="0" xfId="1" applyNumberFormat="1" applyFont="1" applyFill="1" applyBorder="1" applyAlignment="1">
      <alignment horizontal="center" wrapText="1"/>
    </xf>
    <xf numFmtId="0" fontId="0" fillId="6" borderId="0" xfId="0" applyFill="1" applyAlignment="1">
      <alignment horizontal="center" wrapText="1"/>
    </xf>
    <xf numFmtId="0" fontId="0" fillId="0" borderId="0" xfId="0" applyAlignment="1">
      <alignment vertical="center" wrapText="1"/>
    </xf>
    <xf numFmtId="0" fontId="6" fillId="0" borderId="0" xfId="0" quotePrefix="1" applyFont="1" applyAlignment="1">
      <alignment horizontal="left" vertical="top" wrapText="1"/>
    </xf>
    <xf numFmtId="0" fontId="5" fillId="0" borderId="0" xfId="0" applyFont="1" applyAlignment="1">
      <alignment horizontal="center" vertical="center" wrapText="1"/>
    </xf>
    <xf numFmtId="0" fontId="0" fillId="0" borderId="0" xfId="0" applyAlignment="1">
      <alignment horizontal="center" vertical="top" wrapText="1"/>
    </xf>
    <xf numFmtId="0" fontId="5"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6" fillId="0" borderId="0" xfId="0" quotePrefix="1" applyFont="1" applyAlignment="1">
      <alignment horizontal="left" vertical="center" wrapText="1"/>
    </xf>
    <xf numFmtId="0" fontId="0" fillId="5" borderId="24" xfId="0" applyFill="1" applyBorder="1" applyAlignment="1">
      <alignment horizontal="center"/>
    </xf>
    <xf numFmtId="0" fontId="0" fillId="0" borderId="25" xfId="0" applyBorder="1" applyAlignment="1">
      <alignment horizontal="center"/>
    </xf>
    <xf numFmtId="0" fontId="5" fillId="0" borderId="0" xfId="0" applyFont="1" applyAlignment="1">
      <alignment horizontal="left" vertical="top"/>
    </xf>
    <xf numFmtId="0" fontId="0" fillId="0" borderId="0" xfId="0" applyAlignment="1">
      <alignment horizontal="left"/>
    </xf>
    <xf numFmtId="0" fontId="0" fillId="11" borderId="0" xfId="0" applyFill="1" applyAlignment="1">
      <alignment horizontal="center"/>
    </xf>
    <xf numFmtId="0" fontId="0" fillId="7" borderId="0" xfId="0" applyFill="1" applyAlignment="1">
      <alignment horizontal="center"/>
    </xf>
    <xf numFmtId="0" fontId="0" fillId="12"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6" borderId="26" xfId="0" applyFill="1" applyBorder="1" applyAlignment="1">
      <alignment horizontal="center" textRotation="90" wrapText="1"/>
    </xf>
    <xf numFmtId="0" fontId="0" fillId="6" borderId="23" xfId="0" applyFill="1" applyBorder="1" applyAlignment="1">
      <alignment horizontal="center" textRotation="90" wrapText="1"/>
    </xf>
    <xf numFmtId="0" fontId="0" fillId="6" borderId="28" xfId="0" applyFill="1" applyBorder="1" applyAlignment="1">
      <alignment horizontal="center" textRotation="90" wrapText="1"/>
    </xf>
    <xf numFmtId="164" fontId="0" fillId="6" borderId="30" xfId="0" applyNumberFormat="1" applyFill="1" applyBorder="1"/>
    <xf numFmtId="0" fontId="10" fillId="6" borderId="0" xfId="0" applyFont="1" applyFill="1" applyAlignment="1">
      <alignment horizontal="left"/>
    </xf>
    <xf numFmtId="0" fontId="10" fillId="6" borderId="0" xfId="0" applyFont="1" applyFill="1" applyAlignment="1">
      <alignment horizontal="center" wrapText="1"/>
    </xf>
    <xf numFmtId="0" fontId="0" fillId="6" borderId="34" xfId="0" applyFill="1" applyBorder="1" applyAlignment="1">
      <alignment horizontal="center" wrapText="1"/>
    </xf>
    <xf numFmtId="0" fontId="0" fillId="6" borderId="35" xfId="0" applyFill="1" applyBorder="1" applyAlignment="1">
      <alignment horizontal="center" wrapText="1"/>
    </xf>
    <xf numFmtId="0" fontId="0" fillId="6" borderId="36" xfId="0" applyFill="1" applyBorder="1" applyAlignment="1">
      <alignment horizontal="center" wrapText="1"/>
    </xf>
    <xf numFmtId="0" fontId="0" fillId="13" borderId="0" xfId="0" applyFill="1" applyAlignment="1">
      <alignment horizontal="center"/>
    </xf>
    <xf numFmtId="0" fontId="0" fillId="14" borderId="0" xfId="0" applyFill="1" applyAlignment="1">
      <alignment horizontal="center"/>
    </xf>
    <xf numFmtId="164" fontId="0" fillId="6" borderId="1" xfId="1" applyNumberFormat="1" applyFont="1" applyFill="1" applyBorder="1" applyAlignment="1">
      <alignment horizontal="center" wrapText="1"/>
    </xf>
    <xf numFmtId="164" fontId="0" fillId="6" borderId="10" xfId="1" applyNumberFormat="1" applyFont="1" applyFill="1" applyBorder="1" applyAlignment="1">
      <alignment horizontal="center" wrapText="1"/>
    </xf>
    <xf numFmtId="164" fontId="0" fillId="6" borderId="11" xfId="1" applyNumberFormat="1" applyFont="1" applyFill="1" applyBorder="1" applyAlignment="1">
      <alignment horizontal="center" wrapText="1"/>
    </xf>
    <xf numFmtId="164" fontId="0" fillId="6" borderId="37" xfId="1" applyNumberFormat="1" applyFont="1" applyFill="1" applyBorder="1" applyAlignment="1">
      <alignment horizontal="center" wrapText="1"/>
    </xf>
    <xf numFmtId="164" fontId="0" fillId="6" borderId="13" xfId="1" applyNumberFormat="1" applyFont="1" applyFill="1" applyBorder="1" applyAlignment="1">
      <alignment horizontal="center" wrapText="1"/>
    </xf>
    <xf numFmtId="164" fontId="0" fillId="6" borderId="9" xfId="1" applyNumberFormat="1" applyFont="1" applyFill="1" applyBorder="1" applyAlignment="1">
      <alignment horizontal="center" wrapText="1"/>
    </xf>
    <xf numFmtId="164" fontId="0" fillId="6" borderId="38" xfId="1" applyNumberFormat="1" applyFont="1" applyFill="1" applyBorder="1" applyAlignment="1">
      <alignment horizontal="center" wrapText="1"/>
    </xf>
    <xf numFmtId="164" fontId="0" fillId="6" borderId="39" xfId="1" applyNumberFormat="1" applyFont="1" applyFill="1" applyBorder="1" applyAlignment="1">
      <alignment horizontal="center" wrapText="1"/>
    </xf>
    <xf numFmtId="164" fontId="0" fillId="6" borderId="40" xfId="1" applyNumberFormat="1" applyFont="1" applyFill="1" applyBorder="1" applyAlignment="1">
      <alignment horizontal="center" wrapText="1"/>
    </xf>
    <xf numFmtId="164" fontId="0" fillId="6" borderId="36" xfId="1" applyNumberFormat="1" applyFont="1" applyFill="1" applyBorder="1" applyAlignment="1">
      <alignment horizontal="center" wrapText="1"/>
    </xf>
    <xf numFmtId="164" fontId="0" fillId="6" borderId="41" xfId="1" applyNumberFormat="1" applyFont="1" applyFill="1" applyBorder="1" applyAlignment="1">
      <alignment horizontal="center" wrapText="1"/>
    </xf>
    <xf numFmtId="164" fontId="0" fillId="6" borderId="6" xfId="1" applyNumberFormat="1" applyFont="1" applyFill="1" applyBorder="1" applyAlignment="1">
      <alignment horizontal="center" wrapText="1"/>
    </xf>
    <xf numFmtId="164" fontId="0" fillId="6" borderId="42" xfId="1" applyNumberFormat="1" applyFont="1" applyFill="1" applyBorder="1" applyAlignment="1">
      <alignment horizontal="center" wrapText="1"/>
    </xf>
    <xf numFmtId="164" fontId="0" fillId="6" borderId="43" xfId="1" applyNumberFormat="1" applyFont="1" applyFill="1" applyBorder="1" applyAlignment="1">
      <alignment horizontal="center" wrapText="1"/>
    </xf>
    <xf numFmtId="164" fontId="0" fillId="6" borderId="44" xfId="1" applyNumberFormat="1" applyFont="1" applyFill="1" applyBorder="1" applyAlignment="1">
      <alignment horizontal="center" wrapText="1"/>
    </xf>
    <xf numFmtId="164" fontId="0" fillId="6" borderId="45" xfId="1" applyNumberFormat="1" applyFont="1" applyFill="1" applyBorder="1" applyAlignment="1">
      <alignment horizontal="center" wrapText="1"/>
    </xf>
    <xf numFmtId="164" fontId="0" fillId="6" borderId="46" xfId="1" applyNumberFormat="1" applyFont="1" applyFill="1" applyBorder="1" applyAlignment="1">
      <alignment horizontal="center" wrapText="1"/>
    </xf>
    <xf numFmtId="164" fontId="0" fillId="6" borderId="47" xfId="0" applyNumberFormat="1" applyFill="1" applyBorder="1"/>
    <xf numFmtId="164" fontId="0" fillId="6" borderId="48" xfId="0" applyNumberFormat="1" applyFill="1" applyBorder="1"/>
    <xf numFmtId="0" fontId="0" fillId="15" borderId="0" xfId="0" applyFill="1" applyAlignment="1">
      <alignment horizontal="center"/>
    </xf>
    <xf numFmtId="0" fontId="6" fillId="0" borderId="0" xfId="0" quotePrefix="1" applyFont="1" applyAlignment="1">
      <alignment vertical="top" wrapText="1"/>
    </xf>
    <xf numFmtId="0" fontId="0" fillId="0" borderId="0" xfId="0" applyAlignment="1">
      <alignment horizontal="center" vertical="center" wrapText="1"/>
    </xf>
    <xf numFmtId="0" fontId="0" fillId="4" borderId="0" xfId="0" applyFill="1" applyAlignment="1">
      <alignment vertical="center" wrapText="1"/>
    </xf>
    <xf numFmtId="0" fontId="0" fillId="4" borderId="0" xfId="0" applyFill="1" applyAlignment="1">
      <alignment vertical="top" wrapText="1"/>
    </xf>
    <xf numFmtId="0" fontId="8" fillId="7" borderId="22" xfId="0" applyFont="1" applyFill="1" applyBorder="1" applyAlignment="1">
      <alignment horizontal="left" vertical="center" wrapText="1"/>
    </xf>
    <xf numFmtId="0" fontId="7" fillId="7" borderId="22" xfId="0" applyFont="1" applyFill="1" applyBorder="1" applyAlignment="1">
      <alignment horizontal="left" vertical="center" wrapText="1"/>
    </xf>
    <xf numFmtId="0" fontId="8" fillId="8" borderId="22" xfId="0" applyFont="1" applyFill="1" applyBorder="1" applyAlignment="1">
      <alignment horizontal="left" vertical="center" wrapText="1"/>
    </xf>
    <xf numFmtId="0" fontId="7" fillId="8" borderId="22"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vertical="top" wrapText="1"/>
    </xf>
    <xf numFmtId="0" fontId="0" fillId="13" borderId="0" xfId="0" applyFill="1" applyAlignment="1">
      <alignment vertical="center" wrapText="1"/>
    </xf>
    <xf numFmtId="0" fontId="0" fillId="13" borderId="0" xfId="0" applyFill="1" applyAlignment="1">
      <alignment vertical="top" wrapText="1"/>
    </xf>
    <xf numFmtId="0" fontId="0" fillId="9" borderId="0" xfId="0" applyFill="1" applyAlignment="1">
      <alignment vertical="center" wrapText="1"/>
    </xf>
    <xf numFmtId="0" fontId="0" fillId="9" borderId="0" xfId="0" applyFill="1" applyAlignment="1">
      <alignment vertical="top" wrapText="1"/>
    </xf>
    <xf numFmtId="0" fontId="0" fillId="15" borderId="0" xfId="0" applyFill="1" applyAlignment="1">
      <alignment vertical="center" wrapText="1"/>
    </xf>
    <xf numFmtId="0" fontId="0" fillId="15" borderId="0" xfId="0" applyFill="1" applyAlignment="1">
      <alignment vertical="top" wrapText="1"/>
    </xf>
    <xf numFmtId="0" fontId="4" fillId="0" borderId="49" xfId="0" applyFont="1" applyBorder="1" applyAlignment="1">
      <alignment horizontal="center" vertical="center" wrapText="1"/>
    </xf>
    <xf numFmtId="0" fontId="4" fillId="0" borderId="50" xfId="0" applyFont="1" applyBorder="1" applyAlignment="1">
      <alignment horizontal="center" vertical="center" wrapText="1"/>
    </xf>
    <xf numFmtId="0" fontId="0" fillId="0" borderId="49" xfId="0" applyBorder="1" applyAlignment="1">
      <alignment vertical="top" wrapText="1"/>
    </xf>
    <xf numFmtId="0" fontId="0" fillId="0" borderId="50" xfId="0" applyBorder="1" applyAlignment="1">
      <alignment vertical="top" wrapText="1"/>
    </xf>
    <xf numFmtId="0" fontId="12" fillId="0" borderId="0" xfId="0" applyFont="1" applyAlignment="1">
      <alignment horizontal="left" vertical="top"/>
    </xf>
    <xf numFmtId="0" fontId="13" fillId="0" borderId="0" xfId="0" applyFont="1" applyAlignment="1">
      <alignment horizontal="left" vertical="top" wrapText="1"/>
    </xf>
    <xf numFmtId="0" fontId="15" fillId="0" borderId="0" xfId="0" quotePrefix="1" applyFont="1" applyAlignment="1">
      <alignment horizontal="left" vertical="top" wrapText="1"/>
    </xf>
    <xf numFmtId="0" fontId="13" fillId="0" borderId="0" xfId="0" applyFont="1" applyAlignment="1">
      <alignment wrapText="1"/>
    </xf>
    <xf numFmtId="0" fontId="13" fillId="0" borderId="0" xfId="0" applyFont="1"/>
    <xf numFmtId="0" fontId="16" fillId="0" borderId="2" xfId="0" applyFont="1" applyBorder="1" applyAlignment="1">
      <alignment horizontal="lef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17" fillId="0" borderId="2" xfId="0" applyFont="1" applyBorder="1" applyAlignment="1">
      <alignment horizontal="left"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3" xfId="0" quotePrefix="1" applyBorder="1" applyAlignment="1">
      <alignment vertical="top" wrapText="1"/>
    </xf>
    <xf numFmtId="0" fontId="4" fillId="0" borderId="51" xfId="0" applyFont="1" applyBorder="1" applyAlignment="1">
      <alignment horizontal="center" vertical="center" wrapText="1"/>
    </xf>
    <xf numFmtId="0" fontId="0" fillId="0" borderId="51" xfId="0" applyBorder="1" applyAlignment="1">
      <alignment vertical="top" wrapText="1"/>
    </xf>
    <xf numFmtId="0" fontId="0" fillId="0" borderId="2" xfId="0" applyBorder="1" applyAlignment="1">
      <alignment horizontal="center" vertical="center" wrapText="1"/>
    </xf>
    <xf numFmtId="0" fontId="13" fillId="0" borderId="2" xfId="0" applyFont="1" applyBorder="1" applyAlignment="1">
      <alignment wrapText="1"/>
    </xf>
    <xf numFmtId="0" fontId="9" fillId="0" borderId="0" xfId="0" applyFont="1" applyAlignment="1">
      <alignment horizontal="left" vertical="top" wrapText="1"/>
    </xf>
    <xf numFmtId="0" fontId="0" fillId="0" borderId="26" xfId="0" applyBorder="1" applyAlignment="1">
      <alignment textRotation="90" wrapText="1"/>
    </xf>
    <xf numFmtId="0" fontId="0" fillId="0" borderId="23" xfId="0" applyBorder="1" applyAlignment="1">
      <alignment textRotation="90" wrapText="1"/>
    </xf>
    <xf numFmtId="0" fontId="0" fillId="0" borderId="27" xfId="0" applyBorder="1" applyAlignment="1">
      <alignment textRotation="90" wrapText="1"/>
    </xf>
    <xf numFmtId="0" fontId="0" fillId="0" borderId="26" xfId="0" applyBorder="1" applyAlignment="1">
      <alignment horizontal="center" textRotation="90" wrapText="1"/>
    </xf>
    <xf numFmtId="0" fontId="0" fillId="0" borderId="23" xfId="0" applyBorder="1" applyAlignment="1">
      <alignment horizontal="center" textRotation="90" wrapText="1"/>
    </xf>
    <xf numFmtId="0" fontId="0" fillId="0" borderId="27" xfId="0" applyBorder="1" applyAlignment="1">
      <alignment horizontal="center" textRotation="90" wrapText="1"/>
    </xf>
    <xf numFmtId="0" fontId="0" fillId="0" borderId="28" xfId="0" applyBorder="1" applyAlignment="1">
      <alignment horizontal="center" textRotation="90" wrapText="1"/>
    </xf>
    <xf numFmtId="0" fontId="0" fillId="0" borderId="29" xfId="0" applyBorder="1" applyAlignment="1">
      <alignment horizontal="center" textRotation="90" wrapText="1"/>
    </xf>
    <xf numFmtId="0" fontId="0" fillId="0" borderId="53" xfId="0" applyBorder="1" applyAlignment="1">
      <alignment horizontal="center" textRotation="90" wrapText="1"/>
    </xf>
    <xf numFmtId="0" fontId="0" fillId="0" borderId="54" xfId="0" applyBorder="1" applyAlignment="1">
      <alignment horizontal="center" textRotation="90" wrapText="1"/>
    </xf>
    <xf numFmtId="0" fontId="0" fillId="0" borderId="3" xfId="0" applyBorder="1" applyAlignment="1">
      <alignment horizontal="center" textRotation="90" wrapText="1"/>
    </xf>
    <xf numFmtId="0" fontId="0" fillId="0" borderId="3" xfId="0" applyBorder="1" applyAlignment="1">
      <alignment horizontal="center"/>
    </xf>
    <xf numFmtId="0" fontId="0" fillId="5" borderId="55" xfId="0" applyFill="1" applyBorder="1" applyAlignment="1">
      <alignment horizontal="center"/>
    </xf>
    <xf numFmtId="0" fontId="0" fillId="0" borderId="56" xfId="0" applyBorder="1" applyAlignment="1">
      <alignment horizontal="center"/>
    </xf>
    <xf numFmtId="0" fontId="0" fillId="0" borderId="57" xfId="0" applyBorder="1" applyAlignment="1">
      <alignment horizontal="center" textRotation="90" wrapText="1"/>
    </xf>
    <xf numFmtId="0" fontId="18" fillId="2" borderId="1" xfId="0" applyFont="1" applyFill="1" applyBorder="1" applyAlignment="1">
      <alignment vertical="center" wrapText="1"/>
    </xf>
    <xf numFmtId="0" fontId="19" fillId="2" borderId="1" xfId="0" applyFont="1" applyFill="1" applyBorder="1" applyAlignment="1">
      <alignment vertical="center" wrapText="1"/>
    </xf>
    <xf numFmtId="0" fontId="20" fillId="0" borderId="1" xfId="0" applyFont="1" applyBorder="1" applyAlignment="1">
      <alignment vertical="top" wrapText="1"/>
    </xf>
    <xf numFmtId="0" fontId="5" fillId="2"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58" xfId="0" applyFont="1" applyBorder="1" applyAlignment="1">
      <alignment horizontal="center" vertical="center" wrapText="1"/>
    </xf>
    <xf numFmtId="0" fontId="0" fillId="0" borderId="58" xfId="0" applyBorder="1" applyAlignment="1">
      <alignment horizontal="center" vertical="center" wrapText="1"/>
    </xf>
    <xf numFmtId="0" fontId="23" fillId="0" borderId="2" xfId="0" applyFont="1" applyBorder="1" applyAlignment="1">
      <alignment horizontal="left" vertical="center" wrapText="1"/>
    </xf>
    <xf numFmtId="0" fontId="0" fillId="0" borderId="32" xfId="0" applyBorder="1" applyAlignment="1">
      <alignment horizontal="left" vertical="center" wrapText="1"/>
    </xf>
    <xf numFmtId="0" fontId="0" fillId="0" borderId="52" xfId="0" applyBorder="1" applyAlignment="1">
      <alignment horizontal="left" vertical="center" wrapText="1"/>
    </xf>
    <xf numFmtId="0" fontId="0" fillId="0" borderId="31" xfId="0" applyBorder="1" applyAlignment="1">
      <alignment horizontal="left" vertical="center" wrapText="1"/>
    </xf>
    <xf numFmtId="0" fontId="0" fillId="0" borderId="44" xfId="0" applyBorder="1" applyAlignment="1">
      <alignment horizontal="left" vertical="center" wrapText="1"/>
    </xf>
    <xf numFmtId="0" fontId="0" fillId="0" borderId="0" xfId="0" applyAlignment="1">
      <alignment horizontal="left" vertical="center" wrapText="1"/>
    </xf>
    <xf numFmtId="0" fontId="0" fillId="0" borderId="43" xfId="0" applyBorder="1" applyAlignment="1">
      <alignment horizontal="left" vertical="center" wrapText="1"/>
    </xf>
    <xf numFmtId="0" fontId="0" fillId="0" borderId="27" xfId="0" applyBorder="1" applyAlignment="1">
      <alignment horizontal="left" vertical="center" wrapText="1"/>
    </xf>
    <xf numFmtId="0" fontId="0" fillId="0" borderId="33" xfId="0" applyBorder="1" applyAlignment="1">
      <alignment horizontal="left" vertical="center" wrapText="1"/>
    </xf>
    <xf numFmtId="0" fontId="0" fillId="0" borderId="29" xfId="0" applyBorder="1" applyAlignment="1">
      <alignment horizontal="left" vertical="center" wrapText="1"/>
    </xf>
    <xf numFmtId="0" fontId="6" fillId="0" borderId="32" xfId="0" quotePrefix="1" applyFont="1" applyBorder="1" applyAlignment="1">
      <alignment horizontal="left" vertical="top" wrapText="1"/>
    </xf>
    <xf numFmtId="0" fontId="6" fillId="0" borderId="52" xfId="0" quotePrefix="1" applyFont="1" applyBorder="1" applyAlignment="1">
      <alignment horizontal="left" vertical="top" wrapText="1"/>
    </xf>
    <xf numFmtId="0" fontId="6" fillId="0" borderId="31" xfId="0" quotePrefix="1" applyFont="1" applyBorder="1" applyAlignment="1">
      <alignment horizontal="left" vertical="top" wrapText="1"/>
    </xf>
    <xf numFmtId="0" fontId="6" fillId="0" borderId="44" xfId="0" quotePrefix="1" applyFont="1" applyBorder="1" applyAlignment="1">
      <alignment horizontal="left" vertical="top" wrapText="1"/>
    </xf>
    <xf numFmtId="0" fontId="6" fillId="0" borderId="0" xfId="0" quotePrefix="1" applyFont="1" applyAlignment="1">
      <alignment horizontal="left" vertical="top" wrapText="1"/>
    </xf>
    <xf numFmtId="0" fontId="6" fillId="0" borderId="43" xfId="0" quotePrefix="1" applyFont="1" applyBorder="1" applyAlignment="1">
      <alignment horizontal="left" vertical="top" wrapText="1"/>
    </xf>
    <xf numFmtId="0" fontId="6" fillId="0" borderId="27" xfId="0" quotePrefix="1" applyFont="1" applyBorder="1" applyAlignment="1">
      <alignment horizontal="left" vertical="top" wrapText="1"/>
    </xf>
    <xf numFmtId="0" fontId="6" fillId="0" borderId="33" xfId="0" quotePrefix="1" applyFont="1" applyBorder="1" applyAlignment="1">
      <alignment horizontal="left" vertical="top" wrapText="1"/>
    </xf>
    <xf numFmtId="0" fontId="6" fillId="0" borderId="29" xfId="0" quotePrefix="1" applyFont="1" applyBorder="1" applyAlignment="1">
      <alignment horizontal="left" vertical="top"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3" fillId="0" borderId="32" xfId="0" applyFont="1" applyBorder="1" applyAlignment="1">
      <alignment horizontal="left" vertical="center" wrapText="1"/>
    </xf>
    <xf numFmtId="0" fontId="13" fillId="0" borderId="52" xfId="0" applyFont="1" applyBorder="1" applyAlignment="1">
      <alignment horizontal="left" vertical="center"/>
    </xf>
    <xf numFmtId="0" fontId="13" fillId="0" borderId="31" xfId="0" applyFont="1" applyBorder="1" applyAlignment="1">
      <alignment horizontal="left" vertical="center"/>
    </xf>
    <xf numFmtId="0" fontId="13" fillId="0" borderId="44" xfId="0" applyFont="1" applyBorder="1" applyAlignment="1">
      <alignment horizontal="left" vertical="center"/>
    </xf>
    <xf numFmtId="0" fontId="13" fillId="0" borderId="0" xfId="0" applyFont="1" applyAlignment="1">
      <alignment horizontal="left" vertical="center"/>
    </xf>
    <xf numFmtId="0" fontId="13" fillId="0" borderId="43" xfId="0" applyFont="1" applyBorder="1" applyAlignment="1">
      <alignment horizontal="left" vertical="center"/>
    </xf>
    <xf numFmtId="0" fontId="13" fillId="0" borderId="27" xfId="0" applyFont="1" applyBorder="1" applyAlignment="1">
      <alignment horizontal="left" vertical="center"/>
    </xf>
    <xf numFmtId="0" fontId="13" fillId="0" borderId="33" xfId="0" applyFont="1" applyBorder="1" applyAlignment="1">
      <alignment horizontal="left" vertical="center"/>
    </xf>
    <xf numFmtId="0" fontId="13" fillId="0" borderId="29" xfId="0" applyFont="1" applyBorder="1" applyAlignment="1">
      <alignment horizontal="left" vertical="center"/>
    </xf>
  </cellXfs>
  <cellStyles count="2">
    <cellStyle name="Normal" xfId="0" builtinId="0"/>
    <cellStyle name="Per cent" xfId="1" builtinId="5"/>
  </cellStyles>
  <dxfs count="0"/>
  <tableStyles count="0" defaultTableStyle="TableStyleMedium2" defaultPivotStyle="PivotStyleLight16"/>
  <colors>
    <mruColors>
      <color rgb="FFA5A5A5"/>
      <color rgb="FF00B0F0"/>
      <color rgb="FF7030A0"/>
      <color rgb="FFFFC000"/>
      <color rgb="FFC0E399"/>
      <color rgb="FF43661C"/>
      <color rgb="FF5A8A26"/>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categoriëen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BEWERKEN!!)'!$E$2,'Uitwerking (NIET BEWERKEN!!)'!$K$2,'Uitwerking (NIET BEWERKEN!!)'!$AY$2,'Uitwerking (NIET BEWERKEN!!)'!$BN$2,'Uitwerking (NIET BEWERKEN!!)'!$BS$2,'Uitwerking (NIET BEWERKEN!!)'!$BX$2)</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BEWERKEN!!)'!$J$9,'Uitwerking (NIET BEWERKEN!!)'!$AX$9,'Uitwerking (NIET BEWERKEN!!)'!$BM$9,'Uitwerking (NIET BEWERKEN!!)'!$BR$9,'Uitwerking (NIET BEWERKEN!!)'!$BW$9,'Uitwerking (NIET BEWERKEN!!)'!$CB$9)</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('Uitwerking (NIET BEWERKEN!!)'!$E$2,'Uitwerking (NIET BEWERKEN!!)'!$K$2,'Uitwerking (NIET BEWERKEN!!)'!$AY$2,'Uitwerking (NIET BEWERKEN!!)'!$BN$2,'Uitwerking (NIET BEWERKEN!!)'!$BS$2,'Uitwerking (NIET BEWERKEN!!)'!$BX$2)</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BEWERKEN!!)'!$J$13,'Uitwerking (NIET BEWERKEN!!)'!$AX$13,'Uitwerking (NIET BEWERKEN!!)'!$BM$13,'Uitwerking (NIET BEWERKEN!!)'!$BR$13,'Uitwerking (NIET BEWERKEN!!)'!$BW$13,'Uitwerking (NIET BEWERKEN!!)'!$CB$13)</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BEWERKEN!!)'!$E$4:$J$4</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BEWERKEN!!)'!$E$7:$J$7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Ambitie</c:v>
          </c:tx>
          <c:spPr>
            <a:ln w="28575" cap="rnd">
              <a:solidFill>
                <a:schemeClr val="accent5"/>
              </a:solidFill>
              <a:round/>
            </a:ln>
            <a:effectLst/>
          </c:spPr>
          <c:marker>
            <c:symbol val="none"/>
          </c:marker>
          <c:cat>
            <c:strRef>
              <c:f>'Uitwerking (NIET BEWERKEN!!)'!$E$4:$J$4</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BEWERKEN!!)'!$E$11:$J$11</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BEWERKEN!!)'!$K$4:$AX$4</c:f>
              <c:strCache>
                <c:ptCount val="40"/>
                <c:pt idx="0">
                  <c:v>Bewust</c:v>
                </c:pt>
                <c:pt idx="1">
                  <c:v>Bekend</c:v>
                </c:pt>
                <c:pt idx="2">
                  <c:v>Adviseert</c:v>
                </c:pt>
                <c:pt idx="3">
                  <c:v>Neemt mee in werkzaamheden</c:v>
                </c:pt>
                <c:pt idx="4">
                  <c:v>Adviseert pro-actief</c:v>
                </c:pt>
                <c:pt idx="5">
                  <c:v>Bewust van verschillende typen data en de (on)mogelijkheden</c:v>
                </c:pt>
                <c:pt idx="6">
                  <c:v>Begrijpt data kwaliteit en herkent problemen</c:v>
                </c:pt>
                <c:pt idx="7">
                  <c:v>Kent oplossingen om data met kwaliteitsproblemen om te gaan</c:v>
                </c:pt>
                <c:pt idx="8">
                  <c:v>Kan doelmatig en doeltreffend data bewerken/ manipuleren</c:v>
                </c:pt>
                <c:pt idx="9">
                  <c:v>Assumpties steekproefgrootte, verdeling, etc.</c:v>
                </c:pt>
                <c:pt idx="10">
                  <c:v>Betrouwbaarheids intervallen</c:v>
                </c:pt>
                <c:pt idx="11">
                  <c:v>Statistische toetsen</c:v>
                </c:pt>
                <c:pt idx="12">
                  <c:v>Correlatie</c:v>
                </c:pt>
                <c:pt idx="13">
                  <c:v>Regressie</c:v>
                </c:pt>
                <c:pt idx="14">
                  <c:v>betrouwbaarheid &amp; validiteit</c:v>
                </c:pt>
                <c:pt idx="15">
                  <c:v>Selecteren onderzoeksmethode</c:v>
                </c:pt>
                <c:pt idx="16">
                  <c:v>Onderzoeksdesign</c:v>
                </c:pt>
                <c:pt idx="17">
                  <c:v>Interpreteren onderzoeksresultaten</c:v>
                </c:pt>
                <c:pt idx="18">
                  <c:v>Onderzoeksvaardigheden in business</c:v>
                </c:pt>
                <c:pt idx="19">
                  <c:v>Metrics voor usability en UX</c:v>
                </c:pt>
                <c:pt idx="20">
                  <c:v>Metrics voor CX</c:v>
                </c:pt>
                <c:pt idx="21">
                  <c:v>Metrics aansluiting tussen strategie en ux/ cx metrics</c:v>
                </c:pt>
                <c:pt idx="22">
                  <c:v>Metrics vertalen naar meetbare definities</c:v>
                </c:pt>
                <c:pt idx="23">
                  <c:v>Metrics op het juiste organisatie niveau</c:v>
                </c:pt>
                <c:pt idx="24">
                  <c:v>Perceptie en decisionmaking</c:v>
                </c:pt>
                <c:pt idx="25">
                  <c:v>Kunnen inzetten van DiP optmalisatieproces</c:v>
                </c:pt>
                <c:pt idx="26">
                  <c:v>CX Marurty modellen</c:v>
                </c:pt>
                <c:pt idx="27">
                  <c:v>Merk, usability, UX en CX</c:v>
                </c:pt>
                <c:pt idx="28">
                  <c:v>CX strategie</c:v>
                </c:pt>
                <c:pt idx="29">
                  <c:v>Copywriting | UX writing | Content</c:v>
                </c:pt>
                <c:pt idx="30">
                  <c:v>Custoner Journer Mapping &amp; Persona's</c:v>
                </c:pt>
                <c:pt idx="31">
                  <c:v>Personalisatie en segmentatie</c:v>
                </c:pt>
                <c:pt idx="32">
                  <c:v>Customer Journey (CXO)</c:v>
                </c:pt>
                <c:pt idx="33">
                  <c:v>Marketing Analytics</c:v>
                </c:pt>
                <c:pt idx="34">
                  <c:v>eCommerce Analytics</c:v>
                </c:pt>
                <c:pt idx="35">
                  <c:v>Product Analytics</c:v>
                </c:pt>
                <c:pt idx="36">
                  <c:v>Customer Service Optimalisatie</c:v>
                </c:pt>
                <c:pt idx="37">
                  <c:v>Design</c:v>
                </c:pt>
                <c:pt idx="38">
                  <c:v>Prototyping</c:v>
                </c:pt>
                <c:pt idx="39">
                  <c:v>Visual design</c:v>
                </c:pt>
              </c:strCache>
            </c:strRef>
          </c:cat>
          <c:val>
            <c:numRef>
              <c:f>'Uitwerking (NIET BEWERKEN!!)'!$K$7:$AX$7</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'Uitwerking (NIET BEWERKEN!!)'!$K$4:$AX$4</c:f>
              <c:strCache>
                <c:ptCount val="40"/>
                <c:pt idx="0">
                  <c:v>Bewust</c:v>
                </c:pt>
                <c:pt idx="1">
                  <c:v>Bekend</c:v>
                </c:pt>
                <c:pt idx="2">
                  <c:v>Adviseert</c:v>
                </c:pt>
                <c:pt idx="3">
                  <c:v>Neemt mee in werkzaamheden</c:v>
                </c:pt>
                <c:pt idx="4">
                  <c:v>Adviseert pro-actief</c:v>
                </c:pt>
                <c:pt idx="5">
                  <c:v>Bewust van verschillende typen data en de (on)mogelijkheden</c:v>
                </c:pt>
                <c:pt idx="6">
                  <c:v>Begrijpt data kwaliteit en herkent problemen</c:v>
                </c:pt>
                <c:pt idx="7">
                  <c:v>Kent oplossingen om data met kwaliteitsproblemen om te gaan</c:v>
                </c:pt>
                <c:pt idx="8">
                  <c:v>Kan doelmatig en doeltreffend data bewerken/ manipuleren</c:v>
                </c:pt>
                <c:pt idx="9">
                  <c:v>Assumpties steekproefgrootte, verdeling, etc.</c:v>
                </c:pt>
                <c:pt idx="10">
                  <c:v>Betrouwbaarheids intervallen</c:v>
                </c:pt>
                <c:pt idx="11">
                  <c:v>Statistische toetsen</c:v>
                </c:pt>
                <c:pt idx="12">
                  <c:v>Correlatie</c:v>
                </c:pt>
                <c:pt idx="13">
                  <c:v>Regressie</c:v>
                </c:pt>
                <c:pt idx="14">
                  <c:v>betrouwbaarheid &amp; validiteit</c:v>
                </c:pt>
                <c:pt idx="15">
                  <c:v>Selecteren onderzoeksmethode</c:v>
                </c:pt>
                <c:pt idx="16">
                  <c:v>Onderzoeksdesign</c:v>
                </c:pt>
                <c:pt idx="17">
                  <c:v>Interpreteren onderzoeksresultaten</c:v>
                </c:pt>
                <c:pt idx="18">
                  <c:v>Onderzoeksvaardigheden in business</c:v>
                </c:pt>
                <c:pt idx="19">
                  <c:v>Metrics voor usability en UX</c:v>
                </c:pt>
                <c:pt idx="20">
                  <c:v>Metrics voor CX</c:v>
                </c:pt>
                <c:pt idx="21">
                  <c:v>Metrics aansluiting tussen strategie en ux/ cx metrics</c:v>
                </c:pt>
                <c:pt idx="22">
                  <c:v>Metrics vertalen naar meetbare definities</c:v>
                </c:pt>
                <c:pt idx="23">
                  <c:v>Metrics op het juiste organisatie niveau</c:v>
                </c:pt>
                <c:pt idx="24">
                  <c:v>Perceptie en decisionmaking</c:v>
                </c:pt>
                <c:pt idx="25">
                  <c:v>Kunnen inzetten van DiP optmalisatieproces</c:v>
                </c:pt>
                <c:pt idx="26">
                  <c:v>CX Marurty modellen</c:v>
                </c:pt>
                <c:pt idx="27">
                  <c:v>Merk, usability, UX en CX</c:v>
                </c:pt>
                <c:pt idx="28">
                  <c:v>CX strategie</c:v>
                </c:pt>
                <c:pt idx="29">
                  <c:v>Copywriting | UX writing | Content</c:v>
                </c:pt>
                <c:pt idx="30">
                  <c:v>Custoner Journer Mapping &amp; Persona's</c:v>
                </c:pt>
                <c:pt idx="31">
                  <c:v>Personalisatie en segmentatie</c:v>
                </c:pt>
                <c:pt idx="32">
                  <c:v>Customer Journey (CXO)</c:v>
                </c:pt>
                <c:pt idx="33">
                  <c:v>Marketing Analytics</c:v>
                </c:pt>
                <c:pt idx="34">
                  <c:v>eCommerce Analytics</c:v>
                </c:pt>
                <c:pt idx="35">
                  <c:v>Product Analytics</c:v>
                </c:pt>
                <c:pt idx="36">
                  <c:v>Customer Service Optimalisatie</c:v>
                </c:pt>
                <c:pt idx="37">
                  <c:v>Design</c:v>
                </c:pt>
                <c:pt idx="38">
                  <c:v>Prototyping</c:v>
                </c:pt>
                <c:pt idx="39">
                  <c:v>Visual design</c:v>
                </c:pt>
              </c:strCache>
            </c:strRef>
          </c:cat>
          <c:val>
            <c:numRef>
              <c:f>'Uitwerking (NIET BEWERKEN!!)'!$K$11:$AX$11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(Ethiek en professionaliteit)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BEWERKEN!!)'!$K$4:$O$4</c:f>
              <c:strCache>
                <c:ptCount val="5"/>
                <c:pt idx="0">
                  <c:v>Bewust</c:v>
                </c:pt>
                <c:pt idx="1">
                  <c:v>Bekend</c:v>
                </c:pt>
                <c:pt idx="2">
                  <c:v>Adviseert</c:v>
                </c:pt>
                <c:pt idx="3">
                  <c:v>Neemt mee in werkzaamheden</c:v>
                </c:pt>
                <c:pt idx="4">
                  <c:v>Adviseert pro-actief</c:v>
                </c:pt>
              </c:strCache>
            </c:strRef>
          </c:cat>
          <c:val>
            <c:numRef>
              <c:f>'Uitwerking (NIET BEWERKEN!!)'!$K$7:$O$7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Ambitie</c:v>
          </c:tx>
          <c:spPr>
            <a:ln w="28575" cap="rnd">
              <a:solidFill>
                <a:schemeClr val="accent5"/>
              </a:solidFill>
              <a:round/>
            </a:ln>
            <a:effectLst/>
          </c:spPr>
          <c:marker>
            <c:symbol val="none"/>
          </c:marker>
          <c:cat>
            <c:strRef>
              <c:f>'Uitwerking (NIET BEWERKEN!!)'!$K$4:$O$4</c:f>
              <c:strCache>
                <c:ptCount val="5"/>
                <c:pt idx="0">
                  <c:v>Bewust</c:v>
                </c:pt>
                <c:pt idx="1">
                  <c:v>Bekend</c:v>
                </c:pt>
                <c:pt idx="2">
                  <c:v>Adviseert</c:v>
                </c:pt>
                <c:pt idx="3">
                  <c:v>Neemt mee in werkzaamheden</c:v>
                </c:pt>
                <c:pt idx="4">
                  <c:v>Adviseert pro-actief</c:v>
                </c:pt>
              </c:strCache>
            </c:strRef>
          </c:cat>
          <c:val>
            <c:numRef>
              <c:f>'Uitwerking (NIET BEWERKEN!!)'!$K$11:$O$11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BEWERKEN!!)'!$BN$4:$BR$4</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BEWERKEN!!)'!$BN$7:$BR$7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Ambitie</c:v>
          </c:tx>
          <c:spPr>
            <a:ln w="28575" cap="rnd">
              <a:solidFill>
                <a:schemeClr val="accent5"/>
              </a:solidFill>
              <a:round/>
            </a:ln>
            <a:effectLst/>
          </c:spPr>
          <c:marker>
            <c:symbol val="none"/>
          </c:marker>
          <c:cat>
            <c:strRef>
              <c:f>'Uitwerking (NIET BEWERKEN!!)'!$BN$4:$BR$4</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BEWERKEN!!)'!$BN$11:$BR$11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'Uitwerking (NIET BEWERKEN!!)'!$D$11</c:f>
              <c:strCache>
                <c:ptCount val="1"/>
                <c:pt idx="0">
                  <c:v>Score op ambitie</c:v>
                </c:pt>
              </c:strCache>
            </c:strRef>
          </c:tx>
          <c:spPr>
            <a:solidFill>
              <a:schemeClr val="accent2"/>
            </a:solidFill>
            <a:ln>
              <a:noFill/>
            </a:ln>
            <a:effectLst/>
          </c:spPr>
          <c:cat>
            <c:strRef>
              <c:f>'Uitwerking (NIET BEWERKEN!!)'!$E$4:$CB$4</c:f>
              <c:strCache>
                <c:ptCount val="76"/>
                <c:pt idx="0">
                  <c:v>Leren &amp; reflecteren</c:v>
                </c:pt>
                <c:pt idx="1">
                  <c:v>Ondersteunen &amp; samenwerken</c:v>
                </c:pt>
                <c:pt idx="2">
                  <c:v>Ondernemen &amp; resultaatgericht</c:v>
                </c:pt>
                <c:pt idx="3">
                  <c:v>Klantgericht</c:v>
                </c:pt>
                <c:pt idx="4">
                  <c:v>Kennisdeling</c:v>
                </c:pt>
                <c:pt idx="5">
                  <c:v>Coaching &amp; begeleiding</c:v>
                </c:pt>
                <c:pt idx="6">
                  <c:v>Bewust</c:v>
                </c:pt>
                <c:pt idx="7">
                  <c:v>Bekend</c:v>
                </c:pt>
                <c:pt idx="8">
                  <c:v>Adviseert</c:v>
                </c:pt>
                <c:pt idx="9">
                  <c:v>Neemt mee in werkzaamheden</c:v>
                </c:pt>
                <c:pt idx="10">
                  <c:v>Adviseert pro-actief</c:v>
                </c:pt>
                <c:pt idx="11">
                  <c:v>Bewust van verschillende typen data en de (on)mogelijkheden</c:v>
                </c:pt>
                <c:pt idx="12">
                  <c:v>Begrijpt data kwaliteit en herkent problemen</c:v>
                </c:pt>
                <c:pt idx="13">
                  <c:v>Kent oplossingen om data met kwaliteitsproblemen om te gaan</c:v>
                </c:pt>
                <c:pt idx="14">
                  <c:v>Kan doelmatig en doeltreffend data bewerken/ manipuleren</c:v>
                </c:pt>
                <c:pt idx="15">
                  <c:v>Assumpties steekproefgrootte, verdeling, etc.</c:v>
                </c:pt>
                <c:pt idx="16">
                  <c:v>Betrouwbaarheids intervallen</c:v>
                </c:pt>
                <c:pt idx="17">
                  <c:v>Statistische toetsen</c:v>
                </c:pt>
                <c:pt idx="18">
                  <c:v>Correlatie</c:v>
                </c:pt>
                <c:pt idx="19">
                  <c:v>Regressie</c:v>
                </c:pt>
                <c:pt idx="20">
                  <c:v>betrouwbaarheid &amp; validiteit</c:v>
                </c:pt>
                <c:pt idx="21">
                  <c:v>Selecteren onderzoeksmethode</c:v>
                </c:pt>
                <c:pt idx="22">
                  <c:v>Onderzoeksdesign</c:v>
                </c:pt>
                <c:pt idx="23">
                  <c:v>Interpreteren onderzoeksresultaten</c:v>
                </c:pt>
                <c:pt idx="24">
                  <c:v>Onderzoeksvaardigheden in business</c:v>
                </c:pt>
                <c:pt idx="25">
                  <c:v>Metrics voor usability en UX</c:v>
                </c:pt>
                <c:pt idx="26">
                  <c:v>Metrics voor CX</c:v>
                </c:pt>
                <c:pt idx="27">
                  <c:v>Metrics aansluiting tussen strategie en ux/ cx metrics</c:v>
                </c:pt>
                <c:pt idx="28">
                  <c:v>Metrics vertalen naar meetbare definities</c:v>
                </c:pt>
                <c:pt idx="29">
                  <c:v>Metrics op het juiste organisatie niveau</c:v>
                </c:pt>
                <c:pt idx="30">
                  <c:v>Perceptie en decisionmaking</c:v>
                </c:pt>
                <c:pt idx="31">
                  <c:v>Kunnen inzetten van DiP optmalisatieproces</c:v>
                </c:pt>
                <c:pt idx="32">
                  <c:v>CX Marurty modellen</c:v>
                </c:pt>
                <c:pt idx="33">
                  <c:v>Merk, usability, UX en CX</c:v>
                </c:pt>
                <c:pt idx="34">
                  <c:v>CX strategie</c:v>
                </c:pt>
                <c:pt idx="35">
                  <c:v>Copywriting | UX writing | Content</c:v>
                </c:pt>
                <c:pt idx="36">
                  <c:v>Custoner Journer Mapping &amp; Persona's</c:v>
                </c:pt>
                <c:pt idx="37">
                  <c:v>Personalisatie en segmentatie</c:v>
                </c:pt>
                <c:pt idx="38">
                  <c:v>Customer Journey (CXO)</c:v>
                </c:pt>
                <c:pt idx="39">
                  <c:v>Marketing Analytics</c:v>
                </c:pt>
                <c:pt idx="40">
                  <c:v>eCommerce Analytics</c:v>
                </c:pt>
                <c:pt idx="41">
                  <c:v>Product Analytics</c:v>
                </c:pt>
                <c:pt idx="42">
                  <c:v>Customer Service Optimalisatie</c:v>
                </c:pt>
                <c:pt idx="43">
                  <c:v>Design</c:v>
                </c:pt>
                <c:pt idx="44">
                  <c:v>Prototyping</c:v>
                </c:pt>
                <c:pt idx="45">
                  <c:v>Visual design</c:v>
                </c:pt>
                <c:pt idx="46">
                  <c:v>Customer Journey Mapping </c:v>
                </c:pt>
                <c:pt idx="47">
                  <c:v>Usability Testen - Formative</c:v>
                </c:pt>
                <c:pt idx="48">
                  <c:v>Usability Testen - Summative</c:v>
                </c:pt>
                <c:pt idx="49">
                  <c:v>AB Testen</c:v>
                </c:pt>
                <c:pt idx="50">
                  <c:v>Behavioral Analytics (Web en app analytics tooling)</c:v>
                </c:pt>
                <c:pt idx="51">
                  <c:v>Marketing Analytics</c:v>
                </c:pt>
                <c:pt idx="52">
                  <c:v>Session recordings</c:v>
                </c:pt>
                <c:pt idx="53">
                  <c:v>Heathmaps &amp; Scrollmaps</c:v>
                </c:pt>
                <c:pt idx="54">
                  <c:v>Interviewen  (opzetten en uitvoeren van een interview)</c:v>
                </c:pt>
                <c:pt idx="55">
                  <c:v>Survey Design (opzetten en uitvoeren van een survey)</c:v>
                </c:pt>
                <c:pt idx="56">
                  <c:v>SQL</c:v>
                </c:pt>
                <c:pt idx="57">
                  <c:v>Python</c:v>
                </c:pt>
                <c:pt idx="58">
                  <c:v>Javascript</c:v>
                </c:pt>
                <c:pt idx="59">
                  <c:v>R</c:v>
                </c:pt>
                <c:pt idx="60">
                  <c:v>HTML / CSS</c:v>
                </c:pt>
                <c:pt idx="61">
                  <c:v>Adviseren</c:v>
                </c:pt>
                <c:pt idx="62">
                  <c:v>Doortastend &amp; probleemoplossend</c:v>
                </c:pt>
                <c:pt idx="63">
                  <c:v>Interpersoonlijk communicatie</c:v>
                </c:pt>
                <c:pt idx="64">
                  <c:v>Verwachtings-management</c:v>
                </c:pt>
                <c:pt idx="65">
                  <c:v>Schriftelijke en mondelinge communicatie</c:v>
                </c:pt>
                <c:pt idx="66">
                  <c:v>Organisatie- en management-identificatie</c:v>
                </c:pt>
                <c:pt idx="67">
                  <c:v>Strategische conceptualisatie</c:v>
                </c:pt>
                <c:pt idx="68">
                  <c:v>Projectmanagement</c:v>
                </c:pt>
                <c:pt idx="69">
                  <c:v>Verander-management</c:v>
                </c:pt>
                <c:pt idx="70">
                  <c:v>Leidinggeven</c:v>
                </c:pt>
                <c:pt idx="71">
                  <c:v>Situationele communicatie</c:v>
                </c:pt>
                <c:pt idx="72">
                  <c:v>Doelgerichte &amp; effectieve communicatie</c:v>
                </c:pt>
                <c:pt idx="73">
                  <c:v>Besluitvaardigheid</c:v>
                </c:pt>
                <c:pt idx="74">
                  <c:v>Overtuigen &amp; beinvloeden</c:v>
                </c:pt>
                <c:pt idx="75">
                  <c:v>Opbouwende feedback &amp; slecht nieuws gesprekken</c:v>
                </c:pt>
              </c:strCache>
            </c:strRef>
          </c:cat>
          <c:val>
            <c:numRef>
              <c:f>'Uitwerking (NIET BEWERKEN!!)'!$E$11:$CB$11</c:f>
              <c:numCache>
                <c:formatCode>0.0</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extLst>
            <c:ext xmlns:c16="http://schemas.microsoft.com/office/drawing/2014/chart" uri="{C3380CC4-5D6E-409C-BE32-E72D297353CC}">
              <c16:uniqueId val="{00000001-C510-45C6-AE4C-93012B94423C}"/>
            </c:ext>
          </c:extLst>
        </c:ser>
        <c:ser>
          <c:idx val="1"/>
          <c:order val="1"/>
          <c:tx>
            <c:strRef>
              <c:f>'Uitwerking (NIET BEWERKEN!!)'!$D$7</c:f>
              <c:strCache>
                <c:ptCount val="1"/>
                <c:pt idx="0">
                  <c:v>Score op huidig situatie</c:v>
                </c:pt>
              </c:strCache>
            </c:strRef>
          </c:tx>
          <c:spPr>
            <a:solidFill>
              <a:schemeClr val="accent4"/>
            </a:solidFill>
            <a:ln>
              <a:noFill/>
            </a:ln>
            <a:effectLst/>
          </c:spPr>
          <c:cat>
            <c:strRef>
              <c:f>'Uitwerking (NIET BEWERKEN!!)'!$E$4:$CB$4</c:f>
              <c:strCache>
                <c:ptCount val="76"/>
                <c:pt idx="0">
                  <c:v>Leren &amp; reflecteren</c:v>
                </c:pt>
                <c:pt idx="1">
                  <c:v>Ondersteunen &amp; samenwerken</c:v>
                </c:pt>
                <c:pt idx="2">
                  <c:v>Ondernemen &amp; resultaatgericht</c:v>
                </c:pt>
                <c:pt idx="3">
                  <c:v>Klantgericht</c:v>
                </c:pt>
                <c:pt idx="4">
                  <c:v>Kennisdeling</c:v>
                </c:pt>
                <c:pt idx="5">
                  <c:v>Coaching &amp; begeleiding</c:v>
                </c:pt>
                <c:pt idx="6">
                  <c:v>Bewust</c:v>
                </c:pt>
                <c:pt idx="7">
                  <c:v>Bekend</c:v>
                </c:pt>
                <c:pt idx="8">
                  <c:v>Adviseert</c:v>
                </c:pt>
                <c:pt idx="9">
                  <c:v>Neemt mee in werkzaamheden</c:v>
                </c:pt>
                <c:pt idx="10">
                  <c:v>Adviseert pro-actief</c:v>
                </c:pt>
                <c:pt idx="11">
                  <c:v>Bewust van verschillende typen data en de (on)mogelijkheden</c:v>
                </c:pt>
                <c:pt idx="12">
                  <c:v>Begrijpt data kwaliteit en herkent problemen</c:v>
                </c:pt>
                <c:pt idx="13">
                  <c:v>Kent oplossingen om data met kwaliteitsproblemen om te gaan</c:v>
                </c:pt>
                <c:pt idx="14">
                  <c:v>Kan doelmatig en doeltreffend data bewerken/ manipuleren</c:v>
                </c:pt>
                <c:pt idx="15">
                  <c:v>Assumpties steekproefgrootte, verdeling, etc.</c:v>
                </c:pt>
                <c:pt idx="16">
                  <c:v>Betrouwbaarheids intervallen</c:v>
                </c:pt>
                <c:pt idx="17">
                  <c:v>Statistische toetsen</c:v>
                </c:pt>
                <c:pt idx="18">
                  <c:v>Correlatie</c:v>
                </c:pt>
                <c:pt idx="19">
                  <c:v>Regressie</c:v>
                </c:pt>
                <c:pt idx="20">
                  <c:v>betrouwbaarheid &amp; validiteit</c:v>
                </c:pt>
                <c:pt idx="21">
                  <c:v>Selecteren onderzoeksmethode</c:v>
                </c:pt>
                <c:pt idx="22">
                  <c:v>Onderzoeksdesign</c:v>
                </c:pt>
                <c:pt idx="23">
                  <c:v>Interpreteren onderzoeksresultaten</c:v>
                </c:pt>
                <c:pt idx="24">
                  <c:v>Onderzoeksvaardigheden in business</c:v>
                </c:pt>
                <c:pt idx="25">
                  <c:v>Metrics voor usability en UX</c:v>
                </c:pt>
                <c:pt idx="26">
                  <c:v>Metrics voor CX</c:v>
                </c:pt>
                <c:pt idx="27">
                  <c:v>Metrics aansluiting tussen strategie en ux/ cx metrics</c:v>
                </c:pt>
                <c:pt idx="28">
                  <c:v>Metrics vertalen naar meetbare definities</c:v>
                </c:pt>
                <c:pt idx="29">
                  <c:v>Metrics op het juiste organisatie niveau</c:v>
                </c:pt>
                <c:pt idx="30">
                  <c:v>Perceptie en decisionmaking</c:v>
                </c:pt>
                <c:pt idx="31">
                  <c:v>Kunnen inzetten van DiP optmalisatieproces</c:v>
                </c:pt>
                <c:pt idx="32">
                  <c:v>CX Marurty modellen</c:v>
                </c:pt>
                <c:pt idx="33">
                  <c:v>Merk, usability, UX en CX</c:v>
                </c:pt>
                <c:pt idx="34">
                  <c:v>CX strategie</c:v>
                </c:pt>
                <c:pt idx="35">
                  <c:v>Copywriting | UX writing | Content</c:v>
                </c:pt>
                <c:pt idx="36">
                  <c:v>Custoner Journer Mapping &amp; Persona's</c:v>
                </c:pt>
                <c:pt idx="37">
                  <c:v>Personalisatie en segmentatie</c:v>
                </c:pt>
                <c:pt idx="38">
                  <c:v>Customer Journey (CXO)</c:v>
                </c:pt>
                <c:pt idx="39">
                  <c:v>Marketing Analytics</c:v>
                </c:pt>
                <c:pt idx="40">
                  <c:v>eCommerce Analytics</c:v>
                </c:pt>
                <c:pt idx="41">
                  <c:v>Product Analytics</c:v>
                </c:pt>
                <c:pt idx="42">
                  <c:v>Customer Service Optimalisatie</c:v>
                </c:pt>
                <c:pt idx="43">
                  <c:v>Design</c:v>
                </c:pt>
                <c:pt idx="44">
                  <c:v>Prototyping</c:v>
                </c:pt>
                <c:pt idx="45">
                  <c:v>Visual design</c:v>
                </c:pt>
                <c:pt idx="46">
                  <c:v>Customer Journey Mapping </c:v>
                </c:pt>
                <c:pt idx="47">
                  <c:v>Usability Testen - Formative</c:v>
                </c:pt>
                <c:pt idx="48">
                  <c:v>Usability Testen - Summative</c:v>
                </c:pt>
                <c:pt idx="49">
                  <c:v>AB Testen</c:v>
                </c:pt>
                <c:pt idx="50">
                  <c:v>Behavioral Analytics (Web en app analytics tooling)</c:v>
                </c:pt>
                <c:pt idx="51">
                  <c:v>Marketing Analytics</c:v>
                </c:pt>
                <c:pt idx="52">
                  <c:v>Session recordings</c:v>
                </c:pt>
                <c:pt idx="53">
                  <c:v>Heathmaps &amp; Scrollmaps</c:v>
                </c:pt>
                <c:pt idx="54">
                  <c:v>Interviewen  (opzetten en uitvoeren van een interview)</c:v>
                </c:pt>
                <c:pt idx="55">
                  <c:v>Survey Design (opzetten en uitvoeren van een survey)</c:v>
                </c:pt>
                <c:pt idx="56">
                  <c:v>SQL</c:v>
                </c:pt>
                <c:pt idx="57">
                  <c:v>Python</c:v>
                </c:pt>
                <c:pt idx="58">
                  <c:v>Javascript</c:v>
                </c:pt>
                <c:pt idx="59">
                  <c:v>R</c:v>
                </c:pt>
                <c:pt idx="60">
                  <c:v>HTML / CSS</c:v>
                </c:pt>
                <c:pt idx="61">
                  <c:v>Adviseren</c:v>
                </c:pt>
                <c:pt idx="62">
                  <c:v>Doortastend &amp; probleemoplossend</c:v>
                </c:pt>
                <c:pt idx="63">
                  <c:v>Interpersoonlijk communicatie</c:v>
                </c:pt>
                <c:pt idx="64">
                  <c:v>Verwachtings-management</c:v>
                </c:pt>
                <c:pt idx="65">
                  <c:v>Schriftelijke en mondelinge communicatie</c:v>
                </c:pt>
                <c:pt idx="66">
                  <c:v>Organisatie- en management-identificatie</c:v>
                </c:pt>
                <c:pt idx="67">
                  <c:v>Strategische conceptualisatie</c:v>
                </c:pt>
                <c:pt idx="68">
                  <c:v>Projectmanagement</c:v>
                </c:pt>
                <c:pt idx="69">
                  <c:v>Verander-management</c:v>
                </c:pt>
                <c:pt idx="70">
                  <c:v>Leidinggeven</c:v>
                </c:pt>
                <c:pt idx="71">
                  <c:v>Situationele communicatie</c:v>
                </c:pt>
                <c:pt idx="72">
                  <c:v>Doelgerichte &amp; effectieve communicatie</c:v>
                </c:pt>
                <c:pt idx="73">
                  <c:v>Besluitvaardigheid</c:v>
                </c:pt>
                <c:pt idx="74">
                  <c:v>Overtuigen &amp; beinvloeden</c:v>
                </c:pt>
                <c:pt idx="75">
                  <c:v>Opbouwende feedback &amp; slecht nieuws gesprekken</c:v>
                </c:pt>
              </c:strCache>
            </c:strRef>
          </c:cat>
          <c:val>
            <c:numRef>
              <c:f>'Uitwerking (NIET BEWERKEN!!)'!$E$7:$CB$7</c:f>
              <c:numCache>
                <c:formatCode>0.0</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BEWERKEN!!)'!$BS$4:$BW$4</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BEWERKEN!!)'!$BS$7:$BW$7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'Uitwerking (NIET BEWERKEN!!)'!$BS$4:$BW$4</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BEWERKEN!!)'!$BS$11:$BW$11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BEWERKEN!!)'!$BX$4:$CB$4</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BEWERKEN!!)'!$BX$7:$CB$7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Ambitie</c:v>
          </c:tx>
          <c:spPr>
            <a:ln w="28575" cap="rnd">
              <a:solidFill>
                <a:schemeClr val="accent5"/>
              </a:solidFill>
              <a:round/>
            </a:ln>
            <a:effectLst/>
          </c:spPr>
          <c:marker>
            <c:symbol val="none"/>
          </c:marker>
          <c:cat>
            <c:strRef>
              <c:f>'Uitwerking (NIET BEWERKEN!!)'!$BX$4:$CB$4</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BEWERKEN!!)'!$BX$11:$CB$11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BEWERKEN!!)'!$AY$4:$BM$4</c:f>
              <c:strCache>
                <c:ptCount val="15"/>
                <c:pt idx="0">
                  <c:v>Customer Journey Mapping </c:v>
                </c:pt>
                <c:pt idx="1">
                  <c:v>Usability Testen - Formative</c:v>
                </c:pt>
                <c:pt idx="2">
                  <c:v>Usability Testen - Summative</c:v>
                </c:pt>
                <c:pt idx="3">
                  <c:v>AB Testen</c:v>
                </c:pt>
                <c:pt idx="4">
                  <c:v>Behavioral Analytics (Web en app analytics tooling)</c:v>
                </c:pt>
                <c:pt idx="5">
                  <c:v>Marketing Analytics</c:v>
                </c:pt>
                <c:pt idx="6">
                  <c:v>Session recordings</c:v>
                </c:pt>
                <c:pt idx="7">
                  <c:v>Heathmaps &amp; Scrollmaps</c:v>
                </c:pt>
                <c:pt idx="8">
                  <c:v>Interviewen  (opzetten en uitvoeren van een interview)</c:v>
                </c:pt>
                <c:pt idx="9">
                  <c:v>Survey Design (opzetten en uitvoeren van een survey)</c:v>
                </c:pt>
                <c:pt idx="10">
                  <c:v>SQL</c:v>
                </c:pt>
                <c:pt idx="11">
                  <c:v>Python</c:v>
                </c:pt>
                <c:pt idx="12">
                  <c:v>Javascript</c:v>
                </c:pt>
                <c:pt idx="13">
                  <c:v>R</c:v>
                </c:pt>
                <c:pt idx="14">
                  <c:v>HTML / CSS</c:v>
                </c:pt>
              </c:strCache>
            </c:strRef>
          </c:cat>
          <c:val>
            <c:numRef>
              <c:f>'Uitwerking (NIET BEWERKEN!!)'!$AY$7:$BM$7</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4031-43D2-99A1-6DD856C0D943}"/>
            </c:ext>
          </c:extLst>
        </c:ser>
        <c:ser>
          <c:idx val="1"/>
          <c:order val="1"/>
          <c:tx>
            <c:v>Ambitie</c:v>
          </c:tx>
          <c:spPr>
            <a:ln w="28575" cap="rnd">
              <a:solidFill>
                <a:schemeClr val="accent5"/>
              </a:solidFill>
              <a:round/>
            </a:ln>
            <a:effectLst/>
          </c:spPr>
          <c:marker>
            <c:symbol val="none"/>
          </c:marker>
          <c:cat>
            <c:strRef>
              <c:f>'Uitwerking (NIET BEWERKEN!!)'!$AY$4:$BM$4</c:f>
              <c:strCache>
                <c:ptCount val="15"/>
                <c:pt idx="0">
                  <c:v>Customer Journey Mapping </c:v>
                </c:pt>
                <c:pt idx="1">
                  <c:v>Usability Testen - Formative</c:v>
                </c:pt>
                <c:pt idx="2">
                  <c:v>Usability Testen - Summative</c:v>
                </c:pt>
                <c:pt idx="3">
                  <c:v>AB Testen</c:v>
                </c:pt>
                <c:pt idx="4">
                  <c:v>Behavioral Analytics (Web en app analytics tooling)</c:v>
                </c:pt>
                <c:pt idx="5">
                  <c:v>Marketing Analytics</c:v>
                </c:pt>
                <c:pt idx="6">
                  <c:v>Session recordings</c:v>
                </c:pt>
                <c:pt idx="7">
                  <c:v>Heathmaps &amp; Scrollmaps</c:v>
                </c:pt>
                <c:pt idx="8">
                  <c:v>Interviewen  (opzetten en uitvoeren van een interview)</c:v>
                </c:pt>
                <c:pt idx="9">
                  <c:v>Survey Design (opzetten en uitvoeren van een survey)</c:v>
                </c:pt>
                <c:pt idx="10">
                  <c:v>SQL</c:v>
                </c:pt>
                <c:pt idx="11">
                  <c:v>Python</c:v>
                </c:pt>
                <c:pt idx="12">
                  <c:v>Javascript</c:v>
                </c:pt>
                <c:pt idx="13">
                  <c:v>R</c:v>
                </c:pt>
                <c:pt idx="14">
                  <c:v>HTML / CSS</c:v>
                </c:pt>
              </c:strCache>
            </c:strRef>
          </c:cat>
          <c:val>
            <c:numRef>
              <c:f>'Uitwerking (NIET BEWERKEN!!)'!$AY$11:$BM$11</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4031-43D2-99A1-6DD856C0D943}"/>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(Basis data vaardigheden)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BEWERKEN!!)'!$P$4:$S$4</c:f>
              <c:strCache>
                <c:ptCount val="4"/>
                <c:pt idx="0">
                  <c:v>Bewust van verschillende typen data en de (on)mogelijkheden</c:v>
                </c:pt>
                <c:pt idx="1">
                  <c:v>Begrijpt data kwaliteit en herkent problemen</c:v>
                </c:pt>
                <c:pt idx="2">
                  <c:v>Kent oplossingen om data met kwaliteitsproblemen om te gaan</c:v>
                </c:pt>
                <c:pt idx="3">
                  <c:v>Kan doelmatig en doeltreffend data bewerken/ manipuleren</c:v>
                </c:pt>
              </c:strCache>
            </c:strRef>
          </c:cat>
          <c:val>
            <c:numRef>
              <c:f>'Uitwerking (NIET BEWERKEN!!)'!$P$7:$S$7</c:f>
              <c:numCache>
                <c:formatCode>0.0</c:formatCode>
                <c:ptCount val="4"/>
                <c:pt idx="0">
                  <c:v>0</c:v>
                </c:pt>
                <c:pt idx="1">
                  <c:v>0</c:v>
                </c:pt>
                <c:pt idx="2">
                  <c:v>0</c:v>
                </c:pt>
                <c:pt idx="3">
                  <c:v>0</c:v>
                </c:pt>
              </c:numCache>
            </c:numRef>
          </c:val>
          <c:extLst>
            <c:ext xmlns:c16="http://schemas.microsoft.com/office/drawing/2014/chart" uri="{C3380CC4-5D6E-409C-BE32-E72D297353CC}">
              <c16:uniqueId val="{00000000-1197-4BD6-ACFD-2797BBB28F11}"/>
            </c:ext>
          </c:extLst>
        </c:ser>
        <c:ser>
          <c:idx val="1"/>
          <c:order val="1"/>
          <c:tx>
            <c:v>Ambitie</c:v>
          </c:tx>
          <c:spPr>
            <a:ln w="28575" cap="rnd">
              <a:solidFill>
                <a:schemeClr val="accent5"/>
              </a:solidFill>
              <a:round/>
            </a:ln>
            <a:effectLst/>
          </c:spPr>
          <c:marker>
            <c:symbol val="none"/>
          </c:marker>
          <c:cat>
            <c:strRef>
              <c:f>'Uitwerking (NIET BEWERKEN!!)'!$P$4:$S$4</c:f>
              <c:strCache>
                <c:ptCount val="4"/>
                <c:pt idx="0">
                  <c:v>Bewust van verschillende typen data en de (on)mogelijkheden</c:v>
                </c:pt>
                <c:pt idx="1">
                  <c:v>Begrijpt data kwaliteit en herkent problemen</c:v>
                </c:pt>
                <c:pt idx="2">
                  <c:v>Kent oplossingen om data met kwaliteitsproblemen om te gaan</c:v>
                </c:pt>
                <c:pt idx="3">
                  <c:v>Kan doelmatig en doeltreffend data bewerken/ manipuleren</c:v>
                </c:pt>
              </c:strCache>
            </c:strRef>
          </c:cat>
          <c:val>
            <c:numRef>
              <c:f>'Uitwerking (NIET BEWERKEN!!)'!$P$11:$S$11</c:f>
              <c:numCache>
                <c:formatCode>0.0</c:formatCode>
                <c:ptCount val="4"/>
                <c:pt idx="0">
                  <c:v>0</c:v>
                </c:pt>
                <c:pt idx="1">
                  <c:v>0</c:v>
                </c:pt>
                <c:pt idx="2">
                  <c:v>0</c:v>
                </c:pt>
                <c:pt idx="3">
                  <c:v>0</c:v>
                </c:pt>
              </c:numCache>
            </c:numRef>
          </c:val>
          <c:extLst>
            <c:ext xmlns:c16="http://schemas.microsoft.com/office/drawing/2014/chart" uri="{C3380CC4-5D6E-409C-BE32-E72D297353CC}">
              <c16:uniqueId val="{00000001-1197-4BD6-ACFD-2797BBB28F1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(Statistiek)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BEWERKEN!!)'!$T$4:$X$4</c:f>
              <c:strCache>
                <c:ptCount val="5"/>
                <c:pt idx="0">
                  <c:v>Assumpties steekproefgrootte, verdeling, etc.</c:v>
                </c:pt>
                <c:pt idx="1">
                  <c:v>Betrouwbaarheids intervallen</c:v>
                </c:pt>
                <c:pt idx="2">
                  <c:v>Statistische toetsen</c:v>
                </c:pt>
                <c:pt idx="3">
                  <c:v>Correlatie</c:v>
                </c:pt>
                <c:pt idx="4">
                  <c:v>Regressie</c:v>
                </c:pt>
              </c:strCache>
            </c:strRef>
          </c:cat>
          <c:val>
            <c:numRef>
              <c:f>'Uitwerking (NIET BEWERKEN!!)'!$T$7:$X$7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846-4081-8DE3-B71E31233B68}"/>
            </c:ext>
          </c:extLst>
        </c:ser>
        <c:ser>
          <c:idx val="1"/>
          <c:order val="1"/>
          <c:tx>
            <c:v>Ambitie</c:v>
          </c:tx>
          <c:spPr>
            <a:ln w="28575" cap="rnd">
              <a:solidFill>
                <a:schemeClr val="accent5"/>
              </a:solidFill>
              <a:round/>
            </a:ln>
            <a:effectLst/>
          </c:spPr>
          <c:marker>
            <c:symbol val="none"/>
          </c:marker>
          <c:cat>
            <c:strRef>
              <c:f>'Uitwerking (NIET BEWERKEN!!)'!$T$4:$X$4</c:f>
              <c:strCache>
                <c:ptCount val="5"/>
                <c:pt idx="0">
                  <c:v>Assumpties steekproefgrootte, verdeling, etc.</c:v>
                </c:pt>
                <c:pt idx="1">
                  <c:v>Betrouwbaarheids intervallen</c:v>
                </c:pt>
                <c:pt idx="2">
                  <c:v>Statistische toetsen</c:v>
                </c:pt>
                <c:pt idx="3">
                  <c:v>Correlatie</c:v>
                </c:pt>
                <c:pt idx="4">
                  <c:v>Regressie</c:v>
                </c:pt>
              </c:strCache>
            </c:strRef>
          </c:cat>
          <c:val>
            <c:numRef>
              <c:f>'Uitwerking (NIET BEWERKEN!!)'!$T$11:$X$11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C846-4081-8DE3-B71E31233B68}"/>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(Kwant Analyse en Onderzoeksv.)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BEWERKEN!!)'!$Y$4:$AC$4</c:f>
              <c:strCache>
                <c:ptCount val="5"/>
                <c:pt idx="0">
                  <c:v>betrouwbaarheid &amp; validiteit</c:v>
                </c:pt>
                <c:pt idx="1">
                  <c:v>Selecteren onderzoeksmethode</c:v>
                </c:pt>
                <c:pt idx="2">
                  <c:v>Onderzoeksdesign</c:v>
                </c:pt>
                <c:pt idx="3">
                  <c:v>Interpreteren onderzoeksresultaten</c:v>
                </c:pt>
                <c:pt idx="4">
                  <c:v>Onderzoeksvaardigheden in business</c:v>
                </c:pt>
              </c:strCache>
            </c:strRef>
          </c:cat>
          <c:val>
            <c:numRef>
              <c:f>'Uitwerking (NIET BEWERKEN!!)'!$Y$7:$AC$7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B0E-435C-8018-10F87E9F4D0E}"/>
            </c:ext>
          </c:extLst>
        </c:ser>
        <c:ser>
          <c:idx val="1"/>
          <c:order val="1"/>
          <c:tx>
            <c:v>Ambitie</c:v>
          </c:tx>
          <c:spPr>
            <a:ln w="28575" cap="rnd">
              <a:solidFill>
                <a:schemeClr val="accent5"/>
              </a:solidFill>
              <a:round/>
            </a:ln>
            <a:effectLst/>
          </c:spPr>
          <c:marker>
            <c:symbol val="none"/>
          </c:marker>
          <c:cat>
            <c:strRef>
              <c:f>'Uitwerking (NIET BEWERKEN!!)'!$Y$4:$AC$4</c:f>
              <c:strCache>
                <c:ptCount val="5"/>
                <c:pt idx="0">
                  <c:v>betrouwbaarheid &amp; validiteit</c:v>
                </c:pt>
                <c:pt idx="1">
                  <c:v>Selecteren onderzoeksmethode</c:v>
                </c:pt>
                <c:pt idx="2">
                  <c:v>Onderzoeksdesign</c:v>
                </c:pt>
                <c:pt idx="3">
                  <c:v>Interpreteren onderzoeksresultaten</c:v>
                </c:pt>
                <c:pt idx="4">
                  <c:v>Onderzoeksvaardigheden in business</c:v>
                </c:pt>
              </c:strCache>
            </c:strRef>
          </c:cat>
          <c:val>
            <c:numRef>
              <c:f>'Uitwerking (NIET BEWERKEN!!)'!$Y$11:$AC$11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B0E-435C-8018-10F87E9F4D0E}"/>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(Metrics en doelen)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BEWERKEN!!)'!$AD$4:$AH$4</c:f>
              <c:strCache>
                <c:ptCount val="5"/>
                <c:pt idx="0">
                  <c:v>Metrics voor usability en UX</c:v>
                </c:pt>
                <c:pt idx="1">
                  <c:v>Metrics voor CX</c:v>
                </c:pt>
                <c:pt idx="2">
                  <c:v>Metrics aansluiting tussen strategie en ux/ cx metrics</c:v>
                </c:pt>
                <c:pt idx="3">
                  <c:v>Metrics vertalen naar meetbare definities</c:v>
                </c:pt>
                <c:pt idx="4">
                  <c:v>Metrics op het juiste organisatie niveau</c:v>
                </c:pt>
              </c:strCache>
            </c:strRef>
          </c:cat>
          <c:val>
            <c:numRef>
              <c:f>'Uitwerking (NIET BEWERKEN!!)'!$AD$7:$AH$7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3BE-41A8-8D5E-A936FFD094DA}"/>
            </c:ext>
          </c:extLst>
        </c:ser>
        <c:ser>
          <c:idx val="1"/>
          <c:order val="1"/>
          <c:tx>
            <c:v>Ambitie</c:v>
          </c:tx>
          <c:spPr>
            <a:ln w="28575" cap="rnd">
              <a:solidFill>
                <a:schemeClr val="accent5"/>
              </a:solidFill>
              <a:round/>
            </a:ln>
            <a:effectLst/>
          </c:spPr>
          <c:marker>
            <c:symbol val="none"/>
          </c:marker>
          <c:cat>
            <c:strRef>
              <c:f>'Uitwerking (NIET BEWERKEN!!)'!$AD$4:$AH$4</c:f>
              <c:strCache>
                <c:ptCount val="5"/>
                <c:pt idx="0">
                  <c:v>Metrics voor usability en UX</c:v>
                </c:pt>
                <c:pt idx="1">
                  <c:v>Metrics voor CX</c:v>
                </c:pt>
                <c:pt idx="2">
                  <c:v>Metrics aansluiting tussen strategie en ux/ cx metrics</c:v>
                </c:pt>
                <c:pt idx="3">
                  <c:v>Metrics vertalen naar meetbare definities</c:v>
                </c:pt>
                <c:pt idx="4">
                  <c:v>Metrics op het juiste organisatie niveau</c:v>
                </c:pt>
              </c:strCache>
            </c:strRef>
          </c:cat>
          <c:val>
            <c:numRef>
              <c:f>'Uitwerking (NIET BEWERKEN!!)'!$AD$11:$AH$11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D3BE-41A8-8D5E-A936FFD094DA}"/>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(CX theorie)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BEWERKEN!!)'!$AI$4:$AP$4</c:f>
              <c:strCache>
                <c:ptCount val="8"/>
                <c:pt idx="0">
                  <c:v>Perceptie en decisionmaking</c:v>
                </c:pt>
                <c:pt idx="1">
                  <c:v>Kunnen inzetten van DiP optmalisatieproces</c:v>
                </c:pt>
                <c:pt idx="2">
                  <c:v>CX Marurty modellen</c:v>
                </c:pt>
                <c:pt idx="3">
                  <c:v>Merk, usability, UX en CX</c:v>
                </c:pt>
                <c:pt idx="4">
                  <c:v>CX strategie</c:v>
                </c:pt>
                <c:pt idx="5">
                  <c:v>Copywriting | UX writing | Content</c:v>
                </c:pt>
                <c:pt idx="6">
                  <c:v>Custoner Journer Mapping &amp; Persona's</c:v>
                </c:pt>
                <c:pt idx="7">
                  <c:v>Personalisatie en segmentatie</c:v>
                </c:pt>
              </c:strCache>
            </c:strRef>
          </c:cat>
          <c:val>
            <c:numRef>
              <c:f>'Uitwerking (NIET BEWERKEN!!)'!$AI$7:$AP$7</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E6A-4898-A3F3-E8E7CC656D91}"/>
            </c:ext>
          </c:extLst>
        </c:ser>
        <c:ser>
          <c:idx val="1"/>
          <c:order val="1"/>
          <c:tx>
            <c:v>Ambitie</c:v>
          </c:tx>
          <c:spPr>
            <a:ln w="28575" cap="rnd">
              <a:solidFill>
                <a:schemeClr val="accent5"/>
              </a:solidFill>
              <a:round/>
            </a:ln>
            <a:effectLst/>
          </c:spPr>
          <c:marker>
            <c:symbol val="none"/>
          </c:marker>
          <c:cat>
            <c:strRef>
              <c:f>'Uitwerking (NIET BEWERKEN!!)'!$AI$4:$AP$4</c:f>
              <c:strCache>
                <c:ptCount val="8"/>
                <c:pt idx="0">
                  <c:v>Perceptie en decisionmaking</c:v>
                </c:pt>
                <c:pt idx="1">
                  <c:v>Kunnen inzetten van DiP optmalisatieproces</c:v>
                </c:pt>
                <c:pt idx="2">
                  <c:v>CX Marurty modellen</c:v>
                </c:pt>
                <c:pt idx="3">
                  <c:v>Merk, usability, UX en CX</c:v>
                </c:pt>
                <c:pt idx="4">
                  <c:v>CX strategie</c:v>
                </c:pt>
                <c:pt idx="5">
                  <c:v>Copywriting | UX writing | Content</c:v>
                </c:pt>
                <c:pt idx="6">
                  <c:v>Custoner Journer Mapping &amp; Persona's</c:v>
                </c:pt>
                <c:pt idx="7">
                  <c:v>Personalisatie en segmentatie</c:v>
                </c:pt>
              </c:strCache>
            </c:strRef>
          </c:cat>
          <c:val>
            <c:numRef>
              <c:f>'Uitwerking (NIET BEWERKEN!!)'!$AI$11:$AP$11</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AE6A-4898-A3F3-E8E7CC656D9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(CX kennis en toepassingsdomein)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BEWERKEN!!)'!$AQ$4:$AU$4</c:f>
              <c:strCache>
                <c:ptCount val="5"/>
                <c:pt idx="0">
                  <c:v>Customer Journey (CXO)</c:v>
                </c:pt>
                <c:pt idx="1">
                  <c:v>Marketing Analytics</c:v>
                </c:pt>
                <c:pt idx="2">
                  <c:v>eCommerce Analytics</c:v>
                </c:pt>
                <c:pt idx="3">
                  <c:v>Product Analytics</c:v>
                </c:pt>
                <c:pt idx="4">
                  <c:v>Customer Service Optimalisatie</c:v>
                </c:pt>
              </c:strCache>
            </c:strRef>
          </c:cat>
          <c:val>
            <c:numRef>
              <c:f>'Uitwerking (NIET BEWERKEN!!)'!$AQ$7:$AU$7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91A7-4965-94C9-3E09F9CFE130}"/>
            </c:ext>
          </c:extLst>
        </c:ser>
        <c:ser>
          <c:idx val="1"/>
          <c:order val="1"/>
          <c:tx>
            <c:v>Ambitie</c:v>
          </c:tx>
          <c:spPr>
            <a:ln w="28575" cap="rnd">
              <a:solidFill>
                <a:schemeClr val="accent5"/>
              </a:solidFill>
              <a:round/>
            </a:ln>
            <a:effectLst/>
          </c:spPr>
          <c:marker>
            <c:symbol val="none"/>
          </c:marker>
          <c:cat>
            <c:strRef>
              <c:f>'Uitwerking (NIET BEWERKEN!!)'!$AQ$4:$AU$4</c:f>
              <c:strCache>
                <c:ptCount val="5"/>
                <c:pt idx="0">
                  <c:v>Customer Journey (CXO)</c:v>
                </c:pt>
                <c:pt idx="1">
                  <c:v>Marketing Analytics</c:v>
                </c:pt>
                <c:pt idx="2">
                  <c:v>eCommerce Analytics</c:v>
                </c:pt>
                <c:pt idx="3">
                  <c:v>Product Analytics</c:v>
                </c:pt>
                <c:pt idx="4">
                  <c:v>Customer Service Optimalisatie</c:v>
                </c:pt>
              </c:strCache>
            </c:strRef>
          </c:cat>
          <c:val>
            <c:numRef>
              <c:f>'Uitwerking (NIET BEWERKEN!!)'!$AQ$11:$AU$11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91A7-4965-94C9-3E09F9CFE130}"/>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a:t>
            </a:r>
            <a:r>
              <a:rPr lang="en-US" baseline="0"/>
              <a:t> skills (Bonusskills)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BEWERKEN!!)'!$AV$4:$AX$4</c:f>
              <c:strCache>
                <c:ptCount val="3"/>
                <c:pt idx="0">
                  <c:v>Design</c:v>
                </c:pt>
                <c:pt idx="1">
                  <c:v>Prototyping</c:v>
                </c:pt>
                <c:pt idx="2">
                  <c:v>Visual design</c:v>
                </c:pt>
              </c:strCache>
            </c:strRef>
          </c:cat>
          <c:val>
            <c:numRef>
              <c:f>'Uitwerking (NIET BEWERKEN!!)'!$AV$7:$AX$7</c:f>
              <c:numCache>
                <c:formatCode>0.0</c:formatCode>
                <c:ptCount val="3"/>
                <c:pt idx="0">
                  <c:v>0</c:v>
                </c:pt>
                <c:pt idx="1">
                  <c:v>0</c:v>
                </c:pt>
                <c:pt idx="2">
                  <c:v>0</c:v>
                </c:pt>
              </c:numCache>
            </c:numRef>
          </c:val>
          <c:extLst>
            <c:ext xmlns:c16="http://schemas.microsoft.com/office/drawing/2014/chart" uri="{C3380CC4-5D6E-409C-BE32-E72D297353CC}">
              <c16:uniqueId val="{00000000-A260-469D-BD38-25FCEF19BE4A}"/>
            </c:ext>
          </c:extLst>
        </c:ser>
        <c:ser>
          <c:idx val="1"/>
          <c:order val="1"/>
          <c:tx>
            <c:v>Ambitie</c:v>
          </c:tx>
          <c:spPr>
            <a:ln w="28575" cap="rnd">
              <a:solidFill>
                <a:schemeClr val="accent5"/>
              </a:solidFill>
              <a:round/>
            </a:ln>
            <a:effectLst/>
          </c:spPr>
          <c:marker>
            <c:symbol val="none"/>
          </c:marker>
          <c:cat>
            <c:strRef>
              <c:f>'Uitwerking (NIET BEWERKEN!!)'!$AV$4:$AX$4</c:f>
              <c:strCache>
                <c:ptCount val="3"/>
                <c:pt idx="0">
                  <c:v>Design</c:v>
                </c:pt>
                <c:pt idx="1">
                  <c:v>Prototyping</c:v>
                </c:pt>
                <c:pt idx="2">
                  <c:v>Visual design</c:v>
                </c:pt>
              </c:strCache>
            </c:strRef>
          </c:cat>
          <c:val>
            <c:numRef>
              <c:f>'Uitwerking (NIET BEWERKEN!!)'!$AV$11:$AX$11</c:f>
              <c:numCache>
                <c:formatCode>0.0</c:formatCode>
                <c:ptCount val="3"/>
                <c:pt idx="0">
                  <c:v>0</c:v>
                </c:pt>
                <c:pt idx="1">
                  <c:v>0</c:v>
                </c:pt>
                <c:pt idx="2">
                  <c:v>0</c:v>
                </c:pt>
              </c:numCache>
            </c:numRef>
          </c:val>
          <c:extLst>
            <c:ext xmlns:c16="http://schemas.microsoft.com/office/drawing/2014/chart" uri="{C3380CC4-5D6E-409C-BE32-E72D297353CC}">
              <c16:uniqueId val="{00000001-A260-469D-BD38-25FCEF19BE4A}"/>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subcategoriëen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BEWERKEN!!)'!$O$3,'Uitwerking (NIET BEWERKEN!!)'!$S$3,'Uitwerking (NIET BEWERKEN!!)'!$X$3,'Uitwerking (NIET BEWERKEN!!)'!$AC$3,'Uitwerking (NIET BEWERKEN!!)'!$AH$3,'Uitwerking (NIET BEWERKEN!!)'!$AP$3,'Uitwerking (NIET BEWERKEN!!)'!$AU$3,'Uitwerking (NIET BEWERKEN!!)'!$AX$3)</c:f>
              <c:strCache>
                <c:ptCount val="8"/>
                <c:pt idx="0">
                  <c:v>Ethiek en professionaliteit</c:v>
                </c:pt>
                <c:pt idx="1">
                  <c:v>Basis data vaardigheden</c:v>
                </c:pt>
                <c:pt idx="2">
                  <c:v>Statistiek</c:v>
                </c:pt>
                <c:pt idx="3">
                  <c:v>Kwantitatieve Analyse en Onderzoeksvaardigheden</c:v>
                </c:pt>
                <c:pt idx="4">
                  <c:v>Metrics en doelen</c:v>
                </c:pt>
                <c:pt idx="5">
                  <c:v>CX Theorie</c:v>
                </c:pt>
                <c:pt idx="6">
                  <c:v>CX Kennis toepassingsdomein </c:v>
                </c:pt>
                <c:pt idx="7">
                  <c:v>Bonusskill</c:v>
                </c:pt>
              </c:strCache>
            </c:strRef>
          </c:cat>
          <c:val>
            <c:numRef>
              <c:f>('Uitwerking (NIET BEWERKEN!!)'!$O$8,'Uitwerking (NIET BEWERKEN!!)'!$S$8,'Uitwerking (NIET BEWERKEN!!)'!$X$8,'Uitwerking (NIET BEWERKEN!!)'!$AC$8,'Uitwerking (NIET BEWERKEN!!)'!$AH$8,'Uitwerking (NIET BEWERKEN!!)'!$AP$8,'Uitwerking (NIET BEWERKEN!!)'!$AU$8,'Uitwerking (NIET BEWERKEN!!)'!$AX$8)</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D7B-43B3-A7BC-34EAA24306CF}"/>
            </c:ext>
          </c:extLst>
        </c:ser>
        <c:ser>
          <c:idx val="1"/>
          <c:order val="1"/>
          <c:tx>
            <c:v>Ambitie</c:v>
          </c:tx>
          <c:spPr>
            <a:ln w="28575" cap="rnd">
              <a:solidFill>
                <a:schemeClr val="accent5"/>
              </a:solidFill>
              <a:round/>
            </a:ln>
            <a:effectLst/>
          </c:spPr>
          <c:marker>
            <c:symbol val="none"/>
          </c:marker>
          <c:cat>
            <c:strRef>
              <c:f>('Uitwerking (NIET BEWERKEN!!)'!$O$3,'Uitwerking (NIET BEWERKEN!!)'!$S$3,'Uitwerking (NIET BEWERKEN!!)'!$X$3,'Uitwerking (NIET BEWERKEN!!)'!$AC$3,'Uitwerking (NIET BEWERKEN!!)'!$AH$3,'Uitwerking (NIET BEWERKEN!!)'!$AP$3,'Uitwerking (NIET BEWERKEN!!)'!$AU$3,'Uitwerking (NIET BEWERKEN!!)'!$AX$3)</c:f>
              <c:strCache>
                <c:ptCount val="8"/>
                <c:pt idx="0">
                  <c:v>Ethiek en professionaliteit</c:v>
                </c:pt>
                <c:pt idx="1">
                  <c:v>Basis data vaardigheden</c:v>
                </c:pt>
                <c:pt idx="2">
                  <c:v>Statistiek</c:v>
                </c:pt>
                <c:pt idx="3">
                  <c:v>Kwantitatieve Analyse en Onderzoeksvaardigheden</c:v>
                </c:pt>
                <c:pt idx="4">
                  <c:v>Metrics en doelen</c:v>
                </c:pt>
                <c:pt idx="5">
                  <c:v>CX Theorie</c:v>
                </c:pt>
                <c:pt idx="6">
                  <c:v>CX Kennis toepassingsdomein </c:v>
                </c:pt>
                <c:pt idx="7">
                  <c:v>Bonusskill</c:v>
                </c:pt>
              </c:strCache>
            </c:strRef>
          </c:cat>
          <c:val>
            <c:numRef>
              <c:f>('Uitwerking (NIET BEWERKEN!!)'!$O$12,'Uitwerking (NIET BEWERKEN!!)'!$S$12,'Uitwerking (NIET BEWERKEN!!)'!$X$12,'Uitwerking (NIET BEWERKEN!!)'!$AC$12,'Uitwerking (NIET BEWERKEN!!)'!$AH$12,'Uitwerking (NIET BEWERKEN!!)'!$AP$12,'Uitwerking (NIET BEWERKEN!!)'!$AU$12,'Uitwerking (NIET BEWERKEN!!)'!$AX$12)</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D7B-43B3-A7BC-34EAA24306C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custT="1"/>
      <dgm:spPr/>
      <dgm:t>
        <a:bodyPr/>
        <a:lstStyle/>
        <a:p>
          <a:r>
            <a:rPr lang="nl-NL" sz="900"/>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custT="1"/>
      <dgm:spPr/>
      <dgm:t>
        <a:bodyPr/>
        <a:lstStyle/>
        <a:p>
          <a:r>
            <a:rPr lang="nl-NL" sz="900"/>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custT="1"/>
      <dgm:spPr/>
      <dgm:t>
        <a:bodyPr/>
        <a:lstStyle/>
        <a:p>
          <a:r>
            <a:rPr lang="nl-NL" sz="900"/>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custT="1"/>
      <dgm:spPr/>
      <dgm:t>
        <a:bodyPr/>
        <a:lstStyle/>
        <a:p>
          <a:r>
            <a:rPr lang="nl-NL" sz="900"/>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custT="1"/>
      <dgm:spPr/>
      <dgm:t>
        <a:bodyPr/>
        <a:lstStyle/>
        <a:p>
          <a:r>
            <a:rPr lang="nl-NL" sz="900"/>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D38A169C-73FA-404F-BBC1-E58D54FDBE12}">
      <dgm:prSet phldrT="[Tekst]" custT="1"/>
      <dgm:spPr/>
      <dgm:t>
        <a:bodyPr/>
        <a:lstStyle/>
        <a:p>
          <a:r>
            <a:rPr lang="nl-NL" sz="900"/>
            <a:t>Customer Journey Mapping</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D432DB11-412F-4D35-974F-D69F6D0B3FDA}">
      <dgm:prSet phldrT="[Tekst]" custT="1"/>
      <dgm:spPr/>
      <dgm:t>
        <a:bodyPr/>
        <a:lstStyle/>
        <a:p>
          <a:r>
            <a:rPr lang="nl-NL" sz="900"/>
            <a:t>Ethiek en professionaliteit</a:t>
          </a:r>
        </a:p>
      </dgm:t>
    </dgm:pt>
    <dgm:pt modelId="{18E4096D-0279-4B0D-9EA2-49664C0DCBCF}" type="parTrans" cxnId="{278649FD-1178-45A1-87B3-15E09DD30944}">
      <dgm:prSet/>
      <dgm:spPr/>
      <dgm:t>
        <a:bodyPr/>
        <a:lstStyle/>
        <a:p>
          <a:endParaRPr lang="nl-NL"/>
        </a:p>
      </dgm:t>
    </dgm:pt>
    <dgm:pt modelId="{6A582335-4BD6-4203-A79B-1B668066A74A}" type="sibTrans" cxnId="{278649FD-1178-45A1-87B3-15E09DD30944}">
      <dgm:prSet/>
      <dgm:spPr/>
      <dgm:t>
        <a:bodyPr/>
        <a:lstStyle/>
        <a:p>
          <a:endParaRPr lang="nl-NL"/>
        </a:p>
      </dgm:t>
    </dgm:pt>
    <dgm:pt modelId="{AD36A718-93CE-430C-B388-A3C63521F773}">
      <dgm:prSet phldrT="[Tekst]" custT="1"/>
      <dgm:spPr/>
      <dgm:t>
        <a:bodyPr/>
        <a:lstStyle/>
        <a:p>
          <a:r>
            <a:rPr lang="nl-NL" sz="900"/>
            <a:t>Basis data vaardigheden</a:t>
          </a:r>
        </a:p>
      </dgm:t>
    </dgm:pt>
    <dgm:pt modelId="{A1F66019-4974-4AE2-B934-0E1CE10895E5}" type="parTrans" cxnId="{76338E4E-34EF-47D7-B849-A5FAB39C6676}">
      <dgm:prSet/>
      <dgm:spPr/>
      <dgm:t>
        <a:bodyPr/>
        <a:lstStyle/>
        <a:p>
          <a:endParaRPr lang="nl-NL"/>
        </a:p>
      </dgm:t>
    </dgm:pt>
    <dgm:pt modelId="{AEDFE799-82DC-4F0F-B95C-232938BB20DB}" type="sibTrans" cxnId="{76338E4E-34EF-47D7-B849-A5FAB39C6676}">
      <dgm:prSet/>
      <dgm:spPr/>
      <dgm:t>
        <a:bodyPr/>
        <a:lstStyle/>
        <a:p>
          <a:endParaRPr lang="nl-NL"/>
        </a:p>
      </dgm:t>
    </dgm:pt>
    <dgm:pt modelId="{2A72ADA7-B59D-45EC-80FE-F3489AB58B53}">
      <dgm:prSet phldrT="[Tekst]" custT="1"/>
      <dgm:spPr/>
      <dgm:t>
        <a:bodyPr/>
        <a:lstStyle/>
        <a:p>
          <a:r>
            <a:rPr lang="nl-NL" sz="900"/>
            <a:t>Statistiek</a:t>
          </a:r>
        </a:p>
      </dgm:t>
    </dgm:pt>
    <dgm:pt modelId="{4336A49A-6BA6-4BE6-9DBD-2C0E49AEED4C}" type="parTrans" cxnId="{C85AE870-89A5-45D6-BCCF-A6E7693E5D9D}">
      <dgm:prSet/>
      <dgm:spPr/>
      <dgm:t>
        <a:bodyPr/>
        <a:lstStyle/>
        <a:p>
          <a:endParaRPr lang="nl-NL"/>
        </a:p>
      </dgm:t>
    </dgm:pt>
    <dgm:pt modelId="{B2005B3D-BB0D-4ED3-9F75-F0181D3D938F}" type="sibTrans" cxnId="{C85AE870-89A5-45D6-BCCF-A6E7693E5D9D}">
      <dgm:prSet/>
      <dgm:spPr/>
      <dgm:t>
        <a:bodyPr/>
        <a:lstStyle/>
        <a:p>
          <a:endParaRPr lang="nl-NL"/>
        </a:p>
      </dgm:t>
    </dgm:pt>
    <dgm:pt modelId="{934ADA9C-D899-4C8D-9419-FEE89DA1604A}">
      <dgm:prSet phldrT="[Tekst]" custT="1"/>
      <dgm:spPr/>
      <dgm:t>
        <a:bodyPr/>
        <a:lstStyle/>
        <a:p>
          <a:r>
            <a:rPr lang="nl-NL" sz="900"/>
            <a:t>Kwalitatieve analyse en onderzoeksvaardigheden</a:t>
          </a:r>
        </a:p>
      </dgm:t>
    </dgm:pt>
    <dgm:pt modelId="{B1494962-AFEF-4D46-BF89-F2CBD1DCBE95}" type="parTrans" cxnId="{4E2A9A0C-ED2E-4573-9819-CDFE088087F9}">
      <dgm:prSet/>
      <dgm:spPr/>
      <dgm:t>
        <a:bodyPr/>
        <a:lstStyle/>
        <a:p>
          <a:endParaRPr lang="nl-NL"/>
        </a:p>
      </dgm:t>
    </dgm:pt>
    <dgm:pt modelId="{FFAB65ED-7D8E-48F5-9691-49D1851A0F09}" type="sibTrans" cxnId="{4E2A9A0C-ED2E-4573-9819-CDFE088087F9}">
      <dgm:prSet/>
      <dgm:spPr/>
      <dgm:t>
        <a:bodyPr/>
        <a:lstStyle/>
        <a:p>
          <a:endParaRPr lang="nl-NL"/>
        </a:p>
      </dgm:t>
    </dgm:pt>
    <dgm:pt modelId="{AEA10931-67D5-417F-A76E-45AB9B1C6A81}">
      <dgm:prSet phldrT="[Tekst]" custT="1"/>
      <dgm:spPr/>
      <dgm:t>
        <a:bodyPr/>
        <a:lstStyle/>
        <a:p>
          <a:r>
            <a:rPr lang="nl-NL" sz="900"/>
            <a:t>Metrics en doelen</a:t>
          </a:r>
        </a:p>
      </dgm:t>
    </dgm:pt>
    <dgm:pt modelId="{B0B738C3-BB85-4251-950F-D0DA9CF36DB7}" type="parTrans" cxnId="{0C59FDDB-A7A2-439C-B82B-D292E1CE9119}">
      <dgm:prSet/>
      <dgm:spPr/>
      <dgm:t>
        <a:bodyPr/>
        <a:lstStyle/>
        <a:p>
          <a:endParaRPr lang="nl-NL"/>
        </a:p>
      </dgm:t>
    </dgm:pt>
    <dgm:pt modelId="{65284B25-B563-441E-AA50-34820D568949}" type="sibTrans" cxnId="{0C59FDDB-A7A2-439C-B82B-D292E1CE9119}">
      <dgm:prSet/>
      <dgm:spPr/>
      <dgm:t>
        <a:bodyPr/>
        <a:lstStyle/>
        <a:p>
          <a:endParaRPr lang="nl-NL"/>
        </a:p>
      </dgm:t>
    </dgm:pt>
    <dgm:pt modelId="{0C6DCA03-9E72-4D8D-8E20-6BB667ABB775}">
      <dgm:prSet phldrT="[Tekst]" custT="1"/>
      <dgm:spPr/>
      <dgm:t>
        <a:bodyPr/>
        <a:lstStyle/>
        <a:p>
          <a:r>
            <a:rPr lang="nl-NL" sz="900"/>
            <a:t>CX theorie</a:t>
          </a:r>
        </a:p>
      </dgm:t>
    </dgm:pt>
    <dgm:pt modelId="{D3577232-1435-4B93-84AB-031FE67F897E}" type="parTrans" cxnId="{08E782DB-08EE-4B03-9729-6ED55AB6702C}">
      <dgm:prSet/>
      <dgm:spPr/>
      <dgm:t>
        <a:bodyPr/>
        <a:lstStyle/>
        <a:p>
          <a:endParaRPr lang="nl-NL"/>
        </a:p>
      </dgm:t>
    </dgm:pt>
    <dgm:pt modelId="{B45ABF13-D591-49E0-8D1F-A5BA7E1EEEA7}" type="sibTrans" cxnId="{08E782DB-08EE-4B03-9729-6ED55AB6702C}">
      <dgm:prSet/>
      <dgm:spPr/>
      <dgm:t>
        <a:bodyPr/>
        <a:lstStyle/>
        <a:p>
          <a:endParaRPr lang="nl-NL"/>
        </a:p>
      </dgm:t>
    </dgm:pt>
    <dgm:pt modelId="{50343C18-7404-4E1E-A316-5D7BFDE3E852}">
      <dgm:prSet phldrT="[Tekst]" custT="1"/>
      <dgm:spPr/>
      <dgm:t>
        <a:bodyPr/>
        <a:lstStyle/>
        <a:p>
          <a:r>
            <a:rPr lang="nl-NL" sz="900"/>
            <a:t>CX toepassingsdomein</a:t>
          </a:r>
        </a:p>
      </dgm:t>
    </dgm:pt>
    <dgm:pt modelId="{A136BA88-9C81-4CB3-9DC2-1F60301DED38}" type="parTrans" cxnId="{4C1CA796-F64D-4137-9DBB-FFE5FB99CBCB}">
      <dgm:prSet/>
      <dgm:spPr/>
      <dgm:t>
        <a:bodyPr/>
        <a:lstStyle/>
        <a:p>
          <a:endParaRPr lang="nl-NL"/>
        </a:p>
      </dgm:t>
    </dgm:pt>
    <dgm:pt modelId="{DA4313F4-94D1-49D5-9385-ED67121043D0}" type="sibTrans" cxnId="{4C1CA796-F64D-4137-9DBB-FFE5FB99CBCB}">
      <dgm:prSet/>
      <dgm:spPr/>
      <dgm:t>
        <a:bodyPr/>
        <a:lstStyle/>
        <a:p>
          <a:endParaRPr lang="nl-NL"/>
        </a:p>
      </dgm:t>
    </dgm:pt>
    <dgm:pt modelId="{4EB609EB-A256-4ADE-A223-B75FFCB88452}">
      <dgm:prSet phldrT="[Tekst]" custT="1"/>
      <dgm:spPr/>
      <dgm:t>
        <a:bodyPr/>
        <a:lstStyle/>
        <a:p>
          <a:r>
            <a:rPr lang="nl-NL" sz="900"/>
            <a:t>Bonusskills</a:t>
          </a:r>
        </a:p>
      </dgm:t>
    </dgm:pt>
    <dgm:pt modelId="{8234BA1C-2965-449D-9116-FFE33298955C}" type="parTrans" cxnId="{8C5526D1-80ED-4CCE-9F0E-33839D9335FF}">
      <dgm:prSet/>
      <dgm:spPr/>
      <dgm:t>
        <a:bodyPr/>
        <a:lstStyle/>
        <a:p>
          <a:endParaRPr lang="nl-NL"/>
        </a:p>
      </dgm:t>
    </dgm:pt>
    <dgm:pt modelId="{9DB76EBE-5004-4208-8114-E7D3B9E7904E}" type="sibTrans" cxnId="{8C5526D1-80ED-4CCE-9F0E-33839D9335FF}">
      <dgm:prSet/>
      <dgm:spPr/>
      <dgm:t>
        <a:bodyPr/>
        <a:lstStyle/>
        <a:p>
          <a:endParaRPr lang="nl-NL"/>
        </a:p>
      </dgm:t>
    </dgm:pt>
    <dgm:pt modelId="{438D9939-C1F5-4FB8-A207-F0C7DE6CBA69}">
      <dgm:prSet phldrT="[Tekst]" custT="1"/>
      <dgm:spPr/>
      <dgm:t>
        <a:bodyPr/>
        <a:lstStyle/>
        <a:p>
          <a:r>
            <a:rPr lang="nl-NL" sz="900"/>
            <a:t>Usability testen</a:t>
          </a:r>
        </a:p>
      </dgm:t>
    </dgm:pt>
    <dgm:pt modelId="{A0A0EAD3-783C-4DF1-A92E-62289294F327}" type="parTrans" cxnId="{64DCCAD6-9212-4DFE-AB84-E4547408BBB6}">
      <dgm:prSet/>
      <dgm:spPr/>
      <dgm:t>
        <a:bodyPr/>
        <a:lstStyle/>
        <a:p>
          <a:endParaRPr lang="nl-NL"/>
        </a:p>
      </dgm:t>
    </dgm:pt>
    <dgm:pt modelId="{61BCE3C7-9560-4AEA-8DA8-239915B66C7E}" type="sibTrans" cxnId="{64DCCAD6-9212-4DFE-AB84-E4547408BBB6}">
      <dgm:prSet/>
      <dgm:spPr/>
      <dgm:t>
        <a:bodyPr/>
        <a:lstStyle/>
        <a:p>
          <a:endParaRPr lang="nl-NL"/>
        </a:p>
      </dgm:t>
    </dgm:pt>
    <dgm:pt modelId="{41DB7EAC-BDC5-40D6-99A8-D401555AD179}">
      <dgm:prSet phldrT="[Tekst]" custT="1"/>
      <dgm:spPr/>
      <dgm:t>
        <a:bodyPr/>
        <a:lstStyle/>
        <a:p>
          <a:r>
            <a:rPr lang="nl-NL" sz="900"/>
            <a:t>AB testen</a:t>
          </a:r>
        </a:p>
      </dgm:t>
    </dgm:pt>
    <dgm:pt modelId="{6DABEDB5-F660-448D-B3F0-BB8AAA9CDC58}" type="parTrans" cxnId="{BD605C74-7CF9-4E65-AD27-3000B21A608E}">
      <dgm:prSet/>
      <dgm:spPr/>
      <dgm:t>
        <a:bodyPr/>
        <a:lstStyle/>
        <a:p>
          <a:endParaRPr lang="nl-NL"/>
        </a:p>
      </dgm:t>
    </dgm:pt>
    <dgm:pt modelId="{3877FFD9-2918-4C76-AE3D-8409123FBDDD}" type="sibTrans" cxnId="{BD605C74-7CF9-4E65-AD27-3000B21A608E}">
      <dgm:prSet/>
      <dgm:spPr/>
      <dgm:t>
        <a:bodyPr/>
        <a:lstStyle/>
        <a:p>
          <a:endParaRPr lang="nl-NL"/>
        </a:p>
      </dgm:t>
    </dgm:pt>
    <dgm:pt modelId="{4432093D-A644-4827-AA6D-7067AC85A70A}">
      <dgm:prSet phldrT="[Tekst]" custT="1"/>
      <dgm:spPr/>
      <dgm:t>
        <a:bodyPr/>
        <a:lstStyle/>
        <a:p>
          <a:r>
            <a:rPr lang="nl-NL" sz="900"/>
            <a:t>Behavioral analytics</a:t>
          </a:r>
        </a:p>
      </dgm:t>
    </dgm:pt>
    <dgm:pt modelId="{A4F69265-93A9-4DC8-B476-3C54A78A0F87}" type="parTrans" cxnId="{98C015A3-EDAC-4BDD-8149-7A8917740FB6}">
      <dgm:prSet/>
      <dgm:spPr/>
      <dgm:t>
        <a:bodyPr/>
        <a:lstStyle/>
        <a:p>
          <a:endParaRPr lang="nl-NL"/>
        </a:p>
      </dgm:t>
    </dgm:pt>
    <dgm:pt modelId="{29DE9C12-7530-46C0-A1D0-9B97206287A0}" type="sibTrans" cxnId="{98C015A3-EDAC-4BDD-8149-7A8917740FB6}">
      <dgm:prSet/>
      <dgm:spPr/>
      <dgm:t>
        <a:bodyPr/>
        <a:lstStyle/>
        <a:p>
          <a:endParaRPr lang="nl-NL"/>
        </a:p>
      </dgm:t>
    </dgm:pt>
    <dgm:pt modelId="{8EA8A5B3-158A-46A2-BD3A-F3B57486ADAA}">
      <dgm:prSet phldrT="[Tekst]" custT="1"/>
      <dgm:spPr/>
      <dgm:t>
        <a:bodyPr/>
        <a:lstStyle/>
        <a:p>
          <a:r>
            <a:rPr lang="nl-NL" sz="900"/>
            <a:t>Marketing analytics</a:t>
          </a:r>
        </a:p>
      </dgm:t>
    </dgm:pt>
    <dgm:pt modelId="{6540D407-4028-474E-9544-BDCD7B8CE6C5}" type="parTrans" cxnId="{FB9EEF0D-5226-4D9D-9497-B58B195C2EF0}">
      <dgm:prSet/>
      <dgm:spPr/>
      <dgm:t>
        <a:bodyPr/>
        <a:lstStyle/>
        <a:p>
          <a:endParaRPr lang="nl-NL"/>
        </a:p>
      </dgm:t>
    </dgm:pt>
    <dgm:pt modelId="{058C431F-692E-413B-B576-35837BF524AA}" type="sibTrans" cxnId="{FB9EEF0D-5226-4D9D-9497-B58B195C2EF0}">
      <dgm:prSet/>
      <dgm:spPr/>
      <dgm:t>
        <a:bodyPr/>
        <a:lstStyle/>
        <a:p>
          <a:endParaRPr lang="nl-NL"/>
        </a:p>
      </dgm:t>
    </dgm:pt>
    <dgm:pt modelId="{13A36F88-2485-42F6-A3FC-D739D794920C}">
      <dgm:prSet phldrT="[Tekst]" custT="1"/>
      <dgm:spPr/>
      <dgm:t>
        <a:bodyPr/>
        <a:lstStyle/>
        <a:p>
          <a:r>
            <a:rPr lang="nl-NL" sz="900"/>
            <a:t>Session recordings</a:t>
          </a:r>
        </a:p>
      </dgm:t>
    </dgm:pt>
    <dgm:pt modelId="{4EDEC716-C282-4191-AF55-CFCFB1F8E9A4}" type="parTrans" cxnId="{CD380867-B426-407E-9E42-1A42391F040A}">
      <dgm:prSet/>
      <dgm:spPr/>
      <dgm:t>
        <a:bodyPr/>
        <a:lstStyle/>
        <a:p>
          <a:endParaRPr lang="nl-NL"/>
        </a:p>
      </dgm:t>
    </dgm:pt>
    <dgm:pt modelId="{AB522DCA-C53B-4B60-ACD6-A1FAF6BACEEB}" type="sibTrans" cxnId="{CD380867-B426-407E-9E42-1A42391F040A}">
      <dgm:prSet/>
      <dgm:spPr/>
      <dgm:t>
        <a:bodyPr/>
        <a:lstStyle/>
        <a:p>
          <a:endParaRPr lang="nl-NL"/>
        </a:p>
      </dgm:t>
    </dgm:pt>
    <dgm:pt modelId="{D411A1FC-339C-4AED-B06A-CCB1EF4A7CD3}">
      <dgm:prSet phldrT="[Tekst]" custT="1"/>
      <dgm:spPr/>
      <dgm:t>
        <a:bodyPr/>
        <a:lstStyle/>
        <a:p>
          <a:r>
            <a:rPr lang="nl-NL" sz="900"/>
            <a:t>Heatmaps &amp; scrollmaps</a:t>
          </a:r>
        </a:p>
      </dgm:t>
    </dgm:pt>
    <dgm:pt modelId="{AF1F3F01-116A-405F-8787-6DF48258E288}" type="parTrans" cxnId="{67C84A60-E026-4356-95F4-7C96EDBE6D0A}">
      <dgm:prSet/>
      <dgm:spPr/>
      <dgm:t>
        <a:bodyPr/>
        <a:lstStyle/>
        <a:p>
          <a:endParaRPr lang="nl-NL"/>
        </a:p>
      </dgm:t>
    </dgm:pt>
    <dgm:pt modelId="{C0225810-0023-4BB2-84AF-BABEF44A48C0}" type="sibTrans" cxnId="{67C84A60-E026-4356-95F4-7C96EDBE6D0A}">
      <dgm:prSet/>
      <dgm:spPr/>
      <dgm:t>
        <a:bodyPr/>
        <a:lstStyle/>
        <a:p>
          <a:endParaRPr lang="nl-NL"/>
        </a:p>
      </dgm:t>
    </dgm:pt>
    <dgm:pt modelId="{E8B27D1E-1ED3-409D-AC4F-669F5B2CDC18}">
      <dgm:prSet phldrT="[Tekst]" custT="1"/>
      <dgm:spPr/>
      <dgm:t>
        <a:bodyPr/>
        <a:lstStyle/>
        <a:p>
          <a:r>
            <a:rPr lang="nl-NL" sz="900"/>
            <a:t>Interviewen</a:t>
          </a:r>
        </a:p>
      </dgm:t>
    </dgm:pt>
    <dgm:pt modelId="{46CB104B-55EF-4A51-AC64-68885FC63ABE}" type="parTrans" cxnId="{CE0AFB95-B8CC-4AD5-A07D-E2A6265CA419}">
      <dgm:prSet/>
      <dgm:spPr/>
      <dgm:t>
        <a:bodyPr/>
        <a:lstStyle/>
        <a:p>
          <a:endParaRPr lang="nl-NL"/>
        </a:p>
      </dgm:t>
    </dgm:pt>
    <dgm:pt modelId="{55567566-D993-4863-8837-85C10A4BCEA2}" type="sibTrans" cxnId="{CE0AFB95-B8CC-4AD5-A07D-E2A6265CA419}">
      <dgm:prSet/>
      <dgm:spPr/>
      <dgm:t>
        <a:bodyPr/>
        <a:lstStyle/>
        <a:p>
          <a:endParaRPr lang="nl-NL"/>
        </a:p>
      </dgm:t>
    </dgm:pt>
    <dgm:pt modelId="{4908B1CE-1E13-41F3-AC11-B5A77DB5626A}">
      <dgm:prSet phldrT="[Tekst]" custT="1"/>
      <dgm:spPr/>
      <dgm:t>
        <a:bodyPr/>
        <a:lstStyle/>
        <a:p>
          <a:r>
            <a:rPr lang="nl-NL" sz="900"/>
            <a:t>Survey design</a:t>
          </a:r>
        </a:p>
      </dgm:t>
    </dgm:pt>
    <dgm:pt modelId="{6BBCFD51-EEFF-4FC3-B808-F3D33D98FACC}" type="parTrans" cxnId="{D3A408EA-CE47-43F0-85B0-490CCD9D2957}">
      <dgm:prSet/>
      <dgm:spPr/>
      <dgm:t>
        <a:bodyPr/>
        <a:lstStyle/>
        <a:p>
          <a:endParaRPr lang="nl-NL"/>
        </a:p>
      </dgm:t>
    </dgm:pt>
    <dgm:pt modelId="{90AAF411-650F-49AB-84C3-F88F32355E86}" type="sibTrans" cxnId="{D3A408EA-CE47-43F0-85B0-490CCD9D2957}">
      <dgm:prSet/>
      <dgm:spPr/>
      <dgm:t>
        <a:bodyPr/>
        <a:lstStyle/>
        <a:p>
          <a:endParaRPr lang="nl-NL"/>
        </a:p>
      </dgm:t>
    </dgm:pt>
    <dgm:pt modelId="{1CC776DD-EEFA-4565-91BF-9B7AD9CBC17D}">
      <dgm:prSet phldrT="[Tekst]" custT="1"/>
      <dgm:spPr/>
      <dgm:t>
        <a:bodyPr/>
        <a:lstStyle/>
        <a:p>
          <a:r>
            <a:rPr lang="nl-NL" sz="900"/>
            <a:t>SQL</a:t>
          </a:r>
        </a:p>
      </dgm:t>
    </dgm:pt>
    <dgm:pt modelId="{BC09C9FB-00F3-487A-A28F-C1126604E94C}" type="parTrans" cxnId="{00F92ACC-4823-4E0D-95F3-BEEFDC7629BC}">
      <dgm:prSet/>
      <dgm:spPr/>
      <dgm:t>
        <a:bodyPr/>
        <a:lstStyle/>
        <a:p>
          <a:endParaRPr lang="nl-NL"/>
        </a:p>
      </dgm:t>
    </dgm:pt>
    <dgm:pt modelId="{B41CACD4-437F-4C9E-AAB3-5E4F11D822B9}" type="sibTrans" cxnId="{00F92ACC-4823-4E0D-95F3-BEEFDC7629BC}">
      <dgm:prSet/>
      <dgm:spPr/>
      <dgm:t>
        <a:bodyPr/>
        <a:lstStyle/>
        <a:p>
          <a:endParaRPr lang="nl-NL"/>
        </a:p>
      </dgm:t>
    </dgm:pt>
    <dgm:pt modelId="{FED73D90-A231-45ED-9608-50DB3A310825}">
      <dgm:prSet phldrT="[Tekst]" custT="1"/>
      <dgm:spPr/>
      <dgm:t>
        <a:bodyPr/>
        <a:lstStyle/>
        <a:p>
          <a:r>
            <a:rPr lang="nl-NL" sz="900"/>
            <a:t>Python</a:t>
          </a:r>
        </a:p>
      </dgm:t>
    </dgm:pt>
    <dgm:pt modelId="{9714E755-7258-49A9-86E0-2BB94B33C6A3}" type="parTrans" cxnId="{F46BB1D8-B8A7-4372-B5E0-80B9E6AE26D8}">
      <dgm:prSet/>
      <dgm:spPr/>
      <dgm:t>
        <a:bodyPr/>
        <a:lstStyle/>
        <a:p>
          <a:endParaRPr lang="nl-NL"/>
        </a:p>
      </dgm:t>
    </dgm:pt>
    <dgm:pt modelId="{8459BC38-BE57-4A1F-8954-6DFDB6B43CE3}" type="sibTrans" cxnId="{F46BB1D8-B8A7-4372-B5E0-80B9E6AE26D8}">
      <dgm:prSet/>
      <dgm:spPr/>
      <dgm:t>
        <a:bodyPr/>
        <a:lstStyle/>
        <a:p>
          <a:endParaRPr lang="nl-NL"/>
        </a:p>
      </dgm:t>
    </dgm:pt>
    <dgm:pt modelId="{3B574CCD-63EB-4E5C-A38D-7AA05C571F3B}">
      <dgm:prSet phldrT="[Tekst]" custT="1"/>
      <dgm:spPr/>
      <dgm:t>
        <a:bodyPr/>
        <a:lstStyle/>
        <a:p>
          <a:r>
            <a:rPr lang="nl-NL" sz="900"/>
            <a:t>Javascript</a:t>
          </a:r>
        </a:p>
      </dgm:t>
    </dgm:pt>
    <dgm:pt modelId="{E3D17962-1BB9-40BF-A36B-BEEBC3E1DE31}" type="parTrans" cxnId="{5995BFFE-8AB2-43A6-86C3-1C23B66A9F14}">
      <dgm:prSet/>
      <dgm:spPr/>
      <dgm:t>
        <a:bodyPr/>
        <a:lstStyle/>
        <a:p>
          <a:endParaRPr lang="nl-NL"/>
        </a:p>
      </dgm:t>
    </dgm:pt>
    <dgm:pt modelId="{C02361AD-766D-4D85-8840-CEB6BDBD83F9}" type="sibTrans" cxnId="{5995BFFE-8AB2-43A6-86C3-1C23B66A9F14}">
      <dgm:prSet/>
      <dgm:spPr/>
      <dgm:t>
        <a:bodyPr/>
        <a:lstStyle/>
        <a:p>
          <a:endParaRPr lang="nl-NL"/>
        </a:p>
      </dgm:t>
    </dgm:pt>
    <dgm:pt modelId="{B823F78E-EDE4-45FB-920D-11EA719224AF}">
      <dgm:prSet phldrT="[Tekst]" custT="1"/>
      <dgm:spPr/>
      <dgm:t>
        <a:bodyPr/>
        <a:lstStyle/>
        <a:p>
          <a:r>
            <a:rPr lang="nl-NL" sz="900"/>
            <a:t>R</a:t>
          </a:r>
        </a:p>
      </dgm:t>
    </dgm:pt>
    <dgm:pt modelId="{49B1493B-57D3-4661-B76D-0EBC6476610C}" type="parTrans" cxnId="{73E1E5A2-4260-4937-A5C7-669E2719F280}">
      <dgm:prSet/>
      <dgm:spPr/>
      <dgm:t>
        <a:bodyPr/>
        <a:lstStyle/>
        <a:p>
          <a:endParaRPr lang="nl-NL"/>
        </a:p>
      </dgm:t>
    </dgm:pt>
    <dgm:pt modelId="{80A7048E-4626-4715-8FD7-B2B505C532BA}" type="sibTrans" cxnId="{73E1E5A2-4260-4937-A5C7-669E2719F280}">
      <dgm:prSet/>
      <dgm:spPr/>
      <dgm:t>
        <a:bodyPr/>
        <a:lstStyle/>
        <a:p>
          <a:endParaRPr lang="nl-NL"/>
        </a:p>
      </dgm:t>
    </dgm:pt>
    <dgm:pt modelId="{122C84AD-6224-411C-BE7E-74C2C2FD2E1A}">
      <dgm:prSet phldrT="[Tekst]" custT="1"/>
      <dgm:spPr/>
      <dgm:t>
        <a:bodyPr/>
        <a:lstStyle/>
        <a:p>
          <a:r>
            <a:rPr lang="nl-NL" sz="900"/>
            <a:t>HTML/ CSS</a:t>
          </a:r>
        </a:p>
      </dgm:t>
    </dgm:pt>
    <dgm:pt modelId="{102DA3CC-F117-4032-9ABC-F5264B7C2305}" type="parTrans" cxnId="{13881F3D-6468-48C6-9228-A0738DB3F976}">
      <dgm:prSet/>
      <dgm:spPr/>
      <dgm:t>
        <a:bodyPr/>
        <a:lstStyle/>
        <a:p>
          <a:endParaRPr lang="nl-NL"/>
        </a:p>
      </dgm:t>
    </dgm:pt>
    <dgm:pt modelId="{5C06CB73-1F46-486C-AA6A-5AB7F3CD2E3F}" type="sibTrans" cxnId="{13881F3D-6468-48C6-9228-A0738DB3F976}">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43">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43">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43">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43">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43">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43">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851ADC3A-49E7-4E47-85D5-1526996F9E82}" type="pres">
      <dgm:prSet presAssocID="{D432DB11-412F-4D35-974F-D69F6D0B3FDA}" presName="childNode" presStyleLbl="node1" presStyleIdx="6" presStyleCnt="43">
        <dgm:presLayoutVars>
          <dgm:bulletEnabled val="1"/>
        </dgm:presLayoutVars>
      </dgm:prSet>
      <dgm:spPr/>
    </dgm:pt>
    <dgm:pt modelId="{F642ADEF-7912-4FAB-96A5-F1EF877DDD81}" type="pres">
      <dgm:prSet presAssocID="{D432DB11-412F-4D35-974F-D69F6D0B3FDA}" presName="aSpace2" presStyleCnt="0"/>
      <dgm:spPr/>
    </dgm:pt>
    <dgm:pt modelId="{10F88D14-C566-4EFF-B18E-BA4F68CFFBB9}" type="pres">
      <dgm:prSet presAssocID="{AD36A718-93CE-430C-B388-A3C63521F773}" presName="childNode" presStyleLbl="node1" presStyleIdx="7" presStyleCnt="43">
        <dgm:presLayoutVars>
          <dgm:bulletEnabled val="1"/>
        </dgm:presLayoutVars>
      </dgm:prSet>
      <dgm:spPr/>
    </dgm:pt>
    <dgm:pt modelId="{F801D632-B2AB-4C80-9B03-A252128DC279}" type="pres">
      <dgm:prSet presAssocID="{AD36A718-93CE-430C-B388-A3C63521F773}" presName="aSpace2" presStyleCnt="0"/>
      <dgm:spPr/>
    </dgm:pt>
    <dgm:pt modelId="{9CE9E257-D948-4ED8-B93B-3F31494CC27F}" type="pres">
      <dgm:prSet presAssocID="{2A72ADA7-B59D-45EC-80FE-F3489AB58B53}" presName="childNode" presStyleLbl="node1" presStyleIdx="8" presStyleCnt="43">
        <dgm:presLayoutVars>
          <dgm:bulletEnabled val="1"/>
        </dgm:presLayoutVars>
      </dgm:prSet>
      <dgm:spPr/>
    </dgm:pt>
    <dgm:pt modelId="{8B2FBECB-0EDB-4509-946F-1DC0E9661980}" type="pres">
      <dgm:prSet presAssocID="{2A72ADA7-B59D-45EC-80FE-F3489AB58B53}" presName="aSpace2" presStyleCnt="0"/>
      <dgm:spPr/>
    </dgm:pt>
    <dgm:pt modelId="{67114D93-E06F-4DAA-BCFB-6E5088AA4903}" type="pres">
      <dgm:prSet presAssocID="{934ADA9C-D899-4C8D-9419-FEE89DA1604A}" presName="childNode" presStyleLbl="node1" presStyleIdx="9" presStyleCnt="43">
        <dgm:presLayoutVars>
          <dgm:bulletEnabled val="1"/>
        </dgm:presLayoutVars>
      </dgm:prSet>
      <dgm:spPr/>
    </dgm:pt>
    <dgm:pt modelId="{EFE7404F-70C7-4633-9057-3F324B62F2F9}" type="pres">
      <dgm:prSet presAssocID="{934ADA9C-D899-4C8D-9419-FEE89DA1604A}" presName="aSpace2" presStyleCnt="0"/>
      <dgm:spPr/>
    </dgm:pt>
    <dgm:pt modelId="{C50B8762-916F-458A-91A1-E49668139917}" type="pres">
      <dgm:prSet presAssocID="{AEA10931-67D5-417F-A76E-45AB9B1C6A81}" presName="childNode" presStyleLbl="node1" presStyleIdx="10" presStyleCnt="43">
        <dgm:presLayoutVars>
          <dgm:bulletEnabled val="1"/>
        </dgm:presLayoutVars>
      </dgm:prSet>
      <dgm:spPr/>
    </dgm:pt>
    <dgm:pt modelId="{D04DAC56-5217-4255-B900-13027F3F77E4}" type="pres">
      <dgm:prSet presAssocID="{AEA10931-67D5-417F-A76E-45AB9B1C6A81}" presName="aSpace2" presStyleCnt="0"/>
      <dgm:spPr/>
    </dgm:pt>
    <dgm:pt modelId="{B80C5998-036C-422A-A67B-3EFA153DC555}" type="pres">
      <dgm:prSet presAssocID="{0C6DCA03-9E72-4D8D-8E20-6BB667ABB775}" presName="childNode" presStyleLbl="node1" presStyleIdx="11" presStyleCnt="43">
        <dgm:presLayoutVars>
          <dgm:bulletEnabled val="1"/>
        </dgm:presLayoutVars>
      </dgm:prSet>
      <dgm:spPr/>
    </dgm:pt>
    <dgm:pt modelId="{3B3F4C04-5C10-43C4-A818-4800CC678596}" type="pres">
      <dgm:prSet presAssocID="{0C6DCA03-9E72-4D8D-8E20-6BB667ABB775}" presName="aSpace2" presStyleCnt="0"/>
      <dgm:spPr/>
    </dgm:pt>
    <dgm:pt modelId="{253B22F4-8A1D-4683-A75D-F533A591C1F5}" type="pres">
      <dgm:prSet presAssocID="{50343C18-7404-4E1E-A316-5D7BFDE3E852}" presName="childNode" presStyleLbl="node1" presStyleIdx="12" presStyleCnt="43">
        <dgm:presLayoutVars>
          <dgm:bulletEnabled val="1"/>
        </dgm:presLayoutVars>
      </dgm:prSet>
      <dgm:spPr/>
    </dgm:pt>
    <dgm:pt modelId="{498BE8EE-D893-4411-B2FB-2F730B789131}" type="pres">
      <dgm:prSet presAssocID="{50343C18-7404-4E1E-A316-5D7BFDE3E852}" presName="aSpace2" presStyleCnt="0"/>
      <dgm:spPr/>
    </dgm:pt>
    <dgm:pt modelId="{C99F83CB-8249-4820-A5BE-6174F687C561}" type="pres">
      <dgm:prSet presAssocID="{4EB609EB-A256-4ADE-A223-B75FFCB88452}" presName="childNode" presStyleLbl="node1" presStyleIdx="13" presStyleCnt="43">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4" presStyleCnt="43">
        <dgm:presLayoutVars>
          <dgm:bulletEnabled val="1"/>
        </dgm:presLayoutVars>
      </dgm:prSet>
      <dgm:spPr/>
    </dgm:pt>
    <dgm:pt modelId="{DF1C0E16-9921-47F0-A6F2-1E91F143E5F6}" type="pres">
      <dgm:prSet presAssocID="{D38A169C-73FA-404F-BBC1-E58D54FDBE12}" presName="aSpace2" presStyleCnt="0"/>
      <dgm:spPr/>
    </dgm:pt>
    <dgm:pt modelId="{3F43A9C7-A3FB-4D08-965C-D2FF2D56DEF9}" type="pres">
      <dgm:prSet presAssocID="{438D9939-C1F5-4FB8-A207-F0C7DE6CBA69}" presName="childNode" presStyleLbl="node1" presStyleIdx="15" presStyleCnt="43">
        <dgm:presLayoutVars>
          <dgm:bulletEnabled val="1"/>
        </dgm:presLayoutVars>
      </dgm:prSet>
      <dgm:spPr/>
    </dgm:pt>
    <dgm:pt modelId="{990D9734-B5DC-4C37-8167-62C50ED668C3}" type="pres">
      <dgm:prSet presAssocID="{438D9939-C1F5-4FB8-A207-F0C7DE6CBA69}" presName="aSpace2" presStyleCnt="0"/>
      <dgm:spPr/>
    </dgm:pt>
    <dgm:pt modelId="{C2D31149-D845-48F1-A98F-89A487B49698}" type="pres">
      <dgm:prSet presAssocID="{41DB7EAC-BDC5-40D6-99A8-D401555AD179}" presName="childNode" presStyleLbl="node1" presStyleIdx="16" presStyleCnt="43">
        <dgm:presLayoutVars>
          <dgm:bulletEnabled val="1"/>
        </dgm:presLayoutVars>
      </dgm:prSet>
      <dgm:spPr/>
    </dgm:pt>
    <dgm:pt modelId="{50D82E75-2A28-45B1-AC5E-406ED42D34DA}" type="pres">
      <dgm:prSet presAssocID="{41DB7EAC-BDC5-40D6-99A8-D401555AD179}" presName="aSpace2" presStyleCnt="0"/>
      <dgm:spPr/>
    </dgm:pt>
    <dgm:pt modelId="{307F1E4F-0554-4C37-A560-635EFC728D02}" type="pres">
      <dgm:prSet presAssocID="{4432093D-A644-4827-AA6D-7067AC85A70A}" presName="childNode" presStyleLbl="node1" presStyleIdx="17" presStyleCnt="43">
        <dgm:presLayoutVars>
          <dgm:bulletEnabled val="1"/>
        </dgm:presLayoutVars>
      </dgm:prSet>
      <dgm:spPr/>
    </dgm:pt>
    <dgm:pt modelId="{01098CA1-3D93-4027-BB8F-2F32626E5743}" type="pres">
      <dgm:prSet presAssocID="{4432093D-A644-4827-AA6D-7067AC85A70A}" presName="aSpace2" presStyleCnt="0"/>
      <dgm:spPr/>
    </dgm:pt>
    <dgm:pt modelId="{3D1E60B4-E52B-42E4-8458-6ACEB0512CD6}" type="pres">
      <dgm:prSet presAssocID="{8EA8A5B3-158A-46A2-BD3A-F3B57486ADAA}" presName="childNode" presStyleLbl="node1" presStyleIdx="18" presStyleCnt="43">
        <dgm:presLayoutVars>
          <dgm:bulletEnabled val="1"/>
        </dgm:presLayoutVars>
      </dgm:prSet>
      <dgm:spPr/>
    </dgm:pt>
    <dgm:pt modelId="{7CD52AD0-9ED4-48C8-8278-5C1DFF87B8B2}" type="pres">
      <dgm:prSet presAssocID="{8EA8A5B3-158A-46A2-BD3A-F3B57486ADAA}" presName="aSpace2" presStyleCnt="0"/>
      <dgm:spPr/>
    </dgm:pt>
    <dgm:pt modelId="{8C2946A0-576E-4808-9C92-02BFFF0C7D6F}" type="pres">
      <dgm:prSet presAssocID="{13A36F88-2485-42F6-A3FC-D739D794920C}" presName="childNode" presStyleLbl="node1" presStyleIdx="19" presStyleCnt="43">
        <dgm:presLayoutVars>
          <dgm:bulletEnabled val="1"/>
        </dgm:presLayoutVars>
      </dgm:prSet>
      <dgm:spPr/>
    </dgm:pt>
    <dgm:pt modelId="{A4848201-0A73-4ACD-8887-C345506F6A64}" type="pres">
      <dgm:prSet presAssocID="{13A36F88-2485-42F6-A3FC-D739D794920C}" presName="aSpace2" presStyleCnt="0"/>
      <dgm:spPr/>
    </dgm:pt>
    <dgm:pt modelId="{91059573-C0DD-4A23-8D59-F5A921FF13B2}" type="pres">
      <dgm:prSet presAssocID="{D411A1FC-339C-4AED-B06A-CCB1EF4A7CD3}" presName="childNode" presStyleLbl="node1" presStyleIdx="20" presStyleCnt="43">
        <dgm:presLayoutVars>
          <dgm:bulletEnabled val="1"/>
        </dgm:presLayoutVars>
      </dgm:prSet>
      <dgm:spPr/>
    </dgm:pt>
    <dgm:pt modelId="{5404AF4D-4CB9-4A16-BECC-35CCBB601BBF}" type="pres">
      <dgm:prSet presAssocID="{D411A1FC-339C-4AED-B06A-CCB1EF4A7CD3}" presName="aSpace2" presStyleCnt="0"/>
      <dgm:spPr/>
    </dgm:pt>
    <dgm:pt modelId="{14016185-EE9F-4C64-9998-4EC5312A4113}" type="pres">
      <dgm:prSet presAssocID="{E8B27D1E-1ED3-409D-AC4F-669F5B2CDC18}" presName="childNode" presStyleLbl="node1" presStyleIdx="21" presStyleCnt="43">
        <dgm:presLayoutVars>
          <dgm:bulletEnabled val="1"/>
        </dgm:presLayoutVars>
      </dgm:prSet>
      <dgm:spPr/>
    </dgm:pt>
    <dgm:pt modelId="{1C840F3E-50CB-45CC-9E9F-1E96428A0ACE}" type="pres">
      <dgm:prSet presAssocID="{E8B27D1E-1ED3-409D-AC4F-669F5B2CDC18}" presName="aSpace2" presStyleCnt="0"/>
      <dgm:spPr/>
    </dgm:pt>
    <dgm:pt modelId="{8E2F0041-E7A9-4A20-910C-CBEDC8B777CC}" type="pres">
      <dgm:prSet presAssocID="{4908B1CE-1E13-41F3-AC11-B5A77DB5626A}" presName="childNode" presStyleLbl="node1" presStyleIdx="22" presStyleCnt="43">
        <dgm:presLayoutVars>
          <dgm:bulletEnabled val="1"/>
        </dgm:presLayoutVars>
      </dgm:prSet>
      <dgm:spPr/>
    </dgm:pt>
    <dgm:pt modelId="{50312EBE-AD4B-48DB-852A-66670AB2A445}" type="pres">
      <dgm:prSet presAssocID="{4908B1CE-1E13-41F3-AC11-B5A77DB5626A}" presName="aSpace2" presStyleCnt="0"/>
      <dgm:spPr/>
    </dgm:pt>
    <dgm:pt modelId="{38C7B200-636A-4821-8B86-81A7AD31BC87}" type="pres">
      <dgm:prSet presAssocID="{1CC776DD-EEFA-4565-91BF-9B7AD9CBC17D}" presName="childNode" presStyleLbl="node1" presStyleIdx="23" presStyleCnt="43">
        <dgm:presLayoutVars>
          <dgm:bulletEnabled val="1"/>
        </dgm:presLayoutVars>
      </dgm:prSet>
      <dgm:spPr/>
    </dgm:pt>
    <dgm:pt modelId="{AF7C44FF-884C-4817-BFAA-185074F6D3C4}" type="pres">
      <dgm:prSet presAssocID="{1CC776DD-EEFA-4565-91BF-9B7AD9CBC17D}" presName="aSpace2" presStyleCnt="0"/>
      <dgm:spPr/>
    </dgm:pt>
    <dgm:pt modelId="{57100ECE-9B3C-4CC3-A9C1-48AD6F34D07B}" type="pres">
      <dgm:prSet presAssocID="{FED73D90-A231-45ED-9608-50DB3A310825}" presName="childNode" presStyleLbl="node1" presStyleIdx="24" presStyleCnt="43">
        <dgm:presLayoutVars>
          <dgm:bulletEnabled val="1"/>
        </dgm:presLayoutVars>
      </dgm:prSet>
      <dgm:spPr/>
    </dgm:pt>
    <dgm:pt modelId="{163D4008-88A0-4245-8B4E-E4DCAA81960D}" type="pres">
      <dgm:prSet presAssocID="{FED73D90-A231-45ED-9608-50DB3A310825}" presName="aSpace2" presStyleCnt="0"/>
      <dgm:spPr/>
    </dgm:pt>
    <dgm:pt modelId="{6E74EA93-ADBE-4F7A-B808-B9FC1E99F407}" type="pres">
      <dgm:prSet presAssocID="{3B574CCD-63EB-4E5C-A38D-7AA05C571F3B}" presName="childNode" presStyleLbl="node1" presStyleIdx="25" presStyleCnt="43">
        <dgm:presLayoutVars>
          <dgm:bulletEnabled val="1"/>
        </dgm:presLayoutVars>
      </dgm:prSet>
      <dgm:spPr/>
    </dgm:pt>
    <dgm:pt modelId="{05C635B4-C903-4E65-AA2C-F4B1BC918E30}" type="pres">
      <dgm:prSet presAssocID="{3B574CCD-63EB-4E5C-A38D-7AA05C571F3B}" presName="aSpace2" presStyleCnt="0"/>
      <dgm:spPr/>
    </dgm:pt>
    <dgm:pt modelId="{67271954-A6BD-40EC-BD45-3A2CBE7B6109}" type="pres">
      <dgm:prSet presAssocID="{B823F78E-EDE4-45FB-920D-11EA719224AF}" presName="childNode" presStyleLbl="node1" presStyleIdx="26" presStyleCnt="43">
        <dgm:presLayoutVars>
          <dgm:bulletEnabled val="1"/>
        </dgm:presLayoutVars>
      </dgm:prSet>
      <dgm:spPr/>
    </dgm:pt>
    <dgm:pt modelId="{B6CC2937-D91B-4C70-AEA4-BB410A6F4608}" type="pres">
      <dgm:prSet presAssocID="{B823F78E-EDE4-45FB-920D-11EA719224AF}" presName="aSpace2" presStyleCnt="0"/>
      <dgm:spPr/>
    </dgm:pt>
    <dgm:pt modelId="{A0625715-5C06-476B-97BA-6A2EC0BDF26A}" type="pres">
      <dgm:prSet presAssocID="{122C84AD-6224-411C-BE7E-74C2C2FD2E1A}" presName="childNode" presStyleLbl="node1" presStyleIdx="27" presStyleCnt="43">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28" presStyleCnt="43">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29" presStyleCnt="43">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30" presStyleCnt="43">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31" presStyleCnt="43">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32" presStyleCnt="43">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33" presStyleCnt="43">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34" presStyleCnt="43">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35" presStyleCnt="43">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36" presStyleCnt="43">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37" presStyleCnt="43">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38" presStyleCnt="43">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39" presStyleCnt="43">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40" presStyleCnt="43">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41" presStyleCnt="43">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42" presStyleCnt="43">
        <dgm:presLayoutVars>
          <dgm:bulletEnabled val="1"/>
        </dgm:presLayoutVars>
      </dgm:prSet>
      <dgm:spPr/>
    </dgm:pt>
  </dgm:ptLst>
  <dgm:cxnLst>
    <dgm:cxn modelId="{B7C60202-F005-4BB4-8F12-B518D8ABBBEF}" type="presOf" srcId="{41DB7EAC-BDC5-40D6-99A8-D401555AD179}" destId="{C2D31149-D845-48F1-A98F-89A487B49698}" srcOrd="0" destOrd="0" presId="urn:microsoft.com/office/officeart/2005/8/layout/lProcess2"/>
    <dgm:cxn modelId="{9AA6C102-B33A-45C3-AE7D-4BCB09515111}" srcId="{7ED69BD0-5C46-430C-BD11-1675B78445AF}" destId="{2E51DF25-B7C0-43DA-ADCE-0B6DAA3E9F7B}" srcOrd="3" destOrd="0" parTransId="{060E53C2-706B-40E2-B6B1-DC5694082B1A}" sibTransId="{54C986C0-7254-4D77-8EF8-B2E27153E9C6}"/>
    <dgm:cxn modelId="{4E2A9A0C-ED2E-4573-9819-CDFE088087F9}" srcId="{71C93146-8DBD-47BA-9B89-8D2FF25B6FDE}" destId="{934ADA9C-D899-4C8D-9419-FEE89DA1604A}" srcOrd="3" destOrd="0" parTransId="{B1494962-AFEF-4D46-BF89-F2CBD1DCBE95}" sibTransId="{FFAB65ED-7D8E-48F5-9691-49D1851A0F09}"/>
    <dgm:cxn modelId="{FB9EEF0D-5226-4D9D-9497-B58B195C2EF0}" srcId="{CB339438-8F81-4836-B0D6-39E445779B2D}" destId="{8EA8A5B3-158A-46A2-BD3A-F3B57486ADAA}" srcOrd="4" destOrd="0" parTransId="{6540D407-4028-474E-9544-BDCD7B8CE6C5}" sibTransId="{058C431F-692E-413B-B576-35837BF524AA}"/>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A2F41B12-ED5F-40BC-90C2-E6477BBF0D18}" type="presOf" srcId="{13A36F88-2485-42F6-A3FC-D739D794920C}" destId="{8C2946A0-576E-4808-9C92-02BFFF0C7D6F}"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B8F1529-5560-4A85-8A74-0FDA48CD3851}" type="presOf" srcId="{E8B27D1E-1ED3-409D-AC4F-669F5B2CDC18}" destId="{14016185-EE9F-4C64-9998-4EC5312A4113}"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F98CF539-18FD-4282-AB31-0B3F23368CC9}" type="presOf" srcId="{2A72ADA7-B59D-45EC-80FE-F3489AB58B53}" destId="{9CE9E257-D948-4ED8-B93B-3F31494CC27F}" srcOrd="0" destOrd="0" presId="urn:microsoft.com/office/officeart/2005/8/layout/lProcess2"/>
    <dgm:cxn modelId="{A91C153A-AAE1-478B-8F28-DD6597A354F0}" srcId="{39F506DE-50F1-49BE-9ED2-88EFDAE6F0E1}" destId="{451149D5-FEDA-4765-B600-5039ABB58E53}" srcOrd="3" destOrd="0" parTransId="{4E2281CA-A78E-45B2-B336-A5EC6E0D7E46}" sibTransId="{9902A7BB-1925-42EB-BB58-87F6AD6E80B5}"/>
    <dgm:cxn modelId="{13881F3D-6468-48C6-9228-A0738DB3F976}" srcId="{CB339438-8F81-4836-B0D6-39E445779B2D}" destId="{122C84AD-6224-411C-BE7E-74C2C2FD2E1A}" srcOrd="13" destOrd="0" parTransId="{102DA3CC-F117-4032-9ABC-F5264B7C2305}" sibTransId="{5C06CB73-1F46-486C-AA6A-5AB7F3CD2E3F}"/>
    <dgm:cxn modelId="{12BC693D-0B61-4DD5-9951-D069F37E2097}" type="presOf" srcId="{451149D5-FEDA-4765-B600-5039ABB58E53}" destId="{9821E4E8-E247-4525-A9DD-43D8B524714D}"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A6798840-C33B-42D5-B59E-12A36CD0D8C9}" type="presOf" srcId="{50343C18-7404-4E1E-A316-5D7BFDE3E852}" destId="{253B22F4-8A1D-4683-A75D-F533A591C1F5}" srcOrd="0" destOrd="0" presId="urn:microsoft.com/office/officeart/2005/8/layout/lProcess2"/>
    <dgm:cxn modelId="{8D1F1E5B-2BD4-4391-85BE-10890E9AAFD6}" type="presOf" srcId="{FED73D90-A231-45ED-9608-50DB3A310825}" destId="{57100ECE-9B3C-4CC3-A9C1-48AD6F34D07B}"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67C84A60-E026-4356-95F4-7C96EDBE6D0A}" srcId="{CB339438-8F81-4836-B0D6-39E445779B2D}" destId="{D411A1FC-339C-4AED-B06A-CCB1EF4A7CD3}" srcOrd="6" destOrd="0" parTransId="{AF1F3F01-116A-405F-8787-6DF48258E288}" sibTransId="{C0225810-0023-4BB2-84AF-BABEF44A48C0}"/>
    <dgm:cxn modelId="{ED7DF260-3958-4453-94DC-9FE9FCA20AB2}" type="presOf" srcId="{A7DDA4F1-B40B-46B4-B746-EA89906A2FB4}" destId="{66D2E35F-6AA8-4674-9525-32D6D3B769C9}" srcOrd="0" destOrd="0" presId="urn:microsoft.com/office/officeart/2005/8/layout/lProcess2"/>
    <dgm:cxn modelId="{BA6CDC42-F773-44A9-B03F-5C3594A014AB}" type="presOf" srcId="{934ADA9C-D899-4C8D-9419-FEE89DA1604A}" destId="{67114D93-E06F-4DAA-BCFB-6E5088AA4903}" srcOrd="0" destOrd="0" presId="urn:microsoft.com/office/officeart/2005/8/layout/lProcess2"/>
    <dgm:cxn modelId="{EB626043-37BD-4119-B46A-8BE38CCA94C5}" type="presOf" srcId="{8EA8A5B3-158A-46A2-BD3A-F3B57486ADAA}" destId="{3D1E60B4-E52B-42E4-8458-6ACEB0512CD6}" srcOrd="0" destOrd="0" presId="urn:microsoft.com/office/officeart/2005/8/layout/lProcess2"/>
    <dgm:cxn modelId="{8CEE0044-0E5D-4790-8FFA-1DD283F23C5B}" type="presOf" srcId="{D432DB11-412F-4D35-974F-D69F6D0B3FDA}" destId="{851ADC3A-49E7-4E47-85D5-1526996F9E82}" srcOrd="0" destOrd="0" presId="urn:microsoft.com/office/officeart/2005/8/layout/lProcess2"/>
    <dgm:cxn modelId="{3C0AD464-02F9-447E-A6D3-18CA9A9E3E97}" type="presOf" srcId="{E4B92491-EA9A-4D22-9CF8-82866D9BC210}" destId="{D9D4FC23-0730-4C6A-92D3-55905B566BDA}" srcOrd="0" destOrd="0" presId="urn:microsoft.com/office/officeart/2005/8/layout/lProcess2"/>
    <dgm:cxn modelId="{15339C65-5093-4E80-B789-8EB2F9942F10}" type="presOf" srcId="{B823F78E-EDE4-45FB-920D-11EA719224AF}" destId="{67271954-A6BD-40EC-BD45-3A2CBE7B6109}" srcOrd="0" destOrd="0" presId="urn:microsoft.com/office/officeart/2005/8/layout/lProcess2"/>
    <dgm:cxn modelId="{CD380867-B426-407E-9E42-1A42391F040A}" srcId="{CB339438-8F81-4836-B0D6-39E445779B2D}" destId="{13A36F88-2485-42F6-A3FC-D739D794920C}" srcOrd="5" destOrd="0" parTransId="{4EDEC716-C282-4191-AF55-CFCFB1F8E9A4}" sibTransId="{AB522DCA-C53B-4B60-ACD6-A1FAF6BACEEB}"/>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76338E4E-34EF-47D7-B849-A5FAB39C6676}" srcId="{71C93146-8DBD-47BA-9B89-8D2FF25B6FDE}" destId="{AD36A718-93CE-430C-B388-A3C63521F773}" srcOrd="1" destOrd="0" parTransId="{A1F66019-4974-4AE2-B934-0E1CE10895E5}" sibTransId="{AEDFE799-82DC-4F0F-B95C-232938BB20DB}"/>
    <dgm:cxn modelId="{C85AE870-89A5-45D6-BCCF-A6E7693E5D9D}" srcId="{71C93146-8DBD-47BA-9B89-8D2FF25B6FDE}" destId="{2A72ADA7-B59D-45EC-80FE-F3489AB58B53}" srcOrd="2" destOrd="0" parTransId="{4336A49A-6BA6-4BE6-9DBD-2C0E49AEED4C}" sibTransId="{B2005B3D-BB0D-4ED3-9F75-F0181D3D938F}"/>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BD605C74-7CF9-4E65-AD27-3000B21A608E}" srcId="{CB339438-8F81-4836-B0D6-39E445779B2D}" destId="{41DB7EAC-BDC5-40D6-99A8-D401555AD179}" srcOrd="2" destOrd="0" parTransId="{6DABEDB5-F660-448D-B3F0-BB8AAA9CDC58}" sibTransId="{3877FFD9-2918-4C76-AE3D-8409123FBDD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69457094-E3E0-4F50-8727-DA40A9509F4F}" type="presOf" srcId="{122C84AD-6224-411C-BE7E-74C2C2FD2E1A}" destId="{A0625715-5C06-476B-97BA-6A2EC0BDF26A}"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CE0AFB95-B8CC-4AD5-A07D-E2A6265CA419}" srcId="{CB339438-8F81-4836-B0D6-39E445779B2D}" destId="{E8B27D1E-1ED3-409D-AC4F-669F5B2CDC18}" srcOrd="7" destOrd="0" parTransId="{46CB104B-55EF-4A51-AC64-68885FC63ABE}" sibTransId="{55567566-D993-4863-8837-85C10A4BCEA2}"/>
    <dgm:cxn modelId="{4C1CA796-F64D-4137-9DBB-FFE5FB99CBCB}" srcId="{71C93146-8DBD-47BA-9B89-8D2FF25B6FDE}" destId="{50343C18-7404-4E1E-A316-5D7BFDE3E852}" srcOrd="6" destOrd="0" parTransId="{A136BA88-9C81-4CB3-9DC2-1F60301DED38}" sibTransId="{DA4313F4-94D1-49D5-9385-ED67121043D0}"/>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984BB49C-7C46-481D-9F89-17EB65E33682}" type="presOf" srcId="{AEA10931-67D5-417F-A76E-45AB9B1C6A81}" destId="{C50B8762-916F-458A-91A1-E49668139917}" srcOrd="0" destOrd="0" presId="urn:microsoft.com/office/officeart/2005/8/layout/lProcess2"/>
    <dgm:cxn modelId="{4EBFBE9F-C2CE-485E-A43D-3F16F305CAE4}" type="presOf" srcId="{AD36A718-93CE-430C-B388-A3C63521F773}" destId="{10F88D14-C566-4EFF-B18E-BA4F68CFFBB9}" srcOrd="0" destOrd="0" presId="urn:microsoft.com/office/officeart/2005/8/layout/lProcess2"/>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73E1E5A2-4260-4937-A5C7-669E2719F280}" srcId="{CB339438-8F81-4836-B0D6-39E445779B2D}" destId="{B823F78E-EDE4-45FB-920D-11EA719224AF}" srcOrd="12" destOrd="0" parTransId="{49B1493B-57D3-4661-B76D-0EBC6476610C}" sibTransId="{80A7048E-4626-4715-8FD7-B2B505C532BA}"/>
    <dgm:cxn modelId="{98C015A3-EDAC-4BDD-8149-7A8917740FB6}" srcId="{CB339438-8F81-4836-B0D6-39E445779B2D}" destId="{4432093D-A644-4827-AA6D-7067AC85A70A}" srcOrd="3" destOrd="0" parTransId="{A4F69265-93A9-4DC8-B476-3C54A78A0F87}" sibTransId="{29DE9C12-7530-46C0-A1D0-9B97206287A0}"/>
    <dgm:cxn modelId="{DFD1EAA7-E9B7-4782-A476-14CE33073947}" srcId="{39F506DE-50F1-49BE-9ED2-88EFDAE6F0E1}" destId="{5788F799-C613-40C5-8761-BEA82B1C90FC}" srcOrd="2" destOrd="0" parTransId="{B1600F06-2268-4E93-8025-6213C861BF03}" sibTransId="{34DDA67C-48F2-49AC-B592-522587E58066}"/>
    <dgm:cxn modelId="{3A21ABAA-1CD5-4E79-AB73-AEA4D0FEE6DB}" type="presOf" srcId="{3B574CCD-63EB-4E5C-A38D-7AA05C571F3B}" destId="{6E74EA93-ADBE-4F7A-B808-B9FC1E99F407}" srcOrd="0" destOrd="0" presId="urn:microsoft.com/office/officeart/2005/8/layout/lProcess2"/>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42C66FAC-28BE-48D6-833E-24DFF3955FF6}" type="presOf" srcId="{4EB609EB-A256-4ADE-A223-B75FFCB88452}" destId="{C99F83CB-8249-4820-A5BE-6174F687C561}" srcOrd="0" destOrd="0" presId="urn:microsoft.com/office/officeart/2005/8/layout/lProcess2"/>
    <dgm:cxn modelId="{855F4EB3-AE39-4DA4-9B63-3F01194247B5}" type="presOf" srcId="{D411A1FC-339C-4AED-B06A-CCB1EF4A7CD3}" destId="{91059573-C0DD-4A23-8D59-F5A921FF13B2}"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D2B31DBD-4E45-4328-BFD6-5BC8660D1074}" type="presOf" srcId="{1CC776DD-EEFA-4565-91BF-9B7AD9CBC17D}" destId="{38C7B200-636A-4821-8B86-81A7AD31BC87}"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00F92ACC-4823-4E0D-95F3-BEEFDC7629BC}" srcId="{CB339438-8F81-4836-B0D6-39E445779B2D}" destId="{1CC776DD-EEFA-4565-91BF-9B7AD9CBC17D}" srcOrd="9" destOrd="0" parTransId="{BC09C9FB-00F3-487A-A28F-C1126604E94C}" sibTransId="{B41CACD4-437F-4C9E-AAB3-5E4F11D822B9}"/>
    <dgm:cxn modelId="{1AC5E3CD-E4ED-48B1-BDF2-86C45D4FFF22}" type="presOf" srcId="{438D9939-C1F5-4FB8-A207-F0C7DE6CBA69}" destId="{3F43A9C7-A3FB-4D08-965C-D2FF2D56DEF9}"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8C5526D1-80ED-4CCE-9F0E-33839D9335FF}" srcId="{71C93146-8DBD-47BA-9B89-8D2FF25B6FDE}" destId="{4EB609EB-A256-4ADE-A223-B75FFCB88452}" srcOrd="7" destOrd="0" parTransId="{8234BA1C-2965-449D-9116-FFE33298955C}" sibTransId="{9DB76EBE-5004-4208-8114-E7D3B9E7904E}"/>
    <dgm:cxn modelId="{F9C958D2-61EB-49CA-86A9-748A93107089}" type="presOf" srcId="{4432093D-A644-4827-AA6D-7067AC85A70A}" destId="{307F1E4F-0554-4C37-A560-635EFC728D02}" srcOrd="0" destOrd="0" presId="urn:microsoft.com/office/officeart/2005/8/layout/lProcess2"/>
    <dgm:cxn modelId="{64DCCAD6-9212-4DFE-AB84-E4547408BBB6}" srcId="{CB339438-8F81-4836-B0D6-39E445779B2D}" destId="{438D9939-C1F5-4FB8-A207-F0C7DE6CBA69}" srcOrd="1" destOrd="0" parTransId="{A0A0EAD3-783C-4DF1-A92E-62289294F327}" sibTransId="{61BCE3C7-9560-4AEA-8DA8-239915B66C7E}"/>
    <dgm:cxn modelId="{F46BB1D8-B8A7-4372-B5E0-80B9E6AE26D8}" srcId="{CB339438-8F81-4836-B0D6-39E445779B2D}" destId="{FED73D90-A231-45ED-9608-50DB3A310825}" srcOrd="10" destOrd="0" parTransId="{9714E755-7258-49A9-86E0-2BB94B33C6A3}" sibTransId="{8459BC38-BE57-4A1F-8954-6DFDB6B43CE3}"/>
    <dgm:cxn modelId="{B9770FDA-37FF-43F8-A310-12FA30D16BC1}" srcId="{731B959C-F05A-4425-AA8A-A0CC576E0CD6}" destId="{E4529BFC-7FBA-401E-83DC-ED21706EC71E}" srcOrd="0" destOrd="0" parTransId="{75EC726F-0F1A-4A9A-AAA4-BA5A62E7EF13}" sibTransId="{2694060A-8504-46CC-B366-F826D32B0115}"/>
    <dgm:cxn modelId="{08E782DB-08EE-4B03-9729-6ED55AB6702C}" srcId="{71C93146-8DBD-47BA-9B89-8D2FF25B6FDE}" destId="{0C6DCA03-9E72-4D8D-8E20-6BB667ABB775}" srcOrd="5" destOrd="0" parTransId="{D3577232-1435-4B93-84AB-031FE67F897E}" sibTransId="{B45ABF13-D591-49E0-8D1F-A5BA7E1EEEA7}"/>
    <dgm:cxn modelId="{0C59FDDB-A7A2-439C-B82B-D292E1CE9119}" srcId="{71C93146-8DBD-47BA-9B89-8D2FF25B6FDE}" destId="{AEA10931-67D5-417F-A76E-45AB9B1C6A81}" srcOrd="4" destOrd="0" parTransId="{B0B738C3-BB85-4251-950F-D0DA9CF36DB7}" sibTransId="{65284B25-B563-441E-AA50-34820D568949}"/>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1EBBC1E9-9285-4F19-B422-0210E0C13317}" type="presOf" srcId="{0C6DCA03-9E72-4D8D-8E20-6BB667ABB775}" destId="{B80C5998-036C-422A-A67B-3EFA153DC555}" srcOrd="0" destOrd="0" presId="urn:microsoft.com/office/officeart/2005/8/layout/lProcess2"/>
    <dgm:cxn modelId="{D3A408EA-CE47-43F0-85B0-490CCD9D2957}" srcId="{CB339438-8F81-4836-B0D6-39E445779B2D}" destId="{4908B1CE-1E13-41F3-AC11-B5A77DB5626A}" srcOrd="8" destOrd="0" parTransId="{6BBCFD51-EEFF-4FC3-B808-F3D33D98FACC}" sibTransId="{90AAF411-650F-49AB-84C3-F88F32355E86}"/>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278649FD-1178-45A1-87B3-15E09DD30944}" srcId="{71C93146-8DBD-47BA-9B89-8D2FF25B6FDE}" destId="{D432DB11-412F-4D35-974F-D69F6D0B3FDA}" srcOrd="0" destOrd="0" parTransId="{18E4096D-0279-4B0D-9EA2-49664C0DCBCF}" sibTransId="{6A582335-4BD6-4203-A79B-1B668066A74A}"/>
    <dgm:cxn modelId="{5995BFFE-8AB2-43A6-86C3-1C23B66A9F14}" srcId="{CB339438-8F81-4836-B0D6-39E445779B2D}" destId="{3B574CCD-63EB-4E5C-A38D-7AA05C571F3B}" srcOrd="11" destOrd="0" parTransId="{E3D17962-1BB9-40BF-A36B-BEEBC3E1DE31}" sibTransId="{C02361AD-766D-4D85-8840-CEB6BDBD83F9}"/>
    <dgm:cxn modelId="{6E0B65FF-72C9-40FD-85BC-A5156040980D}" type="presOf" srcId="{4908B1CE-1E13-41F3-AC11-B5A77DB5626A}" destId="{8E2F0041-E7A9-4A20-910C-CBEDC8B777CC}"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D0FA15DF-8E4C-43E8-8963-439CDA7DA1A7}" type="presParOf" srcId="{10201B17-1614-4D45-8D1F-E89E82CE147B}" destId="{851ADC3A-49E7-4E47-85D5-1526996F9E82}" srcOrd="0" destOrd="0" presId="urn:microsoft.com/office/officeart/2005/8/layout/lProcess2"/>
    <dgm:cxn modelId="{3AA689DB-203D-4171-99FB-0BE87B9A0AE4}" type="presParOf" srcId="{10201B17-1614-4D45-8D1F-E89E82CE147B}" destId="{F642ADEF-7912-4FAB-96A5-F1EF877DDD81}" srcOrd="1" destOrd="0" presId="urn:microsoft.com/office/officeart/2005/8/layout/lProcess2"/>
    <dgm:cxn modelId="{3D13D91E-9EA8-4C9F-B096-CB8EC062E9D8}" type="presParOf" srcId="{10201B17-1614-4D45-8D1F-E89E82CE147B}" destId="{10F88D14-C566-4EFF-B18E-BA4F68CFFBB9}" srcOrd="2" destOrd="0" presId="urn:microsoft.com/office/officeart/2005/8/layout/lProcess2"/>
    <dgm:cxn modelId="{DA80948C-39DC-44AC-A62F-503BF31B0ACF}" type="presParOf" srcId="{10201B17-1614-4D45-8D1F-E89E82CE147B}" destId="{F801D632-B2AB-4C80-9B03-A252128DC279}" srcOrd="3" destOrd="0" presId="urn:microsoft.com/office/officeart/2005/8/layout/lProcess2"/>
    <dgm:cxn modelId="{9D0FDF80-A8F2-4B58-8C92-F2F1C6F57070}" type="presParOf" srcId="{10201B17-1614-4D45-8D1F-E89E82CE147B}" destId="{9CE9E257-D948-4ED8-B93B-3F31494CC27F}" srcOrd="4" destOrd="0" presId="urn:microsoft.com/office/officeart/2005/8/layout/lProcess2"/>
    <dgm:cxn modelId="{408BA29D-992F-4C12-8387-F03150893D24}" type="presParOf" srcId="{10201B17-1614-4D45-8D1F-E89E82CE147B}" destId="{8B2FBECB-0EDB-4509-946F-1DC0E9661980}" srcOrd="5" destOrd="0" presId="urn:microsoft.com/office/officeart/2005/8/layout/lProcess2"/>
    <dgm:cxn modelId="{F4507CA5-8454-489A-975E-CB0B84786B1A}" type="presParOf" srcId="{10201B17-1614-4D45-8D1F-E89E82CE147B}" destId="{67114D93-E06F-4DAA-BCFB-6E5088AA4903}" srcOrd="6" destOrd="0" presId="urn:microsoft.com/office/officeart/2005/8/layout/lProcess2"/>
    <dgm:cxn modelId="{9202E01E-D7AC-498F-A857-8D12D9EF9D90}" type="presParOf" srcId="{10201B17-1614-4D45-8D1F-E89E82CE147B}" destId="{EFE7404F-70C7-4633-9057-3F324B62F2F9}" srcOrd="7" destOrd="0" presId="urn:microsoft.com/office/officeart/2005/8/layout/lProcess2"/>
    <dgm:cxn modelId="{AF936653-23E5-466E-8FD8-2C29FB3FEF14}" type="presParOf" srcId="{10201B17-1614-4D45-8D1F-E89E82CE147B}" destId="{C50B8762-916F-458A-91A1-E49668139917}" srcOrd="8" destOrd="0" presId="urn:microsoft.com/office/officeart/2005/8/layout/lProcess2"/>
    <dgm:cxn modelId="{74A19387-49A4-4830-B6E6-CEB011F3864D}" type="presParOf" srcId="{10201B17-1614-4D45-8D1F-E89E82CE147B}" destId="{D04DAC56-5217-4255-B900-13027F3F77E4}" srcOrd="9" destOrd="0" presId="urn:microsoft.com/office/officeart/2005/8/layout/lProcess2"/>
    <dgm:cxn modelId="{291F7F6B-AA86-4025-AC3E-703F13C5E721}" type="presParOf" srcId="{10201B17-1614-4D45-8D1F-E89E82CE147B}" destId="{B80C5998-036C-422A-A67B-3EFA153DC555}" srcOrd="10" destOrd="0" presId="urn:microsoft.com/office/officeart/2005/8/layout/lProcess2"/>
    <dgm:cxn modelId="{46448646-0888-4EC0-9809-A70FB19E08FB}" type="presParOf" srcId="{10201B17-1614-4D45-8D1F-E89E82CE147B}" destId="{3B3F4C04-5C10-43C4-A818-4800CC678596}" srcOrd="11" destOrd="0" presId="urn:microsoft.com/office/officeart/2005/8/layout/lProcess2"/>
    <dgm:cxn modelId="{A195BBA6-9F9A-4AD1-BD73-E275DF328B8C}" type="presParOf" srcId="{10201B17-1614-4D45-8D1F-E89E82CE147B}" destId="{253B22F4-8A1D-4683-A75D-F533A591C1F5}" srcOrd="12" destOrd="0" presId="urn:microsoft.com/office/officeart/2005/8/layout/lProcess2"/>
    <dgm:cxn modelId="{11CA5AAE-D157-47BD-BB2E-B350930ABA13}" type="presParOf" srcId="{10201B17-1614-4D45-8D1F-E89E82CE147B}" destId="{498BE8EE-D893-4411-B2FB-2F730B789131}" srcOrd="13" destOrd="0" presId="urn:microsoft.com/office/officeart/2005/8/layout/lProcess2"/>
    <dgm:cxn modelId="{2719B3B2-8DE5-4B14-9D45-455D9E6904B7}" type="presParOf" srcId="{10201B17-1614-4D45-8D1F-E89E82CE147B}" destId="{C99F83CB-8249-4820-A5BE-6174F687C561}" srcOrd="14"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E94FDE2E-2F72-40E9-9188-E0A71326CA95}" type="presParOf" srcId="{E3A1EC06-F8F1-47EA-A4C0-7BCCDF995841}" destId="{3F43A9C7-A3FB-4D08-965C-D2FF2D56DEF9}" srcOrd="2" destOrd="0" presId="urn:microsoft.com/office/officeart/2005/8/layout/lProcess2"/>
    <dgm:cxn modelId="{3483A06C-98B9-4A27-AEC1-404555C50563}" type="presParOf" srcId="{E3A1EC06-F8F1-47EA-A4C0-7BCCDF995841}" destId="{990D9734-B5DC-4C37-8167-62C50ED668C3}" srcOrd="3" destOrd="0" presId="urn:microsoft.com/office/officeart/2005/8/layout/lProcess2"/>
    <dgm:cxn modelId="{97DDADE8-34DD-4A70-ACC9-B0CB0C999F80}" type="presParOf" srcId="{E3A1EC06-F8F1-47EA-A4C0-7BCCDF995841}" destId="{C2D31149-D845-48F1-A98F-89A487B49698}" srcOrd="4" destOrd="0" presId="urn:microsoft.com/office/officeart/2005/8/layout/lProcess2"/>
    <dgm:cxn modelId="{CEDF59A9-AF94-4584-BEE0-55747538992D}" type="presParOf" srcId="{E3A1EC06-F8F1-47EA-A4C0-7BCCDF995841}" destId="{50D82E75-2A28-45B1-AC5E-406ED42D34DA}" srcOrd="5" destOrd="0" presId="urn:microsoft.com/office/officeart/2005/8/layout/lProcess2"/>
    <dgm:cxn modelId="{036E69B9-5A11-485A-9126-070D0FE17D59}" type="presParOf" srcId="{E3A1EC06-F8F1-47EA-A4C0-7BCCDF995841}" destId="{307F1E4F-0554-4C37-A560-635EFC728D02}" srcOrd="6" destOrd="0" presId="urn:microsoft.com/office/officeart/2005/8/layout/lProcess2"/>
    <dgm:cxn modelId="{2EB411DA-5868-4B38-932A-5E89B22537DD}" type="presParOf" srcId="{E3A1EC06-F8F1-47EA-A4C0-7BCCDF995841}" destId="{01098CA1-3D93-4027-BB8F-2F32626E5743}" srcOrd="7" destOrd="0" presId="urn:microsoft.com/office/officeart/2005/8/layout/lProcess2"/>
    <dgm:cxn modelId="{DC1B3A25-561E-4A9C-A07E-D51AABB2C459}" type="presParOf" srcId="{E3A1EC06-F8F1-47EA-A4C0-7BCCDF995841}" destId="{3D1E60B4-E52B-42E4-8458-6ACEB0512CD6}" srcOrd="8" destOrd="0" presId="urn:microsoft.com/office/officeart/2005/8/layout/lProcess2"/>
    <dgm:cxn modelId="{1D3F7231-AA30-4ADC-8CAD-782A0FF2002D}" type="presParOf" srcId="{E3A1EC06-F8F1-47EA-A4C0-7BCCDF995841}" destId="{7CD52AD0-9ED4-48C8-8278-5C1DFF87B8B2}" srcOrd="9" destOrd="0" presId="urn:microsoft.com/office/officeart/2005/8/layout/lProcess2"/>
    <dgm:cxn modelId="{2573789E-74DE-4EAB-BB80-617A2AE80485}" type="presParOf" srcId="{E3A1EC06-F8F1-47EA-A4C0-7BCCDF995841}" destId="{8C2946A0-576E-4808-9C92-02BFFF0C7D6F}" srcOrd="10" destOrd="0" presId="urn:microsoft.com/office/officeart/2005/8/layout/lProcess2"/>
    <dgm:cxn modelId="{708AA570-C284-4773-A6C3-01C0108D0E5A}" type="presParOf" srcId="{E3A1EC06-F8F1-47EA-A4C0-7BCCDF995841}" destId="{A4848201-0A73-4ACD-8887-C345506F6A64}" srcOrd="11" destOrd="0" presId="urn:microsoft.com/office/officeart/2005/8/layout/lProcess2"/>
    <dgm:cxn modelId="{D664BD6C-0DCB-4D0B-8F64-4B11157CAA9D}" type="presParOf" srcId="{E3A1EC06-F8F1-47EA-A4C0-7BCCDF995841}" destId="{91059573-C0DD-4A23-8D59-F5A921FF13B2}" srcOrd="12" destOrd="0" presId="urn:microsoft.com/office/officeart/2005/8/layout/lProcess2"/>
    <dgm:cxn modelId="{4DEF6D3E-D3C4-4989-8432-725A8FA2F5AB}" type="presParOf" srcId="{E3A1EC06-F8F1-47EA-A4C0-7BCCDF995841}" destId="{5404AF4D-4CB9-4A16-BECC-35CCBB601BBF}" srcOrd="13" destOrd="0" presId="urn:microsoft.com/office/officeart/2005/8/layout/lProcess2"/>
    <dgm:cxn modelId="{6612C839-C6EC-4196-9EE7-D83332F66C7B}" type="presParOf" srcId="{E3A1EC06-F8F1-47EA-A4C0-7BCCDF995841}" destId="{14016185-EE9F-4C64-9998-4EC5312A4113}" srcOrd="14" destOrd="0" presId="urn:microsoft.com/office/officeart/2005/8/layout/lProcess2"/>
    <dgm:cxn modelId="{45D7BFE9-51F6-442A-8BC7-B9FDC13A991A}" type="presParOf" srcId="{E3A1EC06-F8F1-47EA-A4C0-7BCCDF995841}" destId="{1C840F3E-50CB-45CC-9E9F-1E96428A0ACE}" srcOrd="15" destOrd="0" presId="urn:microsoft.com/office/officeart/2005/8/layout/lProcess2"/>
    <dgm:cxn modelId="{4EA2DF3C-6EDE-4D72-AEA2-197A9E86A9DF}" type="presParOf" srcId="{E3A1EC06-F8F1-47EA-A4C0-7BCCDF995841}" destId="{8E2F0041-E7A9-4A20-910C-CBEDC8B777CC}" srcOrd="16" destOrd="0" presId="urn:microsoft.com/office/officeart/2005/8/layout/lProcess2"/>
    <dgm:cxn modelId="{A5932158-9CDB-4417-9B9C-A5EDAB034C07}" type="presParOf" srcId="{E3A1EC06-F8F1-47EA-A4C0-7BCCDF995841}" destId="{50312EBE-AD4B-48DB-852A-66670AB2A445}" srcOrd="17" destOrd="0" presId="urn:microsoft.com/office/officeart/2005/8/layout/lProcess2"/>
    <dgm:cxn modelId="{6D03D927-D21C-4B1C-937F-345C6F3C87E6}" type="presParOf" srcId="{E3A1EC06-F8F1-47EA-A4C0-7BCCDF995841}" destId="{38C7B200-636A-4821-8B86-81A7AD31BC87}" srcOrd="18" destOrd="0" presId="urn:microsoft.com/office/officeart/2005/8/layout/lProcess2"/>
    <dgm:cxn modelId="{59210D55-A50A-44EC-89A8-BD1109F1021B}" type="presParOf" srcId="{E3A1EC06-F8F1-47EA-A4C0-7BCCDF995841}" destId="{AF7C44FF-884C-4817-BFAA-185074F6D3C4}" srcOrd="19" destOrd="0" presId="urn:microsoft.com/office/officeart/2005/8/layout/lProcess2"/>
    <dgm:cxn modelId="{77E1BB66-C623-458C-A232-1D6D72884DFE}" type="presParOf" srcId="{E3A1EC06-F8F1-47EA-A4C0-7BCCDF995841}" destId="{57100ECE-9B3C-4CC3-A9C1-48AD6F34D07B}" srcOrd="20" destOrd="0" presId="urn:microsoft.com/office/officeart/2005/8/layout/lProcess2"/>
    <dgm:cxn modelId="{5649FC69-DBAF-43D9-8042-2C00E11011B2}" type="presParOf" srcId="{E3A1EC06-F8F1-47EA-A4C0-7BCCDF995841}" destId="{163D4008-88A0-4245-8B4E-E4DCAA81960D}" srcOrd="21" destOrd="0" presId="urn:microsoft.com/office/officeart/2005/8/layout/lProcess2"/>
    <dgm:cxn modelId="{B58F6FD2-FC41-466F-BDE8-2C172323E7A4}" type="presParOf" srcId="{E3A1EC06-F8F1-47EA-A4C0-7BCCDF995841}" destId="{6E74EA93-ADBE-4F7A-B808-B9FC1E99F407}" srcOrd="22" destOrd="0" presId="urn:microsoft.com/office/officeart/2005/8/layout/lProcess2"/>
    <dgm:cxn modelId="{C86D483B-96A4-40B4-907D-6EAC7E4CD481}" type="presParOf" srcId="{E3A1EC06-F8F1-47EA-A4C0-7BCCDF995841}" destId="{05C635B4-C903-4E65-AA2C-F4B1BC918E30}" srcOrd="23" destOrd="0" presId="urn:microsoft.com/office/officeart/2005/8/layout/lProcess2"/>
    <dgm:cxn modelId="{475C23E5-CD3E-4815-8585-F66063666A2C}" type="presParOf" srcId="{E3A1EC06-F8F1-47EA-A4C0-7BCCDF995841}" destId="{67271954-A6BD-40EC-BD45-3A2CBE7B6109}" srcOrd="24" destOrd="0" presId="urn:microsoft.com/office/officeart/2005/8/layout/lProcess2"/>
    <dgm:cxn modelId="{308373E9-75DB-4E51-9A14-F526CECC9310}" type="presParOf" srcId="{E3A1EC06-F8F1-47EA-A4C0-7BCCDF995841}" destId="{B6CC2937-D91B-4C70-AEA4-BB410A6F4608}" srcOrd="25" destOrd="0" presId="urn:microsoft.com/office/officeart/2005/8/layout/lProcess2"/>
    <dgm:cxn modelId="{BBE17C53-CE25-47E1-B4D1-74D83E7745BF}" type="presParOf" srcId="{E3A1EC06-F8F1-47EA-A4C0-7BCCDF995841}" destId="{A0625715-5C06-476B-97BA-6A2EC0BDF26A}" srcOrd="26"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853823" cy="1208722"/>
      </dsp:txXfrm>
    </dsp:sp>
    <dsp:sp modelId="{D9D4FC23-0730-4C6A-92D3-55905B566BDA}">
      <dsp:nvSpPr>
        <dsp:cNvPr id="0" name=""/>
        <dsp:cNvSpPr/>
      </dsp:nvSpPr>
      <dsp:spPr>
        <a:xfrm>
          <a:off x="190074" y="1208918"/>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201404" y="1220248"/>
        <a:ext cx="1460398" cy="364164"/>
      </dsp:txXfrm>
    </dsp:sp>
    <dsp:sp modelId="{B92FF65D-7314-4281-8C61-D2E02ABB453E}">
      <dsp:nvSpPr>
        <dsp:cNvPr id="0" name=""/>
        <dsp:cNvSpPr/>
      </dsp:nvSpPr>
      <dsp:spPr>
        <a:xfrm>
          <a:off x="190074" y="1655254"/>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201404" y="1666584"/>
        <a:ext cx="1460398" cy="364164"/>
      </dsp:txXfrm>
    </dsp:sp>
    <dsp:sp modelId="{8BA67AC5-5D23-4E1E-BC34-5B51379E48E7}">
      <dsp:nvSpPr>
        <dsp:cNvPr id="0" name=""/>
        <dsp:cNvSpPr/>
      </dsp:nvSpPr>
      <dsp:spPr>
        <a:xfrm>
          <a:off x="190074" y="2101590"/>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201404" y="2112920"/>
        <a:ext cx="1460398" cy="364164"/>
      </dsp:txXfrm>
    </dsp:sp>
    <dsp:sp modelId="{EE4F65C3-F61D-4F57-82E6-6248AF681702}">
      <dsp:nvSpPr>
        <dsp:cNvPr id="0" name=""/>
        <dsp:cNvSpPr/>
      </dsp:nvSpPr>
      <dsp:spPr>
        <a:xfrm>
          <a:off x="190074" y="2547926"/>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201404" y="2559256"/>
        <a:ext cx="1460398" cy="364164"/>
      </dsp:txXfrm>
    </dsp:sp>
    <dsp:sp modelId="{4AA2C2D8-38AC-49A4-B325-32683F44EAF4}">
      <dsp:nvSpPr>
        <dsp:cNvPr id="0" name=""/>
        <dsp:cNvSpPr/>
      </dsp:nvSpPr>
      <dsp:spPr>
        <a:xfrm>
          <a:off x="190074" y="2994263"/>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201404" y="3005593"/>
        <a:ext cx="1460398" cy="364164"/>
      </dsp:txXfrm>
    </dsp:sp>
    <dsp:sp modelId="{211DDDCD-7378-4BEA-A98D-65ED33393EC4}">
      <dsp:nvSpPr>
        <dsp:cNvPr id="0" name=""/>
        <dsp:cNvSpPr/>
      </dsp:nvSpPr>
      <dsp:spPr>
        <a:xfrm>
          <a:off x="190074" y="3440599"/>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201404" y="3451929"/>
        <a:ext cx="1460398" cy="364164"/>
      </dsp:txXfrm>
    </dsp:sp>
    <dsp:sp modelId="{54671E33-5AC7-4CD0-91C9-A60A47022F3E}">
      <dsp:nvSpPr>
        <dsp:cNvPr id="0" name=""/>
        <dsp:cNvSpPr/>
      </dsp:nvSpPr>
      <dsp:spPr>
        <a:xfrm>
          <a:off x="1997552"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997552" y="0"/>
        <a:ext cx="1853823" cy="1208722"/>
      </dsp:txXfrm>
    </dsp:sp>
    <dsp:sp modelId="{851ADC3A-49E7-4E47-85D5-1526996F9E82}">
      <dsp:nvSpPr>
        <dsp:cNvPr id="0" name=""/>
        <dsp:cNvSpPr/>
      </dsp:nvSpPr>
      <dsp:spPr>
        <a:xfrm>
          <a:off x="2182935" y="120945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Ethiek en professionaliteit</a:t>
          </a:r>
        </a:p>
      </dsp:txBody>
      <dsp:txXfrm>
        <a:off x="2191381" y="1217905"/>
        <a:ext cx="1466166" cy="271468"/>
      </dsp:txXfrm>
    </dsp:sp>
    <dsp:sp modelId="{10F88D14-C566-4EFF-B18E-BA4F68CFFBB9}">
      <dsp:nvSpPr>
        <dsp:cNvPr id="0" name=""/>
        <dsp:cNvSpPr/>
      </dsp:nvSpPr>
      <dsp:spPr>
        <a:xfrm>
          <a:off x="2182935" y="1542183"/>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Basis data vaardigheden</a:t>
          </a:r>
        </a:p>
      </dsp:txBody>
      <dsp:txXfrm>
        <a:off x="2191381" y="1550629"/>
        <a:ext cx="1466166" cy="271468"/>
      </dsp:txXfrm>
    </dsp:sp>
    <dsp:sp modelId="{9CE9E257-D948-4ED8-B93B-3F31494CC27F}">
      <dsp:nvSpPr>
        <dsp:cNvPr id="0" name=""/>
        <dsp:cNvSpPr/>
      </dsp:nvSpPr>
      <dsp:spPr>
        <a:xfrm>
          <a:off x="2182935" y="1874906"/>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Statistiek</a:t>
          </a:r>
        </a:p>
      </dsp:txBody>
      <dsp:txXfrm>
        <a:off x="2191381" y="1883352"/>
        <a:ext cx="1466166" cy="271468"/>
      </dsp:txXfrm>
    </dsp:sp>
    <dsp:sp modelId="{67114D93-E06F-4DAA-BCFB-6E5088AA4903}">
      <dsp:nvSpPr>
        <dsp:cNvPr id="0" name=""/>
        <dsp:cNvSpPr/>
      </dsp:nvSpPr>
      <dsp:spPr>
        <a:xfrm>
          <a:off x="2182935" y="220762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Kwalitatieve analyse en onderzoeksvaardigheden</a:t>
          </a:r>
        </a:p>
      </dsp:txBody>
      <dsp:txXfrm>
        <a:off x="2191381" y="2216075"/>
        <a:ext cx="1466166" cy="271468"/>
      </dsp:txXfrm>
    </dsp:sp>
    <dsp:sp modelId="{C50B8762-916F-458A-91A1-E49668139917}">
      <dsp:nvSpPr>
        <dsp:cNvPr id="0" name=""/>
        <dsp:cNvSpPr/>
      </dsp:nvSpPr>
      <dsp:spPr>
        <a:xfrm>
          <a:off x="2182935" y="2540352"/>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Metrics en doelen</a:t>
          </a:r>
        </a:p>
      </dsp:txBody>
      <dsp:txXfrm>
        <a:off x="2191381" y="2548798"/>
        <a:ext cx="1466166" cy="271468"/>
      </dsp:txXfrm>
    </dsp:sp>
    <dsp:sp modelId="{B80C5998-036C-422A-A67B-3EFA153DC555}">
      <dsp:nvSpPr>
        <dsp:cNvPr id="0" name=""/>
        <dsp:cNvSpPr/>
      </dsp:nvSpPr>
      <dsp:spPr>
        <a:xfrm>
          <a:off x="2182935" y="2873076"/>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CX theorie</a:t>
          </a:r>
        </a:p>
      </dsp:txBody>
      <dsp:txXfrm>
        <a:off x="2191381" y="2881522"/>
        <a:ext cx="1466166" cy="271468"/>
      </dsp:txXfrm>
    </dsp:sp>
    <dsp:sp modelId="{253B22F4-8A1D-4683-A75D-F533A591C1F5}">
      <dsp:nvSpPr>
        <dsp:cNvPr id="0" name=""/>
        <dsp:cNvSpPr/>
      </dsp:nvSpPr>
      <dsp:spPr>
        <a:xfrm>
          <a:off x="2182935" y="320579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CX toepassingsdomein</a:t>
          </a:r>
        </a:p>
      </dsp:txBody>
      <dsp:txXfrm>
        <a:off x="2191381" y="3214245"/>
        <a:ext cx="1466166" cy="271468"/>
      </dsp:txXfrm>
    </dsp:sp>
    <dsp:sp modelId="{C99F83CB-8249-4820-A5BE-6174F687C561}">
      <dsp:nvSpPr>
        <dsp:cNvPr id="0" name=""/>
        <dsp:cNvSpPr/>
      </dsp:nvSpPr>
      <dsp:spPr>
        <a:xfrm>
          <a:off x="2182935" y="3538522"/>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Bonusskills</a:t>
          </a:r>
        </a:p>
      </dsp:txBody>
      <dsp:txXfrm>
        <a:off x="2191381" y="3546968"/>
        <a:ext cx="1466166" cy="271468"/>
      </dsp:txXfrm>
    </dsp:sp>
    <dsp:sp modelId="{6D56517E-766B-45C1-B3BA-03A92A9F1628}">
      <dsp:nvSpPr>
        <dsp:cNvPr id="0" name=""/>
        <dsp:cNvSpPr/>
      </dsp:nvSpPr>
      <dsp:spPr>
        <a:xfrm>
          <a:off x="4014179"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4014179" y="0"/>
        <a:ext cx="1853823" cy="1208722"/>
      </dsp:txXfrm>
    </dsp:sp>
    <dsp:sp modelId="{A239EC8B-8508-4BCF-8FEB-C4B29C102781}">
      <dsp:nvSpPr>
        <dsp:cNvPr id="0" name=""/>
        <dsp:cNvSpPr/>
      </dsp:nvSpPr>
      <dsp:spPr>
        <a:xfrm>
          <a:off x="4175795" y="1208722"/>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Customer Journey Mapping</a:t>
          </a:r>
        </a:p>
      </dsp:txBody>
      <dsp:txXfrm>
        <a:off x="4180589" y="1213516"/>
        <a:ext cx="1473470" cy="154093"/>
      </dsp:txXfrm>
    </dsp:sp>
    <dsp:sp modelId="{3F43A9C7-A3FB-4D08-965C-D2FF2D56DEF9}">
      <dsp:nvSpPr>
        <dsp:cNvPr id="0" name=""/>
        <dsp:cNvSpPr/>
      </dsp:nvSpPr>
      <dsp:spPr>
        <a:xfrm>
          <a:off x="4175795" y="1397585"/>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Usability testen</a:t>
          </a:r>
        </a:p>
      </dsp:txBody>
      <dsp:txXfrm>
        <a:off x="4180589" y="1402379"/>
        <a:ext cx="1473470" cy="154093"/>
      </dsp:txXfrm>
    </dsp:sp>
    <dsp:sp modelId="{C2D31149-D845-48F1-A98F-89A487B49698}">
      <dsp:nvSpPr>
        <dsp:cNvPr id="0" name=""/>
        <dsp:cNvSpPr/>
      </dsp:nvSpPr>
      <dsp:spPr>
        <a:xfrm>
          <a:off x="4175795" y="1586447"/>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AB testen</a:t>
          </a:r>
        </a:p>
      </dsp:txBody>
      <dsp:txXfrm>
        <a:off x="4180589" y="1591241"/>
        <a:ext cx="1473470" cy="154093"/>
      </dsp:txXfrm>
    </dsp:sp>
    <dsp:sp modelId="{307F1E4F-0554-4C37-A560-635EFC728D02}">
      <dsp:nvSpPr>
        <dsp:cNvPr id="0" name=""/>
        <dsp:cNvSpPr/>
      </dsp:nvSpPr>
      <dsp:spPr>
        <a:xfrm>
          <a:off x="4175795" y="1775310"/>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Behavioral analytics</a:t>
          </a:r>
        </a:p>
      </dsp:txBody>
      <dsp:txXfrm>
        <a:off x="4180589" y="1780104"/>
        <a:ext cx="1473470" cy="154093"/>
      </dsp:txXfrm>
    </dsp:sp>
    <dsp:sp modelId="{3D1E60B4-E52B-42E4-8458-6ACEB0512CD6}">
      <dsp:nvSpPr>
        <dsp:cNvPr id="0" name=""/>
        <dsp:cNvSpPr/>
      </dsp:nvSpPr>
      <dsp:spPr>
        <a:xfrm>
          <a:off x="4175795" y="1964173"/>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Marketing analytics</a:t>
          </a:r>
        </a:p>
      </dsp:txBody>
      <dsp:txXfrm>
        <a:off x="4180589" y="1968967"/>
        <a:ext cx="1473470" cy="154093"/>
      </dsp:txXfrm>
    </dsp:sp>
    <dsp:sp modelId="{8C2946A0-576E-4808-9C92-02BFFF0C7D6F}">
      <dsp:nvSpPr>
        <dsp:cNvPr id="0" name=""/>
        <dsp:cNvSpPr/>
      </dsp:nvSpPr>
      <dsp:spPr>
        <a:xfrm>
          <a:off x="4175795" y="2153036"/>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Session recordings</a:t>
          </a:r>
        </a:p>
      </dsp:txBody>
      <dsp:txXfrm>
        <a:off x="4180589" y="2157830"/>
        <a:ext cx="1473470" cy="154093"/>
      </dsp:txXfrm>
    </dsp:sp>
    <dsp:sp modelId="{91059573-C0DD-4A23-8D59-F5A921FF13B2}">
      <dsp:nvSpPr>
        <dsp:cNvPr id="0" name=""/>
        <dsp:cNvSpPr/>
      </dsp:nvSpPr>
      <dsp:spPr>
        <a:xfrm>
          <a:off x="4175795" y="2341899"/>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Heatmaps &amp; scrollmaps</a:t>
          </a:r>
        </a:p>
      </dsp:txBody>
      <dsp:txXfrm>
        <a:off x="4180589" y="2346693"/>
        <a:ext cx="1473470" cy="154093"/>
      </dsp:txXfrm>
    </dsp:sp>
    <dsp:sp modelId="{14016185-EE9F-4C64-9998-4EC5312A4113}">
      <dsp:nvSpPr>
        <dsp:cNvPr id="0" name=""/>
        <dsp:cNvSpPr/>
      </dsp:nvSpPr>
      <dsp:spPr>
        <a:xfrm>
          <a:off x="4175795" y="2530762"/>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Interviewen</a:t>
          </a:r>
        </a:p>
      </dsp:txBody>
      <dsp:txXfrm>
        <a:off x="4180589" y="2535556"/>
        <a:ext cx="1473470" cy="154093"/>
      </dsp:txXfrm>
    </dsp:sp>
    <dsp:sp modelId="{8E2F0041-E7A9-4A20-910C-CBEDC8B777CC}">
      <dsp:nvSpPr>
        <dsp:cNvPr id="0" name=""/>
        <dsp:cNvSpPr/>
      </dsp:nvSpPr>
      <dsp:spPr>
        <a:xfrm>
          <a:off x="4175795" y="2719624"/>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Survey design</a:t>
          </a:r>
        </a:p>
      </dsp:txBody>
      <dsp:txXfrm>
        <a:off x="4180589" y="2724418"/>
        <a:ext cx="1473470" cy="154093"/>
      </dsp:txXfrm>
    </dsp:sp>
    <dsp:sp modelId="{38C7B200-636A-4821-8B86-81A7AD31BC87}">
      <dsp:nvSpPr>
        <dsp:cNvPr id="0" name=""/>
        <dsp:cNvSpPr/>
      </dsp:nvSpPr>
      <dsp:spPr>
        <a:xfrm>
          <a:off x="4175795" y="2908487"/>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SQL</a:t>
          </a:r>
        </a:p>
      </dsp:txBody>
      <dsp:txXfrm>
        <a:off x="4180589" y="2913281"/>
        <a:ext cx="1473470" cy="154093"/>
      </dsp:txXfrm>
    </dsp:sp>
    <dsp:sp modelId="{57100ECE-9B3C-4CC3-A9C1-48AD6F34D07B}">
      <dsp:nvSpPr>
        <dsp:cNvPr id="0" name=""/>
        <dsp:cNvSpPr/>
      </dsp:nvSpPr>
      <dsp:spPr>
        <a:xfrm>
          <a:off x="4175795" y="3097350"/>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Python</a:t>
          </a:r>
        </a:p>
      </dsp:txBody>
      <dsp:txXfrm>
        <a:off x="4180589" y="3102144"/>
        <a:ext cx="1473470" cy="154093"/>
      </dsp:txXfrm>
    </dsp:sp>
    <dsp:sp modelId="{6E74EA93-ADBE-4F7A-B808-B9FC1E99F407}">
      <dsp:nvSpPr>
        <dsp:cNvPr id="0" name=""/>
        <dsp:cNvSpPr/>
      </dsp:nvSpPr>
      <dsp:spPr>
        <a:xfrm>
          <a:off x="4175795" y="3286213"/>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Javascript</a:t>
          </a:r>
        </a:p>
      </dsp:txBody>
      <dsp:txXfrm>
        <a:off x="4180589" y="3291007"/>
        <a:ext cx="1473470" cy="154093"/>
      </dsp:txXfrm>
    </dsp:sp>
    <dsp:sp modelId="{67271954-A6BD-40EC-BD45-3A2CBE7B6109}">
      <dsp:nvSpPr>
        <dsp:cNvPr id="0" name=""/>
        <dsp:cNvSpPr/>
      </dsp:nvSpPr>
      <dsp:spPr>
        <a:xfrm>
          <a:off x="4175795" y="3475076"/>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R</a:t>
          </a:r>
        </a:p>
      </dsp:txBody>
      <dsp:txXfrm>
        <a:off x="4180589" y="3479870"/>
        <a:ext cx="1473470" cy="154093"/>
      </dsp:txXfrm>
    </dsp:sp>
    <dsp:sp modelId="{A0625715-5C06-476B-97BA-6A2EC0BDF26A}">
      <dsp:nvSpPr>
        <dsp:cNvPr id="0" name=""/>
        <dsp:cNvSpPr/>
      </dsp:nvSpPr>
      <dsp:spPr>
        <a:xfrm>
          <a:off x="4175795" y="3663939"/>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HTML/ CSS</a:t>
          </a:r>
        </a:p>
      </dsp:txBody>
      <dsp:txXfrm>
        <a:off x="4180589" y="3668733"/>
        <a:ext cx="1473470" cy="154093"/>
      </dsp:txXfrm>
    </dsp:sp>
    <dsp:sp modelId="{D3D71071-A754-4C0E-9FFD-064FC19C1E19}">
      <dsp:nvSpPr>
        <dsp:cNvPr id="0" name=""/>
        <dsp:cNvSpPr/>
      </dsp:nvSpPr>
      <dsp:spPr>
        <a:xfrm>
          <a:off x="5983273"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5983273" y="0"/>
        <a:ext cx="1853823" cy="1208722"/>
      </dsp:txXfrm>
    </dsp:sp>
    <dsp:sp modelId="{5FFDAE0D-01DD-4F48-856B-01906FDFAC4D}">
      <dsp:nvSpPr>
        <dsp:cNvPr id="0" name=""/>
        <dsp:cNvSpPr/>
      </dsp:nvSpPr>
      <dsp:spPr>
        <a:xfrm>
          <a:off x="6168656"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6182308" y="1223136"/>
        <a:ext cx="1455754" cy="438803"/>
      </dsp:txXfrm>
    </dsp:sp>
    <dsp:sp modelId="{7BE6FBB6-2C7F-4090-924E-AD3A157FFABE}">
      <dsp:nvSpPr>
        <dsp:cNvPr id="0" name=""/>
        <dsp:cNvSpPr/>
      </dsp:nvSpPr>
      <dsp:spPr>
        <a:xfrm>
          <a:off x="6168656"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6182308" y="1760952"/>
        <a:ext cx="1455754" cy="438803"/>
      </dsp:txXfrm>
    </dsp:sp>
    <dsp:sp modelId="{1BF27B21-0FAC-4F32-B691-48071D34A960}">
      <dsp:nvSpPr>
        <dsp:cNvPr id="0" name=""/>
        <dsp:cNvSpPr/>
      </dsp:nvSpPr>
      <dsp:spPr>
        <a:xfrm>
          <a:off x="6168656"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6182308" y="2298769"/>
        <a:ext cx="1455754" cy="438803"/>
      </dsp:txXfrm>
    </dsp:sp>
    <dsp:sp modelId="{9821E4E8-E247-4525-A9DD-43D8B524714D}">
      <dsp:nvSpPr>
        <dsp:cNvPr id="0" name=""/>
        <dsp:cNvSpPr/>
      </dsp:nvSpPr>
      <dsp:spPr>
        <a:xfrm>
          <a:off x="6168656"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6182308" y="2836585"/>
        <a:ext cx="1455754" cy="438803"/>
      </dsp:txXfrm>
    </dsp:sp>
    <dsp:sp modelId="{6081A0E7-3270-44D0-B4CD-B69CEEB69F68}">
      <dsp:nvSpPr>
        <dsp:cNvPr id="0" name=""/>
        <dsp:cNvSpPr/>
      </dsp:nvSpPr>
      <dsp:spPr>
        <a:xfrm>
          <a:off x="6168656"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6182308" y="3374402"/>
        <a:ext cx="1455754" cy="438803"/>
      </dsp:txXfrm>
    </dsp:sp>
    <dsp:sp modelId="{8387A50E-865C-4F7E-BAF7-78F89B5F3C88}">
      <dsp:nvSpPr>
        <dsp:cNvPr id="0" name=""/>
        <dsp:cNvSpPr/>
      </dsp:nvSpPr>
      <dsp:spPr>
        <a:xfrm>
          <a:off x="7976134"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7976134" y="0"/>
        <a:ext cx="1853823" cy="1208722"/>
      </dsp:txXfrm>
    </dsp:sp>
    <dsp:sp modelId="{45ED17EB-782D-462A-9CC1-E53FA40A33C7}">
      <dsp:nvSpPr>
        <dsp:cNvPr id="0" name=""/>
        <dsp:cNvSpPr/>
      </dsp:nvSpPr>
      <dsp:spPr>
        <a:xfrm>
          <a:off x="8161516"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8175168" y="1223136"/>
        <a:ext cx="1455754" cy="438803"/>
      </dsp:txXfrm>
    </dsp:sp>
    <dsp:sp modelId="{0482D866-2B3F-412E-9D66-E84151969353}">
      <dsp:nvSpPr>
        <dsp:cNvPr id="0" name=""/>
        <dsp:cNvSpPr/>
      </dsp:nvSpPr>
      <dsp:spPr>
        <a:xfrm>
          <a:off x="8161516"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8175168" y="1760952"/>
        <a:ext cx="1455754" cy="438803"/>
      </dsp:txXfrm>
    </dsp:sp>
    <dsp:sp modelId="{07A918F0-62D9-46AE-9F9F-62DB5B328CB3}">
      <dsp:nvSpPr>
        <dsp:cNvPr id="0" name=""/>
        <dsp:cNvSpPr/>
      </dsp:nvSpPr>
      <dsp:spPr>
        <a:xfrm>
          <a:off x="8161516"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8175168" y="2298769"/>
        <a:ext cx="1455754" cy="438803"/>
      </dsp:txXfrm>
    </dsp:sp>
    <dsp:sp modelId="{DED3F222-26E6-4809-AA91-F07F244295C3}">
      <dsp:nvSpPr>
        <dsp:cNvPr id="0" name=""/>
        <dsp:cNvSpPr/>
      </dsp:nvSpPr>
      <dsp:spPr>
        <a:xfrm>
          <a:off x="8161516"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8175168" y="2836585"/>
        <a:ext cx="1455754" cy="438803"/>
      </dsp:txXfrm>
    </dsp:sp>
    <dsp:sp modelId="{AAF2ACE6-5E38-4636-B080-BC2D37E74DD8}">
      <dsp:nvSpPr>
        <dsp:cNvPr id="0" name=""/>
        <dsp:cNvSpPr/>
      </dsp:nvSpPr>
      <dsp:spPr>
        <a:xfrm>
          <a:off x="8161516"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8175168" y="3374402"/>
        <a:ext cx="1455754" cy="438803"/>
      </dsp:txXfrm>
    </dsp:sp>
    <dsp:sp modelId="{788DE979-FF1A-4219-BF84-8A28593CCB94}">
      <dsp:nvSpPr>
        <dsp:cNvPr id="0" name=""/>
        <dsp:cNvSpPr/>
      </dsp:nvSpPr>
      <dsp:spPr>
        <a:xfrm>
          <a:off x="9968994"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9968994" y="0"/>
        <a:ext cx="1853823" cy="1208722"/>
      </dsp:txXfrm>
    </dsp:sp>
    <dsp:sp modelId="{F1F16BAE-86C3-4B1E-85EA-E74B55A21462}">
      <dsp:nvSpPr>
        <dsp:cNvPr id="0" name=""/>
        <dsp:cNvSpPr/>
      </dsp:nvSpPr>
      <dsp:spPr>
        <a:xfrm>
          <a:off x="10154377"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10168029" y="1223136"/>
        <a:ext cx="1455754" cy="438803"/>
      </dsp:txXfrm>
    </dsp:sp>
    <dsp:sp modelId="{2EA20561-6CFD-4954-A64B-AB91B0668E80}">
      <dsp:nvSpPr>
        <dsp:cNvPr id="0" name=""/>
        <dsp:cNvSpPr/>
      </dsp:nvSpPr>
      <dsp:spPr>
        <a:xfrm>
          <a:off x="10154377"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10168029" y="1760952"/>
        <a:ext cx="1455754" cy="438803"/>
      </dsp:txXfrm>
    </dsp:sp>
    <dsp:sp modelId="{23C873A2-9912-4FE4-BDE7-C88BA9B2ECB3}">
      <dsp:nvSpPr>
        <dsp:cNvPr id="0" name=""/>
        <dsp:cNvSpPr/>
      </dsp:nvSpPr>
      <dsp:spPr>
        <a:xfrm>
          <a:off x="10154377"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10168029" y="2298769"/>
        <a:ext cx="1455754" cy="438803"/>
      </dsp:txXfrm>
    </dsp:sp>
    <dsp:sp modelId="{95E7D6F0-32A9-4AB9-8051-93F3945D429B}">
      <dsp:nvSpPr>
        <dsp:cNvPr id="0" name=""/>
        <dsp:cNvSpPr/>
      </dsp:nvSpPr>
      <dsp:spPr>
        <a:xfrm>
          <a:off x="10154377"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10168029" y="2836585"/>
        <a:ext cx="1455754" cy="438803"/>
      </dsp:txXfrm>
    </dsp:sp>
    <dsp:sp modelId="{66D2E35F-6AA8-4674-9525-32D6D3B769C9}">
      <dsp:nvSpPr>
        <dsp:cNvPr id="0" name=""/>
        <dsp:cNvSpPr/>
      </dsp:nvSpPr>
      <dsp:spPr>
        <a:xfrm>
          <a:off x="10154377"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10168029" y="3374402"/>
        <a:ext cx="1455754" cy="438803"/>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335679</xdr:colOff>
      <xdr:row>23</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0" y="815340"/>
          <a:ext cx="4496199" cy="3718210"/>
        </a:xfrm>
        <a:prstGeom prst="rect">
          <a:avLst/>
        </a:prstGeom>
      </xdr:spPr>
    </xdr:pic>
    <xdr:clientData/>
  </xdr:twoCellAnchor>
  <xdr:twoCellAnchor>
    <xdr:from>
      <xdr:col>9</xdr:col>
      <xdr:colOff>1269</xdr:colOff>
      <xdr:row>3</xdr:row>
      <xdr:rowOff>2</xdr:rowOff>
    </xdr:from>
    <xdr:to>
      <xdr:col>20</xdr:col>
      <xdr:colOff>132080</xdr:colOff>
      <xdr:row>25</xdr:row>
      <xdr:rowOff>47626</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13122</xdr:colOff>
      <xdr:row>17</xdr:row>
      <xdr:rowOff>6745</xdr:rowOff>
    </xdr:from>
    <xdr:to>
      <xdr:col>14</xdr:col>
      <xdr:colOff>0</xdr:colOff>
      <xdr:row>31</xdr:row>
      <xdr:rowOff>82945</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690</xdr:rowOff>
    </xdr:from>
    <xdr:to>
      <xdr:col>15</xdr:col>
      <xdr:colOff>311882</xdr:colOff>
      <xdr:row>49</xdr:row>
      <xdr:rowOff>71447</xdr:rowOff>
    </xdr:to>
    <xdr:graphicFrame macro="">
      <xdr:nvGraphicFramePr>
        <xdr:cNvPr id="8" name="Grafiek 7">
          <a:extLst>
            <a:ext uri="{FF2B5EF4-FFF2-40B4-BE49-F238E27FC236}">
              <a16:creationId xmlns:a16="http://schemas.microsoft.com/office/drawing/2014/main" i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121</xdr:col>
      <xdr:colOff>16577</xdr:colOff>
      <xdr:row>37</xdr:row>
      <xdr:rowOff>23811</xdr:rowOff>
    </xdr:from>
    <xdr:to>
      <xdr:col>131</xdr:col>
      <xdr:colOff>345191</xdr:colOff>
      <xdr:row>79</xdr:row>
      <xdr:rowOff>9524</xdr:rowOff>
    </xdr:to>
    <xdr:graphicFrame macro="">
      <xdr:nvGraphicFramePr>
        <xdr:cNvPr id="9" name="Grafiek 8">
          <a:extLst>
            <a:ext uri="{FF2B5EF4-FFF2-40B4-BE49-F238E27FC236}">
              <a16:creationId xmlns:a16="http://schemas.microsoft.com/office/drawing/2014/main" i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67</xdr:row>
      <xdr:rowOff>152076</xdr:rowOff>
    </xdr:from>
    <xdr:to>
      <xdr:col>13</xdr:col>
      <xdr:colOff>35319</xdr:colOff>
      <xdr:row>86</xdr:row>
      <xdr:rowOff>27576</xdr:rowOff>
    </xdr:to>
    <xdr:graphicFrame macro="">
      <xdr:nvGraphicFramePr>
        <xdr:cNvPr id="10" name="Grafiek 9">
          <a:extLst>
            <a:ext uri="{FF2B5EF4-FFF2-40B4-BE49-F238E27FC236}">
              <a16:creationId xmlns:a16="http://schemas.microsoft.com/office/drawing/2014/main" i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49</xdr:row>
      <xdr:rowOff>180127</xdr:rowOff>
    </xdr:from>
    <xdr:to>
      <xdr:col>15</xdr:col>
      <xdr:colOff>313459</xdr:colOff>
      <xdr:row>64</xdr:row>
      <xdr:rowOff>65827</xdr:rowOff>
    </xdr:to>
    <xdr:graphicFrame macro="">
      <xdr:nvGraphicFramePr>
        <xdr:cNvPr id="11" name="Grafiek 10">
          <a:extLst>
            <a:ext uri="{FF2B5EF4-FFF2-40B4-BE49-F238E27FC236}">
              <a16:creationId xmlns:a16="http://schemas.microsoft.com/office/drawing/2014/main" i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109</xdr:col>
      <xdr:colOff>473776</xdr:colOff>
      <xdr:row>37</xdr:row>
      <xdr:rowOff>92869</xdr:rowOff>
    </xdr:from>
    <xdr:to>
      <xdr:col>117</xdr:col>
      <xdr:colOff>345189</xdr:colOff>
      <xdr:row>79</xdr:row>
      <xdr:rowOff>92869</xdr:rowOff>
    </xdr:to>
    <xdr:graphicFrame macro="">
      <xdr:nvGraphicFramePr>
        <xdr:cNvPr id="13" name="Grafiek 12">
          <a:extLst>
            <a:ext uri="{FF2B5EF4-FFF2-40B4-BE49-F238E27FC236}">
              <a16:creationId xmlns:a16="http://schemas.microsoft.com/office/drawing/2014/main" i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147931</xdr:colOff>
      <xdr:row>49</xdr:row>
      <xdr:rowOff>179597</xdr:rowOff>
    </xdr:from>
    <xdr:to>
      <xdr:col>31</xdr:col>
      <xdr:colOff>348342</xdr:colOff>
      <xdr:row>64</xdr:row>
      <xdr:rowOff>65297</xdr:rowOff>
    </xdr:to>
    <xdr:graphicFrame macro="">
      <xdr:nvGraphicFramePr>
        <xdr:cNvPr id="14" name="Grafiek 13">
          <a:extLst>
            <a:ext uri="{FF2B5EF4-FFF2-40B4-BE49-F238E27FC236}">
              <a16:creationId xmlns:a16="http://schemas.microsoft.com/office/drawing/2014/main" i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568996</xdr:colOff>
      <xdr:row>50</xdr:row>
      <xdr:rowOff>97</xdr:rowOff>
    </xdr:from>
    <xdr:to>
      <xdr:col>44</xdr:col>
      <xdr:colOff>497976</xdr:colOff>
      <xdr:row>64</xdr:row>
      <xdr:rowOff>70854</xdr:rowOff>
    </xdr:to>
    <xdr:graphicFrame macro="">
      <xdr:nvGraphicFramePr>
        <xdr:cNvPr id="12" name="Grafiek 11">
          <a:extLst>
            <a:ext uri="{FF2B5EF4-FFF2-40B4-BE49-F238E27FC236}">
              <a16:creationId xmlns:a16="http://schemas.microsoft.com/office/drawing/2014/main" i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569789</xdr:colOff>
      <xdr:row>34</xdr:row>
      <xdr:rowOff>180212</xdr:rowOff>
    </xdr:from>
    <xdr:to>
      <xdr:col>44</xdr:col>
      <xdr:colOff>508476</xdr:colOff>
      <xdr:row>49</xdr:row>
      <xdr:rowOff>73532</xdr:rowOff>
    </xdr:to>
    <xdr:graphicFrame macro="">
      <xdr:nvGraphicFramePr>
        <xdr:cNvPr id="16" name="Grafiek 15">
          <a:extLst>
            <a:ext uri="{FF2B5EF4-FFF2-40B4-BE49-F238E27FC236}">
              <a16:creationId xmlns:a16="http://schemas.microsoft.com/office/drawing/2014/main" id="{2F444C72-7EB6-4369-9FD8-9DBE8A33C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124733</xdr:colOff>
      <xdr:row>67</xdr:row>
      <xdr:rowOff>149687</xdr:rowOff>
    </xdr:from>
    <xdr:to>
      <xdr:col>26</xdr:col>
      <xdr:colOff>201400</xdr:colOff>
      <xdr:row>86</xdr:row>
      <xdr:rowOff>25183</xdr:rowOff>
    </xdr:to>
    <xdr:graphicFrame macro="">
      <xdr:nvGraphicFramePr>
        <xdr:cNvPr id="17" name="Grafiek 16">
          <a:extLst>
            <a:ext uri="{FF2B5EF4-FFF2-40B4-BE49-F238E27FC236}">
              <a16:creationId xmlns:a16="http://schemas.microsoft.com/office/drawing/2014/main" id="{5FC04844-5179-4A40-90BB-3855CCE3A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292553</xdr:colOff>
      <xdr:row>67</xdr:row>
      <xdr:rowOff>149687</xdr:rowOff>
    </xdr:from>
    <xdr:to>
      <xdr:col>36</xdr:col>
      <xdr:colOff>51719</xdr:colOff>
      <xdr:row>86</xdr:row>
      <xdr:rowOff>25187</xdr:rowOff>
    </xdr:to>
    <xdr:graphicFrame macro="">
      <xdr:nvGraphicFramePr>
        <xdr:cNvPr id="18" name="Grafiek 17">
          <a:extLst>
            <a:ext uri="{FF2B5EF4-FFF2-40B4-BE49-F238E27FC236}">
              <a16:creationId xmlns:a16="http://schemas.microsoft.com/office/drawing/2014/main" id="{1FA916A2-9CD2-417D-A2CF-5CFB98F23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149675</xdr:colOff>
      <xdr:row>67</xdr:row>
      <xdr:rowOff>149698</xdr:rowOff>
    </xdr:from>
    <xdr:to>
      <xdr:col>45</xdr:col>
      <xdr:colOff>490925</xdr:colOff>
      <xdr:row>86</xdr:row>
      <xdr:rowOff>25198</xdr:rowOff>
    </xdr:to>
    <xdr:graphicFrame macro="">
      <xdr:nvGraphicFramePr>
        <xdr:cNvPr id="19" name="Grafiek 18">
          <a:extLst>
            <a:ext uri="{FF2B5EF4-FFF2-40B4-BE49-F238E27FC236}">
              <a16:creationId xmlns:a16="http://schemas.microsoft.com/office/drawing/2014/main" id="{108A0FE1-E01D-488E-914B-C7B39E743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86</xdr:row>
      <xdr:rowOff>128507</xdr:rowOff>
    </xdr:from>
    <xdr:to>
      <xdr:col>13</xdr:col>
      <xdr:colOff>30551</xdr:colOff>
      <xdr:row>105</xdr:row>
      <xdr:rowOff>4007</xdr:rowOff>
    </xdr:to>
    <xdr:graphicFrame macro="">
      <xdr:nvGraphicFramePr>
        <xdr:cNvPr id="20" name="Grafiek 19">
          <a:extLst>
            <a:ext uri="{FF2B5EF4-FFF2-40B4-BE49-F238E27FC236}">
              <a16:creationId xmlns:a16="http://schemas.microsoft.com/office/drawing/2014/main" id="{597FEB8F-3C65-4667-B017-128B2F908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130550</xdr:colOff>
      <xdr:row>86</xdr:row>
      <xdr:rowOff>126117</xdr:rowOff>
    </xdr:from>
    <xdr:to>
      <xdr:col>26</xdr:col>
      <xdr:colOff>207217</xdr:colOff>
      <xdr:row>105</xdr:row>
      <xdr:rowOff>1617</xdr:rowOff>
    </xdr:to>
    <xdr:graphicFrame macro="">
      <xdr:nvGraphicFramePr>
        <xdr:cNvPr id="21" name="Grafiek 20">
          <a:extLst>
            <a:ext uri="{FF2B5EF4-FFF2-40B4-BE49-F238E27FC236}">
              <a16:creationId xmlns:a16="http://schemas.microsoft.com/office/drawing/2014/main" id="{1E500EF4-5341-4EED-A562-CCCB8FE9E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308953</xdr:colOff>
      <xdr:row>86</xdr:row>
      <xdr:rowOff>126118</xdr:rowOff>
    </xdr:from>
    <xdr:to>
      <xdr:col>36</xdr:col>
      <xdr:colOff>68119</xdr:colOff>
      <xdr:row>105</xdr:row>
      <xdr:rowOff>1618</xdr:rowOff>
    </xdr:to>
    <xdr:graphicFrame macro="">
      <xdr:nvGraphicFramePr>
        <xdr:cNvPr id="22" name="Grafiek 21">
          <a:extLst>
            <a:ext uri="{FF2B5EF4-FFF2-40B4-BE49-F238E27FC236}">
              <a16:creationId xmlns:a16="http://schemas.microsoft.com/office/drawing/2014/main" id="{2C25D6EB-8358-40F5-977C-11042E3E7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36</xdr:col>
      <xdr:colOff>155496</xdr:colOff>
      <xdr:row>86</xdr:row>
      <xdr:rowOff>126128</xdr:rowOff>
    </xdr:from>
    <xdr:to>
      <xdr:col>45</xdr:col>
      <xdr:colOff>496746</xdr:colOff>
      <xdr:row>105</xdr:row>
      <xdr:rowOff>1628</xdr:rowOff>
    </xdr:to>
    <xdr:graphicFrame macro="">
      <xdr:nvGraphicFramePr>
        <xdr:cNvPr id="23" name="Grafiek 22">
          <a:extLst>
            <a:ext uri="{FF2B5EF4-FFF2-40B4-BE49-F238E27FC236}">
              <a16:creationId xmlns:a16="http://schemas.microsoft.com/office/drawing/2014/main" id="{2E013790-D2C4-46F8-97FA-6BCE9879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143186</xdr:colOff>
      <xdr:row>35</xdr:row>
      <xdr:rowOff>0</xdr:rowOff>
    </xdr:from>
    <xdr:to>
      <xdr:col>31</xdr:col>
      <xdr:colOff>343597</xdr:colOff>
      <xdr:row>49</xdr:row>
      <xdr:rowOff>76200</xdr:rowOff>
    </xdr:to>
    <xdr:graphicFrame macro="">
      <xdr:nvGraphicFramePr>
        <xdr:cNvPr id="24" name="Grafiek 23">
          <a:extLst>
            <a:ext uri="{FF2B5EF4-FFF2-40B4-BE49-F238E27FC236}">
              <a16:creationId xmlns:a16="http://schemas.microsoft.com/office/drawing/2014/main" id="{08A73EF3-A050-4D2E-845A-2BDC47B81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zoomScale="80" zoomScaleNormal="80" workbookViewId="0">
      <selection activeCell="H3" sqref="H3"/>
    </sheetView>
  </sheetViews>
  <sheetFormatPr defaultColWidth="8.7109375" defaultRowHeight="14.45"/>
  <cols>
    <col min="1" max="9" width="8.7109375" style="46"/>
    <col min="10" max="16" width="19.42578125" style="47" customWidth="1"/>
    <col min="17" max="16384" width="8.7109375" style="46"/>
  </cols>
  <sheetData>
    <row r="2" spans="1:10" ht="21">
      <c r="A2" s="45" t="s">
        <v>0</v>
      </c>
      <c r="J2" s="45"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U128"/>
  <sheetViews>
    <sheetView showGridLines="0" tabSelected="1" topLeftCell="A120" zoomScale="70" zoomScaleNormal="70" workbookViewId="0">
      <selection activeCell="B51" sqref="B51"/>
    </sheetView>
  </sheetViews>
  <sheetFormatPr defaultColWidth="8.7109375" defaultRowHeight="14.45"/>
  <cols>
    <col min="1" max="1" width="3.5703125" style="62" bestFit="1" customWidth="1"/>
    <col min="2" max="2" width="91.7109375" style="63" customWidth="1"/>
    <col min="3" max="4" width="18.5703125" style="60" customWidth="1"/>
    <col min="5" max="9" width="33.85546875" style="61" customWidth="1"/>
    <col min="10" max="20" width="13.85546875" style="61" customWidth="1"/>
    <col min="21" max="16384" width="8.7109375" style="62"/>
  </cols>
  <sheetData>
    <row r="1" spans="2:9" ht="25.9">
      <c r="B1" s="126" t="s">
        <v>2</v>
      </c>
    </row>
    <row r="2" spans="2:9" ht="25.9">
      <c r="B2" s="126"/>
    </row>
    <row r="3" spans="2:9" ht="23.45">
      <c r="B3" s="187" t="s">
        <v>3</v>
      </c>
      <c r="C3" s="188"/>
      <c r="D3" s="189"/>
      <c r="E3" s="60"/>
      <c r="F3" s="60"/>
      <c r="G3" s="60"/>
      <c r="H3" s="60"/>
    </row>
    <row r="4" spans="2:9">
      <c r="B4" s="178" t="s">
        <v>4</v>
      </c>
      <c r="C4" s="179"/>
      <c r="D4" s="180"/>
      <c r="E4" s="60"/>
      <c r="F4" s="60"/>
      <c r="G4" s="60"/>
      <c r="H4" s="60"/>
      <c r="I4" s="106"/>
    </row>
    <row r="5" spans="2:9">
      <c r="B5" s="181"/>
      <c r="C5" s="182"/>
      <c r="D5" s="183"/>
      <c r="E5" s="60"/>
      <c r="F5" s="60"/>
      <c r="G5" s="60"/>
      <c r="H5" s="60"/>
      <c r="I5" s="106"/>
    </row>
    <row r="6" spans="2:9">
      <c r="B6" s="181"/>
      <c r="C6" s="182"/>
      <c r="D6" s="183"/>
      <c r="E6" s="60"/>
      <c r="F6" s="60"/>
      <c r="G6" s="60"/>
      <c r="H6" s="60"/>
      <c r="I6" s="106"/>
    </row>
    <row r="7" spans="2:9">
      <c r="B7" s="181"/>
      <c r="C7" s="182"/>
      <c r="D7" s="183"/>
      <c r="E7" s="60"/>
      <c r="F7" s="60"/>
      <c r="G7" s="60"/>
      <c r="H7" s="60"/>
      <c r="I7" s="106"/>
    </row>
    <row r="8" spans="2:9">
      <c r="B8" s="181"/>
      <c r="C8" s="182"/>
      <c r="D8" s="183"/>
      <c r="E8" s="60"/>
      <c r="F8" s="60"/>
      <c r="G8" s="60"/>
      <c r="H8" s="60"/>
      <c r="I8" s="106"/>
    </row>
    <row r="9" spans="2:9">
      <c r="B9" s="181"/>
      <c r="C9" s="182"/>
      <c r="D9" s="183"/>
      <c r="E9" s="60"/>
      <c r="F9" s="60"/>
      <c r="G9" s="60"/>
      <c r="H9" s="60"/>
      <c r="I9" s="106"/>
    </row>
    <row r="10" spans="2:9">
      <c r="B10" s="181"/>
      <c r="C10" s="182"/>
      <c r="D10" s="183"/>
      <c r="E10" s="60"/>
      <c r="F10" s="60"/>
      <c r="G10" s="60"/>
      <c r="H10" s="60"/>
      <c r="I10" s="106"/>
    </row>
    <row r="11" spans="2:9">
      <c r="B11" s="181"/>
      <c r="C11" s="182"/>
      <c r="D11" s="183"/>
      <c r="E11" s="60"/>
      <c r="F11" s="60"/>
      <c r="G11" s="60"/>
      <c r="H11" s="60"/>
      <c r="I11" s="106"/>
    </row>
    <row r="12" spans="2:9">
      <c r="B12" s="181"/>
      <c r="C12" s="182"/>
      <c r="D12" s="183"/>
      <c r="E12" s="60"/>
      <c r="F12" s="60"/>
      <c r="G12" s="60"/>
      <c r="H12" s="60"/>
      <c r="I12" s="106"/>
    </row>
    <row r="13" spans="2:9">
      <c r="B13" s="181"/>
      <c r="C13" s="182"/>
      <c r="D13" s="183"/>
      <c r="E13" s="60"/>
      <c r="F13" s="60"/>
      <c r="G13" s="60"/>
      <c r="H13" s="60"/>
      <c r="I13" s="106"/>
    </row>
    <row r="14" spans="2:9">
      <c r="B14" s="181"/>
      <c r="C14" s="182"/>
      <c r="D14" s="183"/>
      <c r="E14" s="60"/>
      <c r="F14" s="60"/>
      <c r="G14" s="60"/>
      <c r="H14" s="60"/>
      <c r="I14" s="106"/>
    </row>
    <row r="15" spans="2:9">
      <c r="B15" s="181"/>
      <c r="C15" s="182"/>
      <c r="D15" s="183"/>
      <c r="E15" s="60"/>
      <c r="F15" s="60"/>
      <c r="G15" s="60"/>
      <c r="H15" s="60"/>
      <c r="I15" s="106"/>
    </row>
    <row r="16" spans="2:9">
      <c r="B16" s="181"/>
      <c r="C16" s="182"/>
      <c r="D16" s="183"/>
      <c r="E16" s="60"/>
      <c r="F16" s="60"/>
      <c r="G16" s="60"/>
      <c r="H16" s="60"/>
      <c r="I16" s="106"/>
    </row>
    <row r="17" spans="1:21">
      <c r="B17" s="181"/>
      <c r="C17" s="182"/>
      <c r="D17" s="183"/>
      <c r="E17" s="60"/>
      <c r="F17" s="60"/>
      <c r="G17" s="60"/>
      <c r="H17" s="60"/>
      <c r="I17" s="106"/>
    </row>
    <row r="18" spans="1:21">
      <c r="B18" s="181"/>
      <c r="C18" s="182"/>
      <c r="D18" s="183"/>
      <c r="E18" s="60"/>
      <c r="F18" s="60"/>
      <c r="G18" s="60"/>
      <c r="H18" s="60"/>
      <c r="I18" s="106"/>
    </row>
    <row r="19" spans="1:21">
      <c r="B19" s="181"/>
      <c r="C19" s="182"/>
      <c r="D19" s="183"/>
      <c r="E19" s="60"/>
      <c r="F19" s="60"/>
      <c r="G19" s="60"/>
      <c r="H19" s="60"/>
      <c r="I19" s="106"/>
    </row>
    <row r="20" spans="1:21">
      <c r="B20" s="181"/>
      <c r="C20" s="182"/>
      <c r="D20" s="183"/>
      <c r="E20" s="60"/>
      <c r="F20" s="60"/>
      <c r="G20" s="60"/>
      <c r="H20" s="60"/>
      <c r="I20" s="106"/>
    </row>
    <row r="21" spans="1:21">
      <c r="B21" s="181"/>
      <c r="C21" s="182"/>
      <c r="D21" s="183"/>
      <c r="E21" s="60"/>
      <c r="F21" s="60"/>
      <c r="G21" s="60"/>
      <c r="H21" s="60"/>
      <c r="I21" s="106"/>
    </row>
    <row r="22" spans="1:21">
      <c r="B22" s="184"/>
      <c r="C22" s="185"/>
      <c r="D22" s="186"/>
      <c r="E22" s="60"/>
      <c r="F22" s="60"/>
      <c r="G22" s="60"/>
      <c r="H22" s="60"/>
      <c r="I22" s="106"/>
    </row>
    <row r="23" spans="1:21">
      <c r="B23" s="127"/>
    </row>
    <row r="24" spans="1:21">
      <c r="B24" s="142"/>
      <c r="C24" s="190" t="s">
        <v>5</v>
      </c>
      <c r="D24" s="191"/>
      <c r="E24" s="190" t="s">
        <v>6</v>
      </c>
      <c r="F24" s="192"/>
      <c r="G24" s="192"/>
      <c r="H24" s="192"/>
      <c r="I24" s="191"/>
      <c r="L24" s="62"/>
      <c r="M24" s="62"/>
      <c r="N24" s="62"/>
      <c r="O24" s="62"/>
      <c r="P24" s="62"/>
      <c r="Q24" s="62"/>
      <c r="R24" s="62"/>
      <c r="S24" s="62"/>
      <c r="T24" s="62"/>
    </row>
    <row r="25" spans="1:21" s="57" customFormat="1" ht="28.9">
      <c r="B25" s="158" t="s">
        <v>7</v>
      </c>
      <c r="C25" s="161" t="s">
        <v>8</v>
      </c>
      <c r="D25" s="161" t="s">
        <v>9</v>
      </c>
      <c r="E25" s="161">
        <v>1</v>
      </c>
      <c r="F25" s="161">
        <v>2</v>
      </c>
      <c r="G25" s="161">
        <v>3</v>
      </c>
      <c r="H25" s="161">
        <v>4</v>
      </c>
      <c r="I25" s="161">
        <v>5</v>
      </c>
      <c r="J25" s="59"/>
      <c r="K25" s="59"/>
    </row>
    <row r="26" spans="1:21" ht="60.75">
      <c r="B26" s="159" t="s">
        <v>10</v>
      </c>
      <c r="C26" s="162">
        <v>2</v>
      </c>
      <c r="D26" s="162">
        <v>3</v>
      </c>
      <c r="E26" s="160" t="s">
        <v>11</v>
      </c>
      <c r="F26" s="160" t="s">
        <v>12</v>
      </c>
      <c r="G26" s="160" t="s">
        <v>13</v>
      </c>
      <c r="H26" s="160" t="s">
        <v>14</v>
      </c>
      <c r="I26" s="160" t="s">
        <v>15</v>
      </c>
      <c r="L26" s="62"/>
      <c r="M26" s="62"/>
      <c r="N26" s="62"/>
      <c r="O26" s="62"/>
      <c r="P26" s="62"/>
      <c r="Q26" s="62"/>
      <c r="R26" s="62"/>
      <c r="S26" s="62"/>
      <c r="T26" s="62"/>
    </row>
    <row r="27" spans="1:21">
      <c r="B27" s="128"/>
      <c r="U27" s="58"/>
    </row>
    <row r="28" spans="1:21" s="57" customFormat="1" ht="28.9">
      <c r="A28" s="108"/>
      <c r="B28" s="131" t="s">
        <v>16</v>
      </c>
      <c r="C28" s="163" t="s">
        <v>8</v>
      </c>
      <c r="D28" s="166" t="s">
        <v>9</v>
      </c>
      <c r="E28" s="138">
        <v>1</v>
      </c>
      <c r="F28" s="122">
        <v>2</v>
      </c>
      <c r="G28" s="122">
        <v>3</v>
      </c>
      <c r="H28" s="122">
        <v>4</v>
      </c>
      <c r="I28" s="123">
        <v>5</v>
      </c>
      <c r="J28" s="59"/>
      <c r="K28" s="59"/>
      <c r="L28" s="59"/>
      <c r="M28" s="59"/>
      <c r="N28" s="59"/>
      <c r="O28" s="59"/>
      <c r="P28" s="59"/>
      <c r="Q28" s="59"/>
      <c r="R28" s="59"/>
      <c r="S28" s="59"/>
      <c r="T28" s="59"/>
      <c r="U28" s="64"/>
    </row>
    <row r="29" spans="1:21" ht="100.9">
      <c r="A29" s="109"/>
      <c r="B29" s="134" t="s">
        <v>17</v>
      </c>
      <c r="C29" s="140"/>
      <c r="D29" s="167"/>
      <c r="E29" s="139" t="s">
        <v>18</v>
      </c>
      <c r="F29" s="124" t="s">
        <v>19</v>
      </c>
      <c r="G29" s="124" t="s">
        <v>20</v>
      </c>
      <c r="H29" s="124" t="s">
        <v>21</v>
      </c>
      <c r="I29" s="125" t="s">
        <v>22</v>
      </c>
      <c r="U29" s="58"/>
    </row>
    <row r="30" spans="1:21" ht="100.9">
      <c r="A30" s="109"/>
      <c r="B30" s="134" t="s">
        <v>23</v>
      </c>
      <c r="C30" s="140"/>
      <c r="D30" s="167"/>
      <c r="E30" s="139" t="s">
        <v>24</v>
      </c>
      <c r="F30" s="124" t="s">
        <v>25</v>
      </c>
      <c r="G30" s="124" t="s">
        <v>26</v>
      </c>
      <c r="H30" s="124" t="s">
        <v>27</v>
      </c>
      <c r="I30" s="125" t="s">
        <v>28</v>
      </c>
    </row>
    <row r="31" spans="1:21" ht="100.9">
      <c r="A31" s="109"/>
      <c r="B31" s="134" t="s">
        <v>29</v>
      </c>
      <c r="C31" s="140"/>
      <c r="D31" s="167"/>
      <c r="E31" s="139" t="s">
        <v>30</v>
      </c>
      <c r="F31" s="124" t="s">
        <v>31</v>
      </c>
      <c r="G31" s="124" t="s">
        <v>32</v>
      </c>
      <c r="H31" s="124" t="s">
        <v>33</v>
      </c>
      <c r="I31" s="125" t="s">
        <v>34</v>
      </c>
    </row>
    <row r="32" spans="1:21" ht="115.15">
      <c r="A32" s="109"/>
      <c r="B32" s="134" t="s">
        <v>35</v>
      </c>
      <c r="C32" s="140"/>
      <c r="D32" s="167"/>
      <c r="E32" s="139" t="s">
        <v>36</v>
      </c>
      <c r="F32" s="124" t="s">
        <v>37</v>
      </c>
      <c r="G32" s="124" t="s">
        <v>38</v>
      </c>
      <c r="H32" s="124" t="s">
        <v>39</v>
      </c>
      <c r="I32" s="125" t="s">
        <v>40</v>
      </c>
    </row>
    <row r="33" spans="1:9" ht="86.45">
      <c r="A33" s="109"/>
      <c r="B33" s="134" t="s">
        <v>41</v>
      </c>
      <c r="C33" s="140"/>
      <c r="D33" s="167"/>
      <c r="E33" s="139" t="s">
        <v>42</v>
      </c>
      <c r="F33" s="124" t="s">
        <v>43</v>
      </c>
      <c r="G33" s="124" t="s">
        <v>44</v>
      </c>
      <c r="H33" s="124" t="s">
        <v>45</v>
      </c>
      <c r="I33" s="125" t="s">
        <v>46</v>
      </c>
    </row>
    <row r="34" spans="1:9" ht="72">
      <c r="A34" s="109"/>
      <c r="B34" s="134" t="s">
        <v>47</v>
      </c>
      <c r="C34" s="140"/>
      <c r="D34" s="167"/>
      <c r="E34" s="139" t="s">
        <v>48</v>
      </c>
      <c r="F34" s="124" t="s">
        <v>49</v>
      </c>
      <c r="G34" s="124" t="s">
        <v>50</v>
      </c>
      <c r="H34" s="124" t="s">
        <v>51</v>
      </c>
      <c r="I34" s="125" t="s">
        <v>52</v>
      </c>
    </row>
    <row r="35" spans="1:9">
      <c r="B35" s="127"/>
    </row>
    <row r="36" spans="1:9" ht="28.9">
      <c r="A36" s="110"/>
      <c r="B36" s="131" t="s">
        <v>53</v>
      </c>
      <c r="C36" s="163" t="s">
        <v>8</v>
      </c>
      <c r="D36" s="166" t="s">
        <v>9</v>
      </c>
      <c r="E36" s="193" t="s">
        <v>54</v>
      </c>
      <c r="F36" s="194"/>
      <c r="G36" s="194"/>
      <c r="H36" s="194"/>
      <c r="I36" s="195"/>
    </row>
    <row r="37" spans="1:9">
      <c r="A37" s="111"/>
      <c r="B37" s="134" t="s">
        <v>55</v>
      </c>
      <c r="C37" s="140"/>
      <c r="D37" s="167"/>
      <c r="E37" s="196"/>
      <c r="F37" s="197"/>
      <c r="G37" s="197"/>
      <c r="H37" s="197"/>
      <c r="I37" s="198"/>
    </row>
    <row r="38" spans="1:9" ht="28.9">
      <c r="A38" s="111"/>
      <c r="B38" s="134" t="s">
        <v>56</v>
      </c>
      <c r="C38" s="140"/>
      <c r="D38" s="167"/>
      <c r="E38" s="196"/>
      <c r="F38" s="197"/>
      <c r="G38" s="197"/>
      <c r="H38" s="197"/>
      <c r="I38" s="198"/>
    </row>
    <row r="39" spans="1:9">
      <c r="A39" s="111"/>
      <c r="B39" s="134" t="s">
        <v>57</v>
      </c>
      <c r="C39" s="140"/>
      <c r="D39" s="167"/>
      <c r="E39" s="196"/>
      <c r="F39" s="197"/>
      <c r="G39" s="197"/>
      <c r="H39" s="197"/>
      <c r="I39" s="198"/>
    </row>
    <row r="40" spans="1:9" ht="28.9">
      <c r="A40" s="111"/>
      <c r="B40" s="134" t="s">
        <v>58</v>
      </c>
      <c r="C40" s="140"/>
      <c r="D40" s="167"/>
      <c r="E40" s="196"/>
      <c r="F40" s="197"/>
      <c r="G40" s="197"/>
      <c r="H40" s="197"/>
      <c r="I40" s="198"/>
    </row>
    <row r="41" spans="1:9">
      <c r="A41" s="111"/>
      <c r="B41" s="134" t="s">
        <v>59</v>
      </c>
      <c r="C41" s="140"/>
      <c r="D41" s="167"/>
      <c r="E41" s="199"/>
      <c r="F41" s="200"/>
      <c r="G41" s="200"/>
      <c r="H41" s="200"/>
      <c r="I41" s="201"/>
    </row>
    <row r="42" spans="1:9">
      <c r="A42" s="1"/>
      <c r="B42" s="129"/>
      <c r="C42" s="107"/>
      <c r="D42" s="107"/>
      <c r="E42" s="62"/>
      <c r="F42" s="62"/>
      <c r="G42" s="62"/>
      <c r="H42" s="62"/>
      <c r="I42" s="62"/>
    </row>
    <row r="43" spans="1:9" ht="28.9">
      <c r="A43" s="112"/>
      <c r="B43" s="131" t="s">
        <v>60</v>
      </c>
      <c r="C43" s="163" t="s">
        <v>8</v>
      </c>
      <c r="D43" s="166" t="s">
        <v>9</v>
      </c>
      <c r="E43" s="169" t="s">
        <v>54</v>
      </c>
      <c r="F43" s="170"/>
      <c r="G43" s="170"/>
      <c r="H43" s="170"/>
      <c r="I43" s="171"/>
    </row>
    <row r="44" spans="1:9" ht="28.9">
      <c r="A44" s="113"/>
      <c r="B44" s="134" t="s">
        <v>61</v>
      </c>
      <c r="C44" s="140"/>
      <c r="D44" s="167"/>
      <c r="E44" s="172"/>
      <c r="F44" s="173"/>
      <c r="G44" s="173"/>
      <c r="H44" s="173"/>
      <c r="I44" s="174"/>
    </row>
    <row r="45" spans="1:9" ht="43.15">
      <c r="A45" s="113"/>
      <c r="B45" s="134" t="s">
        <v>62</v>
      </c>
      <c r="C45" s="140"/>
      <c r="D45" s="167"/>
      <c r="E45" s="172"/>
      <c r="F45" s="173"/>
      <c r="G45" s="173"/>
      <c r="H45" s="173"/>
      <c r="I45" s="174"/>
    </row>
    <row r="46" spans="1:9" ht="30.75">
      <c r="A46" s="113"/>
      <c r="B46" s="168" t="s">
        <v>63</v>
      </c>
      <c r="C46" s="140"/>
      <c r="D46" s="167"/>
      <c r="E46" s="172"/>
      <c r="F46" s="173"/>
      <c r="G46" s="173"/>
      <c r="H46" s="173"/>
      <c r="I46" s="174"/>
    </row>
    <row r="47" spans="1:9" ht="43.15">
      <c r="A47" s="113"/>
      <c r="B47" s="134" t="s">
        <v>64</v>
      </c>
      <c r="C47" s="140"/>
      <c r="D47" s="167"/>
      <c r="E47" s="175"/>
      <c r="F47" s="176"/>
      <c r="G47" s="176"/>
      <c r="H47" s="176"/>
      <c r="I47" s="177"/>
    </row>
    <row r="48" spans="1:9">
      <c r="A48"/>
      <c r="B48" s="130"/>
      <c r="C48"/>
      <c r="D48"/>
      <c r="E48"/>
      <c r="F48"/>
      <c r="G48"/>
      <c r="H48"/>
      <c r="I48"/>
    </row>
    <row r="49" spans="1:9" ht="28.9">
      <c r="A49" s="110"/>
      <c r="B49" s="131" t="s">
        <v>65</v>
      </c>
      <c r="C49" s="163" t="s">
        <v>8</v>
      </c>
      <c r="D49" s="164" t="s">
        <v>9</v>
      </c>
      <c r="E49" s="169" t="s">
        <v>54</v>
      </c>
      <c r="F49" s="170"/>
      <c r="G49" s="170"/>
      <c r="H49" s="170"/>
      <c r="I49" s="171"/>
    </row>
    <row r="50" spans="1:9" ht="43.15">
      <c r="A50" s="111"/>
      <c r="B50" s="134" t="s">
        <v>66</v>
      </c>
      <c r="C50" s="140"/>
      <c r="D50" s="165"/>
      <c r="E50" s="172"/>
      <c r="F50" s="173"/>
      <c r="G50" s="173"/>
      <c r="H50" s="173"/>
      <c r="I50" s="174"/>
    </row>
    <row r="51" spans="1:9" ht="45.75">
      <c r="A51" s="111"/>
      <c r="B51" s="134" t="s">
        <v>67</v>
      </c>
      <c r="C51" s="140"/>
      <c r="D51" s="165"/>
      <c r="E51" s="172"/>
      <c r="F51" s="173"/>
      <c r="G51" s="173"/>
      <c r="H51" s="173"/>
      <c r="I51" s="174"/>
    </row>
    <row r="52" spans="1:9" ht="43.15">
      <c r="A52" s="111"/>
      <c r="B52" s="134" t="s">
        <v>68</v>
      </c>
      <c r="C52" s="140"/>
      <c r="D52" s="165"/>
      <c r="E52" s="172"/>
      <c r="F52" s="173"/>
      <c r="G52" s="173"/>
      <c r="H52" s="173"/>
      <c r="I52" s="174"/>
    </row>
    <row r="53" spans="1:9" ht="28.9">
      <c r="A53" s="111"/>
      <c r="B53" s="134" t="s">
        <v>69</v>
      </c>
      <c r="C53" s="140"/>
      <c r="D53" s="165"/>
      <c r="E53" s="172"/>
      <c r="F53" s="173"/>
      <c r="G53" s="173"/>
      <c r="H53" s="173"/>
      <c r="I53" s="174"/>
    </row>
    <row r="54" spans="1:9" ht="28.9">
      <c r="A54" s="111"/>
      <c r="B54" s="134" t="s">
        <v>70</v>
      </c>
      <c r="C54" s="140"/>
      <c r="D54" s="165"/>
      <c r="E54" s="175"/>
      <c r="F54" s="176"/>
      <c r="G54" s="176"/>
      <c r="H54" s="176"/>
      <c r="I54" s="177"/>
    </row>
    <row r="55" spans="1:9">
      <c r="A55" s="1"/>
      <c r="B55" s="129"/>
      <c r="C55" s="107"/>
      <c r="D55" s="107"/>
      <c r="E55" s="62"/>
      <c r="F55" s="62"/>
      <c r="G55" s="62"/>
      <c r="H55" s="62"/>
      <c r="I55" s="62"/>
    </row>
    <row r="56" spans="1:9" ht="28.9">
      <c r="A56" s="112"/>
      <c r="B56" s="131" t="s">
        <v>71</v>
      </c>
      <c r="C56" s="163" t="s">
        <v>8</v>
      </c>
      <c r="D56" s="164" t="s">
        <v>9</v>
      </c>
      <c r="E56" s="169" t="s">
        <v>54</v>
      </c>
      <c r="F56" s="170"/>
      <c r="G56" s="170"/>
      <c r="H56" s="170"/>
      <c r="I56" s="171"/>
    </row>
    <row r="57" spans="1:9" ht="28.9">
      <c r="A57" s="113"/>
      <c r="B57" s="134" t="s">
        <v>72</v>
      </c>
      <c r="C57" s="140"/>
      <c r="D57" s="165"/>
      <c r="E57" s="172"/>
      <c r="F57" s="173"/>
      <c r="G57" s="173"/>
      <c r="H57" s="173"/>
      <c r="I57" s="174"/>
    </row>
    <row r="58" spans="1:9" ht="28.9">
      <c r="A58" s="113"/>
      <c r="B58" s="134" t="s">
        <v>73</v>
      </c>
      <c r="C58" s="140"/>
      <c r="D58" s="165"/>
      <c r="E58" s="172"/>
      <c r="F58" s="173"/>
      <c r="G58" s="173"/>
      <c r="H58" s="173"/>
      <c r="I58" s="174"/>
    </row>
    <row r="59" spans="1:9" ht="43.15">
      <c r="A59" s="113"/>
      <c r="B59" s="134" t="s">
        <v>74</v>
      </c>
      <c r="C59" s="140"/>
      <c r="D59" s="165"/>
      <c r="E59" s="172"/>
      <c r="F59" s="173"/>
      <c r="G59" s="173"/>
      <c r="H59" s="173"/>
      <c r="I59" s="174"/>
    </row>
    <row r="60" spans="1:9" ht="43.15">
      <c r="A60" s="113"/>
      <c r="B60" s="134" t="s">
        <v>75</v>
      </c>
      <c r="C60" s="140"/>
      <c r="D60" s="165"/>
      <c r="E60" s="172"/>
      <c r="F60" s="173"/>
      <c r="G60" s="173"/>
      <c r="H60" s="173"/>
      <c r="I60" s="174"/>
    </row>
    <row r="61" spans="1:9" ht="43.15">
      <c r="A61" s="113"/>
      <c r="B61" s="134" t="s">
        <v>76</v>
      </c>
      <c r="C61" s="140"/>
      <c r="D61" s="165"/>
      <c r="E61" s="175"/>
      <c r="F61" s="176"/>
      <c r="G61" s="176"/>
      <c r="H61" s="176"/>
      <c r="I61" s="177"/>
    </row>
    <row r="62" spans="1:9">
      <c r="A62" s="1"/>
      <c r="B62" s="129"/>
      <c r="C62" s="107"/>
      <c r="D62" s="107"/>
      <c r="E62" s="62"/>
      <c r="F62" s="62"/>
      <c r="G62" s="62"/>
      <c r="H62" s="62"/>
      <c r="I62" s="62"/>
    </row>
    <row r="63" spans="1:9" ht="28.9">
      <c r="A63" s="110"/>
      <c r="B63" s="131" t="s">
        <v>77</v>
      </c>
      <c r="C63" s="163" t="s">
        <v>8</v>
      </c>
      <c r="D63" s="164" t="s">
        <v>9</v>
      </c>
      <c r="E63" s="169" t="s">
        <v>54</v>
      </c>
      <c r="F63" s="170"/>
      <c r="G63" s="170"/>
      <c r="H63" s="170"/>
      <c r="I63" s="171"/>
    </row>
    <row r="64" spans="1:9" ht="43.15">
      <c r="A64" s="111"/>
      <c r="B64" s="134" t="s">
        <v>78</v>
      </c>
      <c r="C64" s="140"/>
      <c r="D64" s="165"/>
      <c r="E64" s="172"/>
      <c r="F64" s="173"/>
      <c r="G64" s="173"/>
      <c r="H64" s="173"/>
      <c r="I64" s="174"/>
    </row>
    <row r="65" spans="1:9" ht="28.9">
      <c r="A65" s="111"/>
      <c r="B65" s="134" t="s">
        <v>79</v>
      </c>
      <c r="C65" s="140"/>
      <c r="D65" s="165"/>
      <c r="E65" s="172"/>
      <c r="F65" s="173"/>
      <c r="G65" s="173"/>
      <c r="H65" s="173"/>
      <c r="I65" s="174"/>
    </row>
    <row r="66" spans="1:9" ht="43.15">
      <c r="A66" s="111"/>
      <c r="B66" s="134" t="s">
        <v>80</v>
      </c>
      <c r="C66" s="140"/>
      <c r="D66" s="165"/>
      <c r="E66" s="172"/>
      <c r="F66" s="173"/>
      <c r="G66" s="173"/>
      <c r="H66" s="173"/>
      <c r="I66" s="174"/>
    </row>
    <row r="67" spans="1:9" ht="28.9">
      <c r="A67" s="111"/>
      <c r="B67" s="134" t="s">
        <v>81</v>
      </c>
      <c r="C67" s="140"/>
      <c r="D67" s="165"/>
      <c r="E67" s="172"/>
      <c r="F67" s="173"/>
      <c r="G67" s="173"/>
      <c r="H67" s="173"/>
      <c r="I67" s="174"/>
    </row>
    <row r="68" spans="1:9" ht="28.9">
      <c r="A68" s="111"/>
      <c r="B68" s="134" t="s">
        <v>82</v>
      </c>
      <c r="C68" s="140"/>
      <c r="D68" s="165"/>
      <c r="E68" s="175"/>
      <c r="F68" s="176"/>
      <c r="G68" s="176"/>
      <c r="H68" s="176"/>
      <c r="I68" s="177"/>
    </row>
    <row r="69" spans="1:9">
      <c r="A69" s="1"/>
      <c r="B69" s="129"/>
      <c r="C69" s="107"/>
      <c r="D69" s="107"/>
      <c r="E69" s="62"/>
      <c r="F69" s="62"/>
      <c r="G69" s="62"/>
      <c r="H69" s="62"/>
      <c r="I69" s="62"/>
    </row>
    <row r="70" spans="1:9" ht="28.9">
      <c r="A70" s="112"/>
      <c r="B70" s="131" t="s">
        <v>83</v>
      </c>
      <c r="C70" s="163" t="s">
        <v>8</v>
      </c>
      <c r="D70" s="164" t="s">
        <v>9</v>
      </c>
      <c r="E70" s="169" t="s">
        <v>54</v>
      </c>
      <c r="F70" s="170"/>
      <c r="G70" s="170"/>
      <c r="H70" s="170"/>
      <c r="I70" s="171"/>
    </row>
    <row r="71" spans="1:9" ht="43.15">
      <c r="A71" s="113"/>
      <c r="B71" s="134" t="s">
        <v>84</v>
      </c>
      <c r="C71" s="140"/>
      <c r="D71" s="165"/>
      <c r="E71" s="172"/>
      <c r="F71" s="173"/>
      <c r="G71" s="173"/>
      <c r="H71" s="173"/>
      <c r="I71" s="174"/>
    </row>
    <row r="72" spans="1:9" ht="28.9">
      <c r="A72" s="113"/>
      <c r="B72" s="134" t="s">
        <v>85</v>
      </c>
      <c r="C72" s="140"/>
      <c r="D72" s="165"/>
      <c r="E72" s="172"/>
      <c r="F72" s="173"/>
      <c r="G72" s="173"/>
      <c r="H72" s="173"/>
      <c r="I72" s="174"/>
    </row>
    <row r="73" spans="1:9" ht="28.9">
      <c r="A73" s="113"/>
      <c r="B73" s="134" t="s">
        <v>86</v>
      </c>
      <c r="C73" s="140"/>
      <c r="D73" s="165"/>
      <c r="E73" s="172"/>
      <c r="F73" s="173"/>
      <c r="G73" s="173"/>
      <c r="H73" s="173"/>
      <c r="I73" s="174"/>
    </row>
    <row r="74" spans="1:9" ht="28.9">
      <c r="A74" s="113"/>
      <c r="B74" s="134" t="s">
        <v>87</v>
      </c>
      <c r="C74" s="140"/>
      <c r="D74" s="165"/>
      <c r="E74" s="172"/>
      <c r="F74" s="173"/>
      <c r="G74" s="173"/>
      <c r="H74" s="173"/>
      <c r="I74" s="174"/>
    </row>
    <row r="75" spans="1:9" ht="28.9">
      <c r="A75" s="113"/>
      <c r="B75" s="134" t="s">
        <v>88</v>
      </c>
      <c r="C75" s="140"/>
      <c r="D75" s="165"/>
      <c r="E75" s="172"/>
      <c r="F75" s="173"/>
      <c r="G75" s="173"/>
      <c r="H75" s="173"/>
      <c r="I75" s="174"/>
    </row>
    <row r="76" spans="1:9" ht="43.15">
      <c r="A76" s="113"/>
      <c r="B76" s="134" t="s">
        <v>89</v>
      </c>
      <c r="C76" s="140"/>
      <c r="D76" s="165"/>
      <c r="E76" s="172"/>
      <c r="F76" s="173"/>
      <c r="G76" s="173"/>
      <c r="H76" s="173"/>
      <c r="I76" s="174"/>
    </row>
    <row r="77" spans="1:9" ht="43.15">
      <c r="A77" s="113"/>
      <c r="B77" s="134" t="s">
        <v>90</v>
      </c>
      <c r="C77" s="140"/>
      <c r="D77" s="165"/>
      <c r="E77" s="172"/>
      <c r="F77" s="173"/>
      <c r="G77" s="173"/>
      <c r="H77" s="173"/>
      <c r="I77" s="174"/>
    </row>
    <row r="78" spans="1:9" ht="43.15">
      <c r="A78" s="113"/>
      <c r="B78" s="134" t="s">
        <v>91</v>
      </c>
      <c r="C78" s="140"/>
      <c r="D78" s="165"/>
      <c r="E78" s="175"/>
      <c r="F78" s="176"/>
      <c r="G78" s="176"/>
      <c r="H78" s="176"/>
      <c r="I78" s="177"/>
    </row>
    <row r="79" spans="1:9">
      <c r="A79" s="1"/>
      <c r="B79" s="129"/>
      <c r="C79" s="107"/>
      <c r="D79" s="107"/>
      <c r="E79" s="62"/>
      <c r="F79" s="62"/>
      <c r="G79" s="62"/>
      <c r="H79" s="62"/>
      <c r="I79" s="62"/>
    </row>
    <row r="80" spans="1:9" ht="28.9">
      <c r="A80" s="110"/>
      <c r="B80" s="131" t="s">
        <v>92</v>
      </c>
      <c r="C80" s="163" t="s">
        <v>8</v>
      </c>
      <c r="D80" s="164" t="s">
        <v>9</v>
      </c>
      <c r="E80" s="169" t="s">
        <v>54</v>
      </c>
      <c r="F80" s="170"/>
      <c r="G80" s="170"/>
      <c r="H80" s="170"/>
      <c r="I80" s="171"/>
    </row>
    <row r="81" spans="1:20" ht="43.15">
      <c r="A81" s="111"/>
      <c r="B81" s="134" t="s">
        <v>93</v>
      </c>
      <c r="C81" s="140"/>
      <c r="D81" s="165"/>
      <c r="E81" s="172"/>
      <c r="F81" s="173"/>
      <c r="G81" s="173"/>
      <c r="H81" s="173"/>
      <c r="I81" s="174"/>
    </row>
    <row r="82" spans="1:20" ht="28.9">
      <c r="A82" s="111"/>
      <c r="B82" s="134" t="s">
        <v>94</v>
      </c>
      <c r="C82" s="140"/>
      <c r="D82" s="165"/>
      <c r="E82" s="172"/>
      <c r="F82" s="173"/>
      <c r="G82" s="173"/>
      <c r="H82" s="173"/>
      <c r="I82" s="174"/>
    </row>
    <row r="83" spans="1:20" ht="28.9">
      <c r="A83" s="111"/>
      <c r="B83" s="134" t="s">
        <v>95</v>
      </c>
      <c r="C83" s="140"/>
      <c r="D83" s="165"/>
      <c r="E83" s="172"/>
      <c r="F83" s="173"/>
      <c r="G83" s="173"/>
      <c r="H83" s="173"/>
      <c r="I83" s="174"/>
    </row>
    <row r="84" spans="1:20" ht="43.15">
      <c r="A84" s="111"/>
      <c r="B84" s="134" t="s">
        <v>96</v>
      </c>
      <c r="C84" s="140"/>
      <c r="D84" s="165"/>
      <c r="E84" s="172"/>
      <c r="F84" s="173"/>
      <c r="G84" s="173"/>
      <c r="H84" s="173"/>
      <c r="I84" s="174"/>
    </row>
    <row r="85" spans="1:20" ht="28.9">
      <c r="A85" s="111"/>
      <c r="B85" s="134" t="s">
        <v>97</v>
      </c>
      <c r="C85" s="140"/>
      <c r="D85" s="165"/>
      <c r="E85" s="175"/>
      <c r="F85" s="176"/>
      <c r="G85" s="176"/>
      <c r="H85" s="176"/>
      <c r="I85" s="177"/>
    </row>
    <row r="86" spans="1:20">
      <c r="A86" s="1"/>
      <c r="B86" s="129"/>
      <c r="C86" s="107"/>
      <c r="D86" s="107"/>
      <c r="E86" s="62"/>
      <c r="F86" s="62"/>
      <c r="G86" s="62"/>
      <c r="H86" s="62"/>
      <c r="I86" s="62"/>
    </row>
    <row r="87" spans="1:20" ht="28.9">
      <c r="A87" s="112"/>
      <c r="B87" s="131" t="s">
        <v>98</v>
      </c>
      <c r="C87" s="163" t="s">
        <v>8</v>
      </c>
      <c r="D87" s="164" t="s">
        <v>9</v>
      </c>
      <c r="E87" s="169" t="s">
        <v>54</v>
      </c>
      <c r="F87" s="170"/>
      <c r="G87" s="170"/>
      <c r="H87" s="170"/>
      <c r="I87" s="171"/>
    </row>
    <row r="88" spans="1:20">
      <c r="A88" s="113"/>
      <c r="B88" s="134" t="s">
        <v>99</v>
      </c>
      <c r="C88" s="140"/>
      <c r="D88" s="165"/>
      <c r="E88" s="172"/>
      <c r="F88" s="173"/>
      <c r="G88" s="173"/>
      <c r="H88" s="173"/>
      <c r="I88" s="174"/>
    </row>
    <row r="89" spans="1:20" ht="28.9">
      <c r="A89" s="113"/>
      <c r="B89" s="134" t="s">
        <v>100</v>
      </c>
      <c r="C89" s="140"/>
      <c r="D89" s="165"/>
      <c r="E89" s="172"/>
      <c r="F89" s="173"/>
      <c r="G89" s="173"/>
      <c r="H89" s="173"/>
      <c r="I89" s="174"/>
    </row>
    <row r="90" spans="1:20" ht="28.9">
      <c r="A90" s="113"/>
      <c r="B90" s="134" t="s">
        <v>101</v>
      </c>
      <c r="C90" s="140"/>
      <c r="D90" s="165"/>
      <c r="E90" s="175"/>
      <c r="F90" s="176"/>
      <c r="G90" s="176"/>
      <c r="H90" s="176"/>
      <c r="I90" s="177"/>
    </row>
    <row r="91" spans="1:20">
      <c r="B91" s="130"/>
      <c r="C91"/>
      <c r="D91"/>
      <c r="E91"/>
      <c r="F91"/>
      <c r="G91"/>
      <c r="H91"/>
      <c r="I91"/>
    </row>
    <row r="92" spans="1:20" s="57" customFormat="1" ht="28.9">
      <c r="A92" s="114"/>
      <c r="B92" s="131" t="s">
        <v>102</v>
      </c>
      <c r="C92" s="163" t="s">
        <v>8</v>
      </c>
      <c r="D92" s="164" t="s">
        <v>9</v>
      </c>
      <c r="E92" s="169" t="s">
        <v>54</v>
      </c>
      <c r="F92" s="170"/>
      <c r="G92" s="170"/>
      <c r="H92" s="170"/>
      <c r="I92" s="171"/>
      <c r="J92" s="59"/>
      <c r="K92" s="59"/>
      <c r="L92" s="59"/>
      <c r="M92" s="59"/>
      <c r="N92" s="59"/>
      <c r="O92" s="59"/>
      <c r="P92" s="59"/>
      <c r="Q92" s="59"/>
      <c r="R92" s="59"/>
      <c r="S92" s="59"/>
      <c r="T92" s="59"/>
    </row>
    <row r="93" spans="1:20" ht="28.9">
      <c r="A93" s="115">
        <v>1</v>
      </c>
      <c r="B93" s="141" t="s">
        <v>103</v>
      </c>
      <c r="C93" s="140"/>
      <c r="D93" s="165"/>
      <c r="E93" s="172"/>
      <c r="F93" s="173"/>
      <c r="G93" s="173"/>
      <c r="H93" s="173"/>
      <c r="I93" s="174"/>
      <c r="K93" s="67" t="s">
        <v>104</v>
      </c>
    </row>
    <row r="94" spans="1:20" ht="28.9">
      <c r="A94" s="115">
        <v>2</v>
      </c>
      <c r="B94" s="141" t="s">
        <v>105</v>
      </c>
      <c r="C94" s="140"/>
      <c r="D94" s="165"/>
      <c r="E94" s="172"/>
      <c r="F94" s="173"/>
      <c r="G94" s="173"/>
      <c r="H94" s="173"/>
      <c r="I94" s="174"/>
      <c r="K94" s="67" t="s">
        <v>106</v>
      </c>
    </row>
    <row r="95" spans="1:20" ht="28.9">
      <c r="A95" s="115">
        <v>3</v>
      </c>
      <c r="B95" s="141" t="s">
        <v>107</v>
      </c>
      <c r="C95" s="140"/>
      <c r="D95" s="165"/>
      <c r="E95" s="172"/>
      <c r="F95" s="173"/>
      <c r="G95" s="173"/>
      <c r="H95" s="173"/>
      <c r="I95" s="174"/>
      <c r="K95" s="67" t="s">
        <v>108</v>
      </c>
    </row>
    <row r="96" spans="1:20" ht="28.9">
      <c r="A96" s="115">
        <v>4</v>
      </c>
      <c r="B96" s="141" t="s">
        <v>109</v>
      </c>
      <c r="C96" s="140"/>
      <c r="D96" s="165"/>
      <c r="E96" s="172"/>
      <c r="F96" s="173"/>
      <c r="G96" s="173"/>
      <c r="H96" s="173"/>
      <c r="I96" s="174"/>
      <c r="K96" s="67" t="s">
        <v>110</v>
      </c>
    </row>
    <row r="97" spans="1:20" ht="28.9">
      <c r="A97" s="115">
        <v>5</v>
      </c>
      <c r="B97" s="141" t="s">
        <v>111</v>
      </c>
      <c r="C97" s="140"/>
      <c r="D97" s="165"/>
      <c r="E97" s="172"/>
      <c r="F97" s="173"/>
      <c r="G97" s="173"/>
      <c r="H97" s="173"/>
      <c r="I97" s="174"/>
      <c r="K97" s="67" t="s">
        <v>112</v>
      </c>
    </row>
    <row r="98" spans="1:20" ht="28.9">
      <c r="A98" s="115">
        <v>6</v>
      </c>
      <c r="B98" s="141" t="s">
        <v>113</v>
      </c>
      <c r="C98" s="140"/>
      <c r="D98" s="165"/>
      <c r="E98" s="172"/>
      <c r="F98" s="173"/>
      <c r="G98" s="173"/>
      <c r="H98" s="173"/>
      <c r="I98" s="174"/>
      <c r="K98" s="67" t="s">
        <v>114</v>
      </c>
    </row>
    <row r="99" spans="1:20" ht="28.9">
      <c r="A99" s="115">
        <v>7</v>
      </c>
      <c r="B99" s="141" t="s">
        <v>115</v>
      </c>
      <c r="C99" s="140"/>
      <c r="D99" s="165"/>
      <c r="E99" s="172"/>
      <c r="F99" s="173"/>
      <c r="G99" s="173"/>
      <c r="H99" s="173"/>
      <c r="I99" s="174"/>
      <c r="K99" s="67" t="s">
        <v>116</v>
      </c>
    </row>
    <row r="100" spans="1:20" ht="28.9">
      <c r="A100" s="115">
        <v>8</v>
      </c>
      <c r="B100" s="141" t="s">
        <v>117</v>
      </c>
      <c r="C100" s="140"/>
      <c r="D100" s="165"/>
      <c r="E100" s="172"/>
      <c r="F100" s="173"/>
      <c r="G100" s="173"/>
      <c r="H100" s="173"/>
      <c r="I100" s="174"/>
      <c r="K100" s="67" t="s">
        <v>118</v>
      </c>
    </row>
    <row r="101" spans="1:20" ht="28.9">
      <c r="A101" s="115">
        <v>9</v>
      </c>
      <c r="B101" s="141" t="s">
        <v>119</v>
      </c>
      <c r="C101" s="140"/>
      <c r="D101" s="165"/>
      <c r="E101" s="172"/>
      <c r="F101" s="173"/>
      <c r="G101" s="173"/>
      <c r="H101" s="173"/>
      <c r="I101" s="174"/>
      <c r="K101" s="67" t="s">
        <v>120</v>
      </c>
    </row>
    <row r="102" spans="1:20" ht="28.9">
      <c r="A102" s="115">
        <v>10</v>
      </c>
      <c r="B102" s="141" t="s">
        <v>121</v>
      </c>
      <c r="C102" s="140"/>
      <c r="D102" s="165"/>
      <c r="E102" s="172"/>
      <c r="F102" s="173"/>
      <c r="G102" s="173"/>
      <c r="H102" s="173"/>
      <c r="I102" s="174"/>
      <c r="K102" s="67" t="s">
        <v>122</v>
      </c>
    </row>
    <row r="103" spans="1:20" ht="28.9">
      <c r="A103" s="115">
        <v>11</v>
      </c>
      <c r="B103" s="141" t="s">
        <v>123</v>
      </c>
      <c r="C103" s="140"/>
      <c r="D103" s="165"/>
      <c r="E103" s="172"/>
      <c r="F103" s="173"/>
      <c r="G103" s="173"/>
      <c r="H103" s="173"/>
      <c r="I103" s="174"/>
      <c r="K103" s="67" t="s">
        <v>124</v>
      </c>
    </row>
    <row r="104" spans="1:20" ht="28.9">
      <c r="A104" s="115">
        <v>12</v>
      </c>
      <c r="B104" s="141" t="s">
        <v>125</v>
      </c>
      <c r="C104" s="140"/>
      <c r="D104" s="165"/>
      <c r="E104" s="172"/>
      <c r="F104" s="173"/>
      <c r="G104" s="173"/>
      <c r="H104" s="173"/>
      <c r="I104" s="174"/>
      <c r="K104" s="67" t="s">
        <v>126</v>
      </c>
    </row>
    <row r="105" spans="1:20" ht="28.9">
      <c r="A105" s="115">
        <v>13</v>
      </c>
      <c r="B105" s="141" t="s">
        <v>127</v>
      </c>
      <c r="C105" s="140"/>
      <c r="D105" s="165"/>
      <c r="E105" s="172"/>
      <c r="F105" s="173"/>
      <c r="G105" s="173"/>
      <c r="H105" s="173"/>
      <c r="I105" s="174"/>
      <c r="K105" s="67" t="s">
        <v>128</v>
      </c>
    </row>
    <row r="106" spans="1:20" ht="28.9">
      <c r="A106" s="115">
        <v>14</v>
      </c>
      <c r="B106" s="141" t="s">
        <v>129</v>
      </c>
      <c r="C106" s="140"/>
      <c r="D106" s="165"/>
      <c r="E106" s="172"/>
      <c r="F106" s="173"/>
      <c r="G106" s="173"/>
      <c r="H106" s="173"/>
      <c r="I106" s="174"/>
      <c r="K106" s="67" t="s">
        <v>130</v>
      </c>
    </row>
    <row r="107" spans="1:20" ht="43.15">
      <c r="A107" s="115">
        <v>15</v>
      </c>
      <c r="B107" s="141" t="s">
        <v>131</v>
      </c>
      <c r="C107" s="140"/>
      <c r="D107" s="165"/>
      <c r="E107" s="175"/>
      <c r="F107" s="176"/>
      <c r="G107" s="176"/>
      <c r="H107" s="176"/>
      <c r="I107" s="177"/>
      <c r="K107" s="67" t="s">
        <v>132</v>
      </c>
    </row>
    <row r="108" spans="1:20">
      <c r="B108" s="127"/>
    </row>
    <row r="109" spans="1:20" s="57" customFormat="1" ht="28.9">
      <c r="A109" s="116"/>
      <c r="B109" s="131" t="s">
        <v>133</v>
      </c>
      <c r="C109" s="163" t="s">
        <v>8</v>
      </c>
      <c r="D109" s="164" t="s">
        <v>9</v>
      </c>
      <c r="E109" s="138">
        <v>1</v>
      </c>
      <c r="F109" s="122">
        <v>2</v>
      </c>
      <c r="G109" s="122">
        <v>3</v>
      </c>
      <c r="H109" s="122">
        <v>4</v>
      </c>
      <c r="I109" s="123">
        <v>5</v>
      </c>
      <c r="J109" s="59"/>
      <c r="K109" s="59"/>
      <c r="L109" s="59"/>
      <c r="M109" s="59"/>
      <c r="N109" s="59"/>
      <c r="O109" s="59"/>
      <c r="P109" s="59"/>
      <c r="Q109" s="59"/>
      <c r="R109" s="59"/>
      <c r="S109" s="59"/>
      <c r="T109" s="59"/>
    </row>
    <row r="110" spans="1:20" ht="100.9">
      <c r="A110" s="117"/>
      <c r="B110" s="134" t="s">
        <v>134</v>
      </c>
      <c r="C110" s="140"/>
      <c r="D110" s="165"/>
      <c r="E110" s="139" t="s">
        <v>28</v>
      </c>
      <c r="F110" s="124" t="s">
        <v>135</v>
      </c>
      <c r="G110" s="124" t="s">
        <v>136</v>
      </c>
      <c r="H110" s="124" t="s">
        <v>137</v>
      </c>
      <c r="I110" s="125" t="s">
        <v>138</v>
      </c>
    </row>
    <row r="111" spans="1:20" ht="100.9">
      <c r="A111" s="117"/>
      <c r="B111" s="134" t="s">
        <v>139</v>
      </c>
      <c r="C111" s="140"/>
      <c r="D111" s="165"/>
      <c r="E111" s="139" t="s">
        <v>140</v>
      </c>
      <c r="F111" s="124" t="s">
        <v>141</v>
      </c>
      <c r="G111" s="124" t="s">
        <v>142</v>
      </c>
      <c r="H111" s="124" t="s">
        <v>143</v>
      </c>
      <c r="I111" s="125" t="s">
        <v>144</v>
      </c>
    </row>
    <row r="112" spans="1:20" ht="86.45">
      <c r="A112" s="117"/>
      <c r="B112" s="134" t="s">
        <v>145</v>
      </c>
      <c r="C112" s="140"/>
      <c r="D112" s="165"/>
      <c r="E112" s="139" t="s">
        <v>146</v>
      </c>
      <c r="F112" s="124" t="s">
        <v>147</v>
      </c>
      <c r="G112" s="124" t="s">
        <v>148</v>
      </c>
      <c r="H112" s="124" t="s">
        <v>149</v>
      </c>
      <c r="I112" s="125" t="s">
        <v>150</v>
      </c>
    </row>
    <row r="113" spans="1:20" ht="86.45">
      <c r="A113" s="117"/>
      <c r="B113" s="134" t="s">
        <v>151</v>
      </c>
      <c r="C113" s="140"/>
      <c r="D113" s="165"/>
      <c r="E113" s="139" t="s">
        <v>28</v>
      </c>
      <c r="F113" s="124" t="s">
        <v>152</v>
      </c>
      <c r="G113" s="124" t="s">
        <v>153</v>
      </c>
      <c r="H113" s="124" t="s">
        <v>154</v>
      </c>
      <c r="I113" s="125" t="s">
        <v>155</v>
      </c>
    </row>
    <row r="114" spans="1:20" ht="115.15">
      <c r="A114" s="117"/>
      <c r="B114" s="134" t="s">
        <v>156</v>
      </c>
      <c r="C114" s="140"/>
      <c r="D114" s="165"/>
      <c r="E114" s="139" t="s">
        <v>157</v>
      </c>
      <c r="F114" s="124" t="s">
        <v>158</v>
      </c>
      <c r="G114" s="124" t="s">
        <v>159</v>
      </c>
      <c r="H114" s="124" t="s">
        <v>160</v>
      </c>
      <c r="I114" s="125" t="s">
        <v>161</v>
      </c>
    </row>
    <row r="115" spans="1:20">
      <c r="B115" s="127"/>
    </row>
    <row r="116" spans="1:20" s="57" customFormat="1" ht="28.9">
      <c r="A116" s="118"/>
      <c r="B116" s="131" t="s">
        <v>162</v>
      </c>
      <c r="C116" s="163" t="s">
        <v>8</v>
      </c>
      <c r="D116" s="164" t="s">
        <v>9</v>
      </c>
      <c r="E116" s="138">
        <v>1</v>
      </c>
      <c r="F116" s="122">
        <v>2</v>
      </c>
      <c r="G116" s="122">
        <v>3</v>
      </c>
      <c r="H116" s="122">
        <v>4</v>
      </c>
      <c r="I116" s="123">
        <v>5</v>
      </c>
      <c r="J116" s="59"/>
      <c r="K116" s="59"/>
      <c r="L116" s="59"/>
      <c r="M116" s="59"/>
      <c r="N116" s="59"/>
      <c r="O116" s="59"/>
      <c r="P116" s="59"/>
      <c r="Q116" s="59"/>
      <c r="R116" s="59"/>
      <c r="S116" s="59"/>
      <c r="T116" s="59"/>
    </row>
    <row r="117" spans="1:20" ht="86.45">
      <c r="A117" s="119"/>
      <c r="B117" s="134" t="s">
        <v>163</v>
      </c>
      <c r="C117" s="140"/>
      <c r="D117" s="165"/>
      <c r="E117" s="139" t="s">
        <v>164</v>
      </c>
      <c r="F117" s="124" t="s">
        <v>165</v>
      </c>
      <c r="G117" s="124" t="s">
        <v>166</v>
      </c>
      <c r="H117" s="124" t="s">
        <v>167</v>
      </c>
      <c r="I117" s="125" t="s">
        <v>168</v>
      </c>
    </row>
    <row r="118" spans="1:20" ht="57.6">
      <c r="A118" s="119"/>
      <c r="B118" s="134" t="s">
        <v>169</v>
      </c>
      <c r="C118" s="140"/>
      <c r="D118" s="165"/>
      <c r="E118" s="139" t="s">
        <v>170</v>
      </c>
      <c r="F118" s="124" t="s">
        <v>171</v>
      </c>
      <c r="G118" s="124" t="s">
        <v>172</v>
      </c>
      <c r="H118" s="124" t="s">
        <v>173</v>
      </c>
      <c r="I118" s="125" t="s">
        <v>174</v>
      </c>
    </row>
    <row r="119" spans="1:20" ht="72">
      <c r="A119" s="119"/>
      <c r="B119" s="134" t="s">
        <v>175</v>
      </c>
      <c r="C119" s="140"/>
      <c r="D119" s="165"/>
      <c r="E119" s="139" t="s">
        <v>176</v>
      </c>
      <c r="F119" s="124" t="s">
        <v>177</v>
      </c>
      <c r="G119" s="124" t="s">
        <v>178</v>
      </c>
      <c r="H119" s="124" t="s">
        <v>179</v>
      </c>
      <c r="I119" s="125" t="s">
        <v>180</v>
      </c>
    </row>
    <row r="120" spans="1:20" ht="72">
      <c r="A120" s="119"/>
      <c r="B120" s="134" t="s">
        <v>181</v>
      </c>
      <c r="C120" s="140"/>
      <c r="D120" s="165"/>
      <c r="E120" s="139" t="s">
        <v>182</v>
      </c>
      <c r="F120" s="124" t="s">
        <v>183</v>
      </c>
      <c r="G120" s="124" t="s">
        <v>184</v>
      </c>
      <c r="H120" s="124" t="s">
        <v>185</v>
      </c>
      <c r="I120" s="125" t="s">
        <v>186</v>
      </c>
    </row>
    <row r="121" spans="1:20" ht="72">
      <c r="A121" s="119"/>
      <c r="B121" s="134" t="s">
        <v>187</v>
      </c>
      <c r="C121" s="140"/>
      <c r="D121" s="165"/>
      <c r="E121" s="139" t="s">
        <v>188</v>
      </c>
      <c r="F121" s="124" t="s">
        <v>189</v>
      </c>
      <c r="G121" s="124" t="s">
        <v>190</v>
      </c>
      <c r="H121" s="124" t="s">
        <v>191</v>
      </c>
      <c r="I121" s="125" t="s">
        <v>192</v>
      </c>
    </row>
    <row r="122" spans="1:20">
      <c r="B122" s="127"/>
    </row>
    <row r="123" spans="1:20" s="57" customFormat="1" ht="28.9">
      <c r="A123" s="120"/>
      <c r="B123" s="131" t="s">
        <v>193</v>
      </c>
      <c r="C123" s="163" t="s">
        <v>8</v>
      </c>
      <c r="D123" s="164" t="s">
        <v>9</v>
      </c>
      <c r="E123" s="132">
        <v>1</v>
      </c>
      <c r="F123" s="132">
        <v>2</v>
      </c>
      <c r="G123" s="132">
        <v>3</v>
      </c>
      <c r="H123" s="132">
        <v>4</v>
      </c>
      <c r="I123" s="133">
        <v>5</v>
      </c>
      <c r="J123" s="59"/>
      <c r="K123" s="59"/>
      <c r="L123" s="59"/>
      <c r="M123" s="59"/>
      <c r="N123" s="59"/>
      <c r="O123" s="59"/>
      <c r="P123" s="59"/>
      <c r="Q123" s="59"/>
      <c r="R123" s="59"/>
      <c r="S123" s="59"/>
      <c r="T123" s="59"/>
    </row>
    <row r="124" spans="1:20" ht="72">
      <c r="A124" s="121"/>
      <c r="B124" s="134" t="s">
        <v>194</v>
      </c>
      <c r="C124" s="140"/>
      <c r="D124" s="165"/>
      <c r="E124" s="135" t="s">
        <v>195</v>
      </c>
      <c r="F124" s="135" t="s">
        <v>196</v>
      </c>
      <c r="G124" s="135" t="s">
        <v>197</v>
      </c>
      <c r="H124" s="135" t="s">
        <v>198</v>
      </c>
      <c r="I124" s="136" t="s">
        <v>199</v>
      </c>
    </row>
    <row r="125" spans="1:20" ht="100.9">
      <c r="A125" s="121"/>
      <c r="B125" s="134" t="s">
        <v>200</v>
      </c>
      <c r="C125" s="140"/>
      <c r="D125" s="165"/>
      <c r="E125" s="135" t="s">
        <v>28</v>
      </c>
      <c r="F125" s="135" t="s">
        <v>201</v>
      </c>
      <c r="G125" s="135" t="s">
        <v>202</v>
      </c>
      <c r="H125" s="135" t="s">
        <v>203</v>
      </c>
      <c r="I125" s="136" t="s">
        <v>204</v>
      </c>
    </row>
    <row r="126" spans="1:20" ht="72">
      <c r="A126" s="121"/>
      <c r="B126" s="134" t="s">
        <v>205</v>
      </c>
      <c r="C126" s="140"/>
      <c r="D126" s="165"/>
      <c r="E126" s="135" t="s">
        <v>206</v>
      </c>
      <c r="F126" s="135" t="s">
        <v>207</v>
      </c>
      <c r="G126" s="135" t="s">
        <v>208</v>
      </c>
      <c r="H126" s="135" t="s">
        <v>209</v>
      </c>
      <c r="I126" s="136" t="s">
        <v>210</v>
      </c>
    </row>
    <row r="127" spans="1:20" ht="129.6">
      <c r="A127" s="121"/>
      <c r="B127" s="134" t="s">
        <v>211</v>
      </c>
      <c r="C127" s="140"/>
      <c r="D127" s="165"/>
      <c r="E127" s="137" t="s">
        <v>28</v>
      </c>
      <c r="F127" s="135" t="s">
        <v>212</v>
      </c>
      <c r="G127" s="135" t="s">
        <v>213</v>
      </c>
      <c r="H127" s="135" t="s">
        <v>214</v>
      </c>
      <c r="I127" s="136" t="s">
        <v>215</v>
      </c>
    </row>
    <row r="128" spans="1:20" ht="111.75" customHeight="1">
      <c r="A128" s="121"/>
      <c r="B128" s="134" t="s">
        <v>216</v>
      </c>
      <c r="C128" s="140"/>
      <c r="D128" s="165"/>
      <c r="E128" s="135" t="s">
        <v>217</v>
      </c>
      <c r="F128" s="135" t="s">
        <v>218</v>
      </c>
      <c r="G128" s="135" t="s">
        <v>219</v>
      </c>
      <c r="H128" s="135" t="s">
        <v>220</v>
      </c>
      <c r="I128" s="136" t="s">
        <v>221</v>
      </c>
    </row>
  </sheetData>
  <mergeCells count="13">
    <mergeCell ref="B4:D22"/>
    <mergeCell ref="B3:D3"/>
    <mergeCell ref="C24:D24"/>
    <mergeCell ref="E24:I24"/>
    <mergeCell ref="E36:I41"/>
    <mergeCell ref="E80:I85"/>
    <mergeCell ref="E87:I90"/>
    <mergeCell ref="E92:I107"/>
    <mergeCell ref="E43:I47"/>
    <mergeCell ref="E49:I54"/>
    <mergeCell ref="E56:I61"/>
    <mergeCell ref="E63:I68"/>
    <mergeCell ref="E70:I78"/>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CB36"/>
  <sheetViews>
    <sheetView topLeftCell="J1" zoomScale="80" zoomScaleNormal="80" workbookViewId="0">
      <selection activeCell="K3" sqref="K3"/>
    </sheetView>
  </sheetViews>
  <sheetFormatPr defaultColWidth="8.7109375" defaultRowHeight="14.45"/>
  <cols>
    <col min="1" max="1" width="8.7109375" bestFit="1" customWidth="1"/>
    <col min="2" max="4" width="25.7109375" customWidth="1"/>
    <col min="5" max="80" width="6.42578125" style="27" customWidth="1"/>
  </cols>
  <sheetData>
    <row r="1" spans="1:80" ht="15" thickBot="1">
      <c r="E1" s="71"/>
      <c r="F1" s="71"/>
      <c r="G1" s="71"/>
      <c r="H1" s="71"/>
      <c r="I1" s="71"/>
      <c r="J1" s="71"/>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69"/>
      <c r="AZ1" s="69"/>
      <c r="BA1" s="69"/>
      <c r="BB1" s="69"/>
      <c r="BC1" s="69"/>
      <c r="BD1" s="69"/>
      <c r="BE1" s="69"/>
      <c r="BF1" s="69"/>
      <c r="BG1" s="69"/>
      <c r="BH1" s="69"/>
      <c r="BI1" s="69"/>
      <c r="BJ1" s="69"/>
      <c r="BK1" s="69"/>
      <c r="BL1" s="69"/>
      <c r="BM1" s="69"/>
      <c r="BN1" s="72"/>
      <c r="BO1" s="72"/>
      <c r="BP1" s="72"/>
      <c r="BQ1" s="72"/>
      <c r="BR1" s="72"/>
      <c r="BS1" s="73"/>
      <c r="BT1" s="73"/>
      <c r="BU1" s="73"/>
      <c r="BV1" s="73"/>
      <c r="BW1" s="73"/>
      <c r="BX1" s="74"/>
      <c r="BY1" s="74"/>
      <c r="BZ1" s="74"/>
      <c r="CA1" s="74"/>
      <c r="CB1" s="74"/>
    </row>
    <row r="2" spans="1:80" s="1" customFormat="1" ht="100.9" customHeight="1">
      <c r="A2" s="34"/>
      <c r="B2" s="35"/>
      <c r="C2" s="35"/>
      <c r="D2" s="36"/>
      <c r="E2" s="37" t="s">
        <v>222</v>
      </c>
      <c r="F2" s="38" t="s">
        <v>222</v>
      </c>
      <c r="G2" s="38" t="s">
        <v>222</v>
      </c>
      <c r="H2" s="38" t="s">
        <v>222</v>
      </c>
      <c r="I2" s="39" t="s">
        <v>222</v>
      </c>
      <c r="J2" s="40" t="s">
        <v>222</v>
      </c>
      <c r="K2" s="37" t="s">
        <v>223</v>
      </c>
      <c r="L2" s="151" t="s">
        <v>223</v>
      </c>
      <c r="M2" s="151" t="s">
        <v>223</v>
      </c>
      <c r="N2" s="151" t="s">
        <v>223</v>
      </c>
      <c r="O2" s="151" t="s">
        <v>223</v>
      </c>
      <c r="P2" s="151" t="s">
        <v>223</v>
      </c>
      <c r="Q2" s="151" t="s">
        <v>223</v>
      </c>
      <c r="R2" s="151" t="s">
        <v>223</v>
      </c>
      <c r="S2" s="151" t="s">
        <v>223</v>
      </c>
      <c r="T2" s="151" t="s">
        <v>223</v>
      </c>
      <c r="U2" s="151" t="s">
        <v>223</v>
      </c>
      <c r="V2" s="151" t="s">
        <v>223</v>
      </c>
      <c r="W2" s="151" t="s">
        <v>223</v>
      </c>
      <c r="X2" s="151" t="s">
        <v>223</v>
      </c>
      <c r="Y2" s="151" t="s">
        <v>223</v>
      </c>
      <c r="Z2" s="151" t="s">
        <v>223</v>
      </c>
      <c r="AA2" s="151" t="s">
        <v>223</v>
      </c>
      <c r="AB2" s="151" t="s">
        <v>223</v>
      </c>
      <c r="AC2" s="151" t="s">
        <v>223</v>
      </c>
      <c r="AD2" s="151" t="s">
        <v>223</v>
      </c>
      <c r="AE2" s="151" t="s">
        <v>223</v>
      </c>
      <c r="AF2" s="151" t="s">
        <v>223</v>
      </c>
      <c r="AG2" s="151" t="s">
        <v>223</v>
      </c>
      <c r="AH2" s="151" t="s">
        <v>223</v>
      </c>
      <c r="AI2" s="151" t="s">
        <v>223</v>
      </c>
      <c r="AJ2" s="151" t="s">
        <v>223</v>
      </c>
      <c r="AK2" s="151" t="s">
        <v>223</v>
      </c>
      <c r="AL2" s="151" t="s">
        <v>223</v>
      </c>
      <c r="AM2" s="151" t="s">
        <v>223</v>
      </c>
      <c r="AN2" s="151" t="s">
        <v>223</v>
      </c>
      <c r="AO2" s="151" t="s">
        <v>223</v>
      </c>
      <c r="AP2" s="151" t="s">
        <v>223</v>
      </c>
      <c r="AQ2" s="151" t="s">
        <v>223</v>
      </c>
      <c r="AR2" s="151" t="s">
        <v>223</v>
      </c>
      <c r="AS2" s="151" t="s">
        <v>223</v>
      </c>
      <c r="AT2" s="151" t="s">
        <v>223</v>
      </c>
      <c r="AU2" s="151" t="s">
        <v>223</v>
      </c>
      <c r="AV2" s="151" t="s">
        <v>223</v>
      </c>
      <c r="AW2" s="151" t="s">
        <v>223</v>
      </c>
      <c r="AX2" s="152" t="s">
        <v>223</v>
      </c>
      <c r="AY2" s="157" t="s">
        <v>102</v>
      </c>
      <c r="AZ2" s="41" t="s">
        <v>102</v>
      </c>
      <c r="BA2" s="41" t="s">
        <v>102</v>
      </c>
      <c r="BB2" s="41" t="s">
        <v>102</v>
      </c>
      <c r="BC2" s="41" t="s">
        <v>102</v>
      </c>
      <c r="BD2" s="41" t="s">
        <v>102</v>
      </c>
      <c r="BE2" s="41" t="s">
        <v>102</v>
      </c>
      <c r="BF2" s="41" t="s">
        <v>102</v>
      </c>
      <c r="BG2" s="41" t="s">
        <v>102</v>
      </c>
      <c r="BH2" s="41" t="s">
        <v>102</v>
      </c>
      <c r="BI2" s="41" t="s">
        <v>102</v>
      </c>
      <c r="BJ2" s="41" t="s">
        <v>102</v>
      </c>
      <c r="BK2" s="38" t="s">
        <v>102</v>
      </c>
      <c r="BL2" s="38" t="s">
        <v>102</v>
      </c>
      <c r="BM2" s="38" t="s">
        <v>102</v>
      </c>
      <c r="BN2" s="37" t="s">
        <v>224</v>
      </c>
      <c r="BO2" s="38" t="s">
        <v>224</v>
      </c>
      <c r="BP2" s="38" t="s">
        <v>224</v>
      </c>
      <c r="BQ2" s="38" t="s">
        <v>224</v>
      </c>
      <c r="BR2" s="39" t="s">
        <v>224</v>
      </c>
      <c r="BS2" s="37" t="s">
        <v>225</v>
      </c>
      <c r="BT2" s="38" t="s">
        <v>225</v>
      </c>
      <c r="BU2" s="38" t="s">
        <v>225</v>
      </c>
      <c r="BV2" s="38" t="s">
        <v>225</v>
      </c>
      <c r="BW2" s="40" t="s">
        <v>225</v>
      </c>
      <c r="BX2" s="41" t="s">
        <v>226</v>
      </c>
      <c r="BY2" s="38" t="s">
        <v>226</v>
      </c>
      <c r="BZ2" s="38" t="s">
        <v>226</v>
      </c>
      <c r="CA2" s="38" t="s">
        <v>226</v>
      </c>
      <c r="CB2" s="40" t="s">
        <v>226</v>
      </c>
    </row>
    <row r="3" spans="1:80" s="1" customFormat="1" ht="100.9" customHeight="1">
      <c r="A3" s="143"/>
      <c r="B3" s="144"/>
      <c r="C3" s="144"/>
      <c r="D3" s="145"/>
      <c r="E3" s="146"/>
      <c r="F3" s="147"/>
      <c r="G3" s="147"/>
      <c r="H3" s="147"/>
      <c r="I3" s="148"/>
      <c r="J3" s="149"/>
      <c r="K3" s="146" t="str">
        <f>Vragenlijst!$B36</f>
        <v xml:space="preserve">Ethiek en professionaliteit </v>
      </c>
      <c r="L3" s="12" t="str">
        <f>Vragenlijst!$B36</f>
        <v xml:space="preserve">Ethiek en professionaliteit </v>
      </c>
      <c r="M3" s="14" t="str">
        <f>Vragenlijst!$B36</f>
        <v xml:space="preserve">Ethiek en professionaliteit </v>
      </c>
      <c r="N3" s="14" t="str">
        <f>Vragenlijst!$B36</f>
        <v xml:space="preserve">Ethiek en professionaliteit </v>
      </c>
      <c r="O3" s="14" t="str">
        <f>Vragenlijst!$B36</f>
        <v xml:space="preserve">Ethiek en professionaliteit </v>
      </c>
      <c r="P3" s="14" t="str">
        <f>Vragenlijst!$B43</f>
        <v xml:space="preserve">Basis Data vaardigheden </v>
      </c>
      <c r="Q3" s="14" t="str">
        <f>Vragenlijst!$B43</f>
        <v xml:space="preserve">Basis Data vaardigheden </v>
      </c>
      <c r="R3" s="14" t="str">
        <f>Vragenlijst!$B43</f>
        <v xml:space="preserve">Basis Data vaardigheden </v>
      </c>
      <c r="S3" s="14" t="str">
        <f>Vragenlijst!$B43</f>
        <v xml:space="preserve">Basis Data vaardigheden </v>
      </c>
      <c r="T3" s="14" t="str">
        <f>Vragenlijst!$B49</f>
        <v>Statistiek</v>
      </c>
      <c r="U3" s="14" t="str">
        <f>Vragenlijst!$B49</f>
        <v>Statistiek</v>
      </c>
      <c r="V3" s="14" t="str">
        <f>Vragenlijst!$B49</f>
        <v>Statistiek</v>
      </c>
      <c r="W3" s="14" t="str">
        <f>Vragenlijst!$B49</f>
        <v>Statistiek</v>
      </c>
      <c r="X3" s="14" t="str">
        <f>Vragenlijst!$B49</f>
        <v>Statistiek</v>
      </c>
      <c r="Y3" s="14" t="str">
        <f>Vragenlijst!$B56</f>
        <v>Kwalitatieve Analyse en Onderzoeksvaardigheden</v>
      </c>
      <c r="Z3" s="14" t="str">
        <f>Vragenlijst!$B56</f>
        <v>Kwalitatieve Analyse en Onderzoeksvaardigheden</v>
      </c>
      <c r="AA3" s="14" t="str">
        <f>Vragenlijst!$B56</f>
        <v>Kwalitatieve Analyse en Onderzoeksvaardigheden</v>
      </c>
      <c r="AB3" s="14" t="str">
        <f>Vragenlijst!$B56</f>
        <v>Kwalitatieve Analyse en Onderzoeksvaardigheden</v>
      </c>
      <c r="AC3" s="14" t="str">
        <f>Vragenlijst!$B56</f>
        <v>Kwalitatieve Analyse en Onderzoeksvaardigheden</v>
      </c>
      <c r="AD3" s="14" t="str">
        <f>Vragenlijst!$B63</f>
        <v>Metrics en doelen</v>
      </c>
      <c r="AE3" s="14" t="str">
        <f>Vragenlijst!$B63</f>
        <v>Metrics en doelen</v>
      </c>
      <c r="AF3" s="14" t="str">
        <f>Vragenlijst!$B63</f>
        <v>Metrics en doelen</v>
      </c>
      <c r="AG3" s="14" t="str">
        <f>Vragenlijst!$B63</f>
        <v>Metrics en doelen</v>
      </c>
      <c r="AH3" s="14" t="str">
        <f>Vragenlijst!$B63</f>
        <v>Metrics en doelen</v>
      </c>
      <c r="AI3" s="14" t="str">
        <f>Vragenlijst!$B70</f>
        <v xml:space="preserve">CX Theorie </v>
      </c>
      <c r="AJ3" s="14" t="str">
        <f>Vragenlijst!$B70</f>
        <v xml:space="preserve">CX Theorie </v>
      </c>
      <c r="AK3" s="14" t="str">
        <f>Vragenlijst!$B70</f>
        <v xml:space="preserve">CX Theorie </v>
      </c>
      <c r="AL3" s="14" t="str">
        <f>Vragenlijst!$B70</f>
        <v xml:space="preserve">CX Theorie </v>
      </c>
      <c r="AM3" s="14" t="str">
        <f>Vragenlijst!$B70</f>
        <v xml:space="preserve">CX Theorie </v>
      </c>
      <c r="AN3" s="14" t="str">
        <f>Vragenlijst!$B70</f>
        <v xml:space="preserve">CX Theorie </v>
      </c>
      <c r="AO3" s="14" t="str">
        <f>Vragenlijst!$B70</f>
        <v xml:space="preserve">CX Theorie </v>
      </c>
      <c r="AP3" s="14" t="str">
        <f>Vragenlijst!$B70</f>
        <v xml:space="preserve">CX Theorie </v>
      </c>
      <c r="AQ3" s="14" t="str">
        <f>Vragenlijst!$B80</f>
        <v xml:space="preserve">CX Kennis toepassingsdomein </v>
      </c>
      <c r="AR3" s="14" t="str">
        <f>Vragenlijst!$B80</f>
        <v xml:space="preserve">CX Kennis toepassingsdomein </v>
      </c>
      <c r="AS3" s="14" t="str">
        <f>Vragenlijst!$B80</f>
        <v xml:space="preserve">CX Kennis toepassingsdomein </v>
      </c>
      <c r="AT3" s="14" t="str">
        <f>Vragenlijst!$B80</f>
        <v xml:space="preserve">CX Kennis toepassingsdomein </v>
      </c>
      <c r="AU3" s="14" t="str">
        <f>Vragenlijst!$B80</f>
        <v xml:space="preserve">CX Kennis toepassingsdomein </v>
      </c>
      <c r="AV3" s="14" t="str">
        <f>Vragenlijst!$B87</f>
        <v>Bonusskill</v>
      </c>
      <c r="AW3" s="14" t="str">
        <f>Vragenlijst!$B87</f>
        <v>Bonusskill</v>
      </c>
      <c r="AX3" s="153" t="str">
        <f>Vragenlijst!$B87</f>
        <v>Bonusskill</v>
      </c>
      <c r="AY3" s="11"/>
      <c r="AZ3" s="150"/>
      <c r="BA3" s="150"/>
      <c r="BB3" s="150"/>
      <c r="BC3" s="150"/>
      <c r="BD3" s="150"/>
      <c r="BE3" s="150"/>
      <c r="BF3" s="150"/>
      <c r="BG3" s="150"/>
      <c r="BH3" s="150"/>
      <c r="BI3" s="150"/>
      <c r="BJ3" s="150"/>
      <c r="BK3" s="147"/>
      <c r="BL3" s="147"/>
      <c r="BM3" s="148"/>
      <c r="BN3" s="146"/>
      <c r="BO3" s="147"/>
      <c r="BP3" s="147"/>
      <c r="BQ3" s="147"/>
      <c r="BR3" s="148"/>
      <c r="BS3" s="146"/>
      <c r="BT3" s="147"/>
      <c r="BU3" s="147"/>
      <c r="BV3" s="147"/>
      <c r="BW3" s="149"/>
      <c r="BX3" s="150"/>
      <c r="BY3" s="147"/>
      <c r="BZ3" s="147"/>
      <c r="CA3" s="147"/>
      <c r="CB3" s="149"/>
    </row>
    <row r="4" spans="1:80" s="1" customFormat="1" ht="150.4" customHeight="1">
      <c r="A4" s="8"/>
      <c r="B4" s="9"/>
      <c r="C4" s="9"/>
      <c r="D4" s="10"/>
      <c r="E4" s="11" t="s">
        <v>17</v>
      </c>
      <c r="F4" s="12" t="s">
        <v>23</v>
      </c>
      <c r="G4" s="12" t="s">
        <v>29</v>
      </c>
      <c r="H4" s="12" t="s">
        <v>35</v>
      </c>
      <c r="I4" s="15" t="s">
        <v>41</v>
      </c>
      <c r="J4" s="13" t="s">
        <v>47</v>
      </c>
      <c r="K4" s="11" t="s">
        <v>227</v>
      </c>
      <c r="L4" s="14" t="s">
        <v>228</v>
      </c>
      <c r="M4" s="14" t="s">
        <v>229</v>
      </c>
      <c r="N4" s="14" t="s">
        <v>230</v>
      </c>
      <c r="O4" s="14" t="s">
        <v>231</v>
      </c>
      <c r="P4" s="14" t="s">
        <v>232</v>
      </c>
      <c r="Q4" s="14" t="s">
        <v>233</v>
      </c>
      <c r="R4" s="14" t="s">
        <v>234</v>
      </c>
      <c r="S4" s="14" t="s">
        <v>235</v>
      </c>
      <c r="T4" s="14" t="s">
        <v>236</v>
      </c>
      <c r="U4" s="14" t="s">
        <v>237</v>
      </c>
      <c r="V4" s="14" t="s">
        <v>238</v>
      </c>
      <c r="W4" s="14" t="s">
        <v>239</v>
      </c>
      <c r="X4" s="14" t="s">
        <v>240</v>
      </c>
      <c r="Y4" s="14" t="s">
        <v>241</v>
      </c>
      <c r="Z4" s="14" t="s">
        <v>242</v>
      </c>
      <c r="AA4" s="14" t="s">
        <v>243</v>
      </c>
      <c r="AB4" s="14" t="s">
        <v>244</v>
      </c>
      <c r="AC4" s="14" t="s">
        <v>245</v>
      </c>
      <c r="AD4" s="14" t="s">
        <v>246</v>
      </c>
      <c r="AE4" s="14" t="s">
        <v>247</v>
      </c>
      <c r="AF4" s="14" t="s">
        <v>248</v>
      </c>
      <c r="AG4" s="14" t="s">
        <v>249</v>
      </c>
      <c r="AH4" s="14" t="s">
        <v>250</v>
      </c>
      <c r="AI4" s="14" t="s">
        <v>251</v>
      </c>
      <c r="AJ4" s="14" t="s">
        <v>252</v>
      </c>
      <c r="AK4" s="14" t="s">
        <v>253</v>
      </c>
      <c r="AL4" s="14" t="s">
        <v>254</v>
      </c>
      <c r="AM4" s="14" t="s">
        <v>255</v>
      </c>
      <c r="AN4" s="14" t="s">
        <v>256</v>
      </c>
      <c r="AO4" s="14" t="s">
        <v>257</v>
      </c>
      <c r="AP4" s="14" t="s">
        <v>258</v>
      </c>
      <c r="AQ4" s="14" t="s">
        <v>259</v>
      </c>
      <c r="AR4" s="14" t="s">
        <v>114</v>
      </c>
      <c r="AS4" s="14" t="s">
        <v>260</v>
      </c>
      <c r="AT4" s="14" t="s">
        <v>261</v>
      </c>
      <c r="AU4" s="14" t="s">
        <v>262</v>
      </c>
      <c r="AV4" s="14" t="s">
        <v>263</v>
      </c>
      <c r="AW4" s="14" t="s">
        <v>264</v>
      </c>
      <c r="AX4" s="153" t="s">
        <v>265</v>
      </c>
      <c r="AY4" s="11" t="str">
        <f>Vragenlijst!K93</f>
        <v xml:space="preserve">Customer Journey Mapping </v>
      </c>
      <c r="AZ4" s="14" t="str">
        <f>Vragenlijst!K94</f>
        <v>Usability Testen - Formative</v>
      </c>
      <c r="BA4" s="14" t="str">
        <f>Vragenlijst!K95</f>
        <v>Usability Testen - Summative</v>
      </c>
      <c r="BB4" s="14" t="str">
        <f>Vragenlijst!K96</f>
        <v>AB Testen</v>
      </c>
      <c r="BC4" s="14" t="str">
        <f>Vragenlijst!K97</f>
        <v>Behavioral Analytics (Web en app analytics tooling)</v>
      </c>
      <c r="BD4" s="14" t="str">
        <f>Vragenlijst!K98</f>
        <v>Marketing Analytics</v>
      </c>
      <c r="BE4" s="14" t="str">
        <f>Vragenlijst!K99</f>
        <v>Session recordings</v>
      </c>
      <c r="BF4" s="14" t="str">
        <f>Vragenlijst!K100</f>
        <v>Heathmaps &amp; Scrollmaps</v>
      </c>
      <c r="BG4" s="14" t="str">
        <f>Vragenlijst!K101</f>
        <v>Interviewen  (opzetten en uitvoeren van een interview)</v>
      </c>
      <c r="BH4" s="14" t="str">
        <f>Vragenlijst!K102</f>
        <v>Survey Design (opzetten en uitvoeren van een survey)</v>
      </c>
      <c r="BI4" s="14" t="str">
        <f>Vragenlijst!K103</f>
        <v>SQL</v>
      </c>
      <c r="BJ4" s="14" t="str">
        <f>Vragenlijst!K104</f>
        <v>Python</v>
      </c>
      <c r="BK4" s="12" t="str">
        <f>Vragenlijst!K105</f>
        <v>Javascript</v>
      </c>
      <c r="BL4" s="12" t="str">
        <f>Vragenlijst!K106</f>
        <v>R</v>
      </c>
      <c r="BM4" s="15" t="str">
        <f>Vragenlijst!K107</f>
        <v>HTML / CSS</v>
      </c>
      <c r="BN4" s="11" t="s">
        <v>134</v>
      </c>
      <c r="BO4" s="12" t="s">
        <v>139</v>
      </c>
      <c r="BP4" s="12" t="s">
        <v>145</v>
      </c>
      <c r="BQ4" s="12" t="s">
        <v>266</v>
      </c>
      <c r="BR4" s="15" t="s">
        <v>267</v>
      </c>
      <c r="BS4" s="11" t="s">
        <v>268</v>
      </c>
      <c r="BT4" s="12" t="s">
        <v>169</v>
      </c>
      <c r="BU4" s="12" t="s">
        <v>175</v>
      </c>
      <c r="BV4" s="12" t="s">
        <v>269</v>
      </c>
      <c r="BW4" s="13" t="s">
        <v>187</v>
      </c>
      <c r="BX4" s="14" t="s">
        <v>194</v>
      </c>
      <c r="BY4" s="12" t="s">
        <v>200</v>
      </c>
      <c r="BZ4" s="12" t="s">
        <v>205</v>
      </c>
      <c r="CA4" s="12" t="s">
        <v>211</v>
      </c>
      <c r="CB4" s="13" t="s">
        <v>270</v>
      </c>
    </row>
    <row r="5" spans="1:80">
      <c r="A5" s="6" t="s">
        <v>271</v>
      </c>
      <c r="B5" s="2" t="s">
        <v>272</v>
      </c>
      <c r="C5" s="2" t="s">
        <v>273</v>
      </c>
      <c r="D5" s="3" t="s">
        <v>274</v>
      </c>
      <c r="E5" s="16">
        <v>1</v>
      </c>
      <c r="F5" s="17">
        <v>2</v>
      </c>
      <c r="G5" s="17">
        <v>3</v>
      </c>
      <c r="H5" s="17">
        <v>4</v>
      </c>
      <c r="I5" s="20">
        <v>5</v>
      </c>
      <c r="J5" s="18">
        <v>6</v>
      </c>
      <c r="K5" s="16">
        <v>1</v>
      </c>
      <c r="L5" s="19">
        <f>K5+1</f>
        <v>2</v>
      </c>
      <c r="M5" s="19">
        <f t="shared" ref="M5:AX5" si="0">L5+1</f>
        <v>3</v>
      </c>
      <c r="N5" s="19">
        <f t="shared" si="0"/>
        <v>4</v>
      </c>
      <c r="O5" s="19">
        <f t="shared" si="0"/>
        <v>5</v>
      </c>
      <c r="P5" s="19">
        <v>1</v>
      </c>
      <c r="Q5" s="19">
        <v>2</v>
      </c>
      <c r="R5" s="19">
        <v>3</v>
      </c>
      <c r="S5" s="19">
        <v>4</v>
      </c>
      <c r="T5" s="19">
        <v>1</v>
      </c>
      <c r="U5" s="19">
        <v>2</v>
      </c>
      <c r="V5" s="19">
        <v>3</v>
      </c>
      <c r="W5" s="19">
        <v>4</v>
      </c>
      <c r="X5" s="19">
        <v>5</v>
      </c>
      <c r="Y5" s="19">
        <v>1</v>
      </c>
      <c r="Z5" s="19">
        <v>2</v>
      </c>
      <c r="AA5" s="19">
        <v>3</v>
      </c>
      <c r="AB5" s="19">
        <v>4</v>
      </c>
      <c r="AC5" s="19">
        <v>5</v>
      </c>
      <c r="AD5" s="19">
        <v>1</v>
      </c>
      <c r="AE5" s="19">
        <v>2</v>
      </c>
      <c r="AF5" s="19">
        <v>3</v>
      </c>
      <c r="AG5" s="19">
        <v>4</v>
      </c>
      <c r="AH5" s="19">
        <v>5</v>
      </c>
      <c r="AI5" s="19">
        <v>1</v>
      </c>
      <c r="AJ5" s="19">
        <v>2</v>
      </c>
      <c r="AK5" s="19">
        <v>3</v>
      </c>
      <c r="AL5" s="19">
        <v>4</v>
      </c>
      <c r="AM5" s="19">
        <v>5</v>
      </c>
      <c r="AN5" s="19">
        <f t="shared" si="0"/>
        <v>6</v>
      </c>
      <c r="AO5" s="19">
        <f t="shared" si="0"/>
        <v>7</v>
      </c>
      <c r="AP5" s="19">
        <f t="shared" si="0"/>
        <v>8</v>
      </c>
      <c r="AQ5" s="19">
        <v>1</v>
      </c>
      <c r="AR5" s="19">
        <f t="shared" si="0"/>
        <v>2</v>
      </c>
      <c r="AS5" s="19">
        <f t="shared" si="0"/>
        <v>3</v>
      </c>
      <c r="AT5" s="19">
        <f t="shared" si="0"/>
        <v>4</v>
      </c>
      <c r="AU5" s="19">
        <f t="shared" si="0"/>
        <v>5</v>
      </c>
      <c r="AV5" s="19">
        <v>1</v>
      </c>
      <c r="AW5" s="19">
        <f t="shared" si="0"/>
        <v>2</v>
      </c>
      <c r="AX5" s="154">
        <f t="shared" si="0"/>
        <v>3</v>
      </c>
      <c r="AY5" s="16">
        <f>Vragenlijst!A93</f>
        <v>1</v>
      </c>
      <c r="AZ5" s="27">
        <f>Vragenlijst!A94</f>
        <v>2</v>
      </c>
      <c r="BA5" s="19">
        <f>Vragenlijst!A95</f>
        <v>3</v>
      </c>
      <c r="BB5" s="19">
        <f>Vragenlijst!A96</f>
        <v>4</v>
      </c>
      <c r="BC5" s="19">
        <v>5</v>
      </c>
      <c r="BD5" s="19">
        <v>6</v>
      </c>
      <c r="BE5" s="19">
        <v>7</v>
      </c>
      <c r="BF5" s="19">
        <v>8</v>
      </c>
      <c r="BG5" s="19">
        <v>9</v>
      </c>
      <c r="BH5" s="19">
        <v>10</v>
      </c>
      <c r="BI5" s="19">
        <v>11</v>
      </c>
      <c r="BJ5" s="19">
        <v>12</v>
      </c>
      <c r="BK5" s="19">
        <v>13</v>
      </c>
      <c r="BL5" s="19">
        <v>14</v>
      </c>
      <c r="BM5" s="19">
        <v>15</v>
      </c>
      <c r="BN5" s="16">
        <v>1</v>
      </c>
      <c r="BO5" s="17">
        <v>2</v>
      </c>
      <c r="BP5" s="17">
        <v>3</v>
      </c>
      <c r="BQ5" s="17">
        <v>4</v>
      </c>
      <c r="BR5" s="20">
        <v>5</v>
      </c>
      <c r="BS5" s="16">
        <v>1</v>
      </c>
      <c r="BT5" s="17">
        <v>2</v>
      </c>
      <c r="BU5" s="17">
        <v>3</v>
      </c>
      <c r="BV5" s="17">
        <v>4</v>
      </c>
      <c r="BW5" s="18">
        <v>5</v>
      </c>
      <c r="BX5" s="19">
        <v>1</v>
      </c>
      <c r="BY5" s="17">
        <v>2</v>
      </c>
      <c r="BZ5" s="17">
        <v>3</v>
      </c>
      <c r="CA5" s="17">
        <v>4</v>
      </c>
      <c r="CB5" s="18">
        <v>5</v>
      </c>
    </row>
    <row r="6" spans="1:80">
      <c r="A6" s="32" t="s">
        <v>275</v>
      </c>
      <c r="B6" s="5"/>
      <c r="C6" s="5"/>
      <c r="D6" s="5"/>
      <c r="E6" s="21"/>
      <c r="F6" s="22"/>
      <c r="G6" s="22"/>
      <c r="H6" s="22"/>
      <c r="I6" s="22"/>
      <c r="J6" s="23"/>
      <c r="K6" s="21"/>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1"/>
      <c r="AZ6" s="22"/>
      <c r="BA6" s="22"/>
      <c r="BB6" s="22"/>
      <c r="BC6" s="22"/>
      <c r="BD6" s="22"/>
      <c r="BE6" s="22"/>
      <c r="BF6" s="22"/>
      <c r="BG6" s="22"/>
      <c r="BH6" s="22"/>
      <c r="BI6" s="22"/>
      <c r="BJ6" s="22"/>
      <c r="BK6" s="22"/>
      <c r="BL6" s="22"/>
      <c r="BM6" s="22"/>
      <c r="BN6" s="21"/>
      <c r="BO6" s="22"/>
      <c r="BP6" s="22"/>
      <c r="BQ6" s="22"/>
      <c r="BR6" s="22"/>
      <c r="BS6" s="21"/>
      <c r="BT6" s="22"/>
      <c r="BU6" s="22"/>
      <c r="BV6" s="22"/>
      <c r="BW6" s="23"/>
      <c r="BX6" s="22"/>
      <c r="BY6" s="22"/>
      <c r="BZ6" s="22"/>
      <c r="CA6" s="22"/>
      <c r="CB6" s="23"/>
    </row>
    <row r="7" spans="1:80">
      <c r="A7" s="6">
        <v>1</v>
      </c>
      <c r="B7" s="33" t="s">
        <v>276</v>
      </c>
      <c r="C7" s="2"/>
      <c r="D7" s="3"/>
      <c r="E7" s="42">
        <f>Vragenlijst!C29</f>
        <v>0</v>
      </c>
      <c r="F7" s="43">
        <f>Vragenlijst!C30</f>
        <v>0</v>
      </c>
      <c r="G7" s="43">
        <f>Vragenlijst!C31</f>
        <v>0</v>
      </c>
      <c r="H7" s="43">
        <f>Vragenlijst!C32</f>
        <v>0</v>
      </c>
      <c r="I7" s="43">
        <f>Vragenlijst!C33</f>
        <v>0</v>
      </c>
      <c r="J7" s="44">
        <f>Vragenlijst!C34</f>
        <v>0</v>
      </c>
      <c r="K7" s="42">
        <f>Vragenlijst!C37</f>
        <v>0</v>
      </c>
      <c r="L7" s="65">
        <f>Vragenlijst!C38</f>
        <v>0</v>
      </c>
      <c r="M7" s="65">
        <f>Vragenlijst!C39</f>
        <v>0</v>
      </c>
      <c r="N7" s="65">
        <f>Vragenlijst!C40</f>
        <v>0</v>
      </c>
      <c r="O7" s="65">
        <f>Vragenlijst!C41</f>
        <v>0</v>
      </c>
      <c r="P7" s="65">
        <f>Vragenlijst!C44</f>
        <v>0</v>
      </c>
      <c r="Q7" s="65">
        <f>Vragenlijst!C45</f>
        <v>0</v>
      </c>
      <c r="R7" s="65">
        <f>Vragenlijst!C46</f>
        <v>0</v>
      </c>
      <c r="S7" s="65">
        <f>Vragenlijst!C47</f>
        <v>0</v>
      </c>
      <c r="T7" s="65">
        <f>Vragenlijst!C50</f>
        <v>0</v>
      </c>
      <c r="U7" s="65">
        <f>Vragenlijst!C51</f>
        <v>0</v>
      </c>
      <c r="V7" s="65">
        <f>Vragenlijst!C52</f>
        <v>0</v>
      </c>
      <c r="W7" s="65">
        <f>Vragenlijst!C53</f>
        <v>0</v>
      </c>
      <c r="X7" s="65">
        <f>Vragenlijst!C54</f>
        <v>0</v>
      </c>
      <c r="Y7" s="65">
        <f>Vragenlijst!C57</f>
        <v>0</v>
      </c>
      <c r="Z7" s="65">
        <f>Vragenlijst!C58</f>
        <v>0</v>
      </c>
      <c r="AA7" s="65">
        <f>Vragenlijst!C59</f>
        <v>0</v>
      </c>
      <c r="AB7" s="65">
        <f>Vragenlijst!C60</f>
        <v>0</v>
      </c>
      <c r="AC7" s="65">
        <f>Vragenlijst!C61</f>
        <v>0</v>
      </c>
      <c r="AD7" s="65">
        <f>Vragenlijst!C64</f>
        <v>0</v>
      </c>
      <c r="AE7" s="65">
        <f>Vragenlijst!C65</f>
        <v>0</v>
      </c>
      <c r="AF7" s="65">
        <f>Vragenlijst!C66</f>
        <v>0</v>
      </c>
      <c r="AG7" s="65">
        <f>Vragenlijst!C67</f>
        <v>0</v>
      </c>
      <c r="AH7" s="65">
        <f>Vragenlijst!C68</f>
        <v>0</v>
      </c>
      <c r="AI7" s="65">
        <f>Vragenlijst!C71</f>
        <v>0</v>
      </c>
      <c r="AJ7" s="65">
        <f>Vragenlijst!C72</f>
        <v>0</v>
      </c>
      <c r="AK7" s="65">
        <f>Vragenlijst!C73</f>
        <v>0</v>
      </c>
      <c r="AL7" s="65">
        <f>Vragenlijst!C74</f>
        <v>0</v>
      </c>
      <c r="AM7" s="65">
        <f>Vragenlijst!C75</f>
        <v>0</v>
      </c>
      <c r="AN7" s="65">
        <f>Vragenlijst!C76</f>
        <v>0</v>
      </c>
      <c r="AO7" s="65">
        <f>Vragenlijst!C77</f>
        <v>0</v>
      </c>
      <c r="AP7" s="65">
        <f>Vragenlijst!C78</f>
        <v>0</v>
      </c>
      <c r="AQ7" s="65">
        <f>Vragenlijst!C81</f>
        <v>0</v>
      </c>
      <c r="AR7" s="65">
        <f>Vragenlijst!C82</f>
        <v>0</v>
      </c>
      <c r="AS7" s="65">
        <f>Vragenlijst!C83</f>
        <v>0</v>
      </c>
      <c r="AT7" s="65">
        <f>Vragenlijst!C84</f>
        <v>0</v>
      </c>
      <c r="AU7" s="65">
        <f>Vragenlijst!C85</f>
        <v>0</v>
      </c>
      <c r="AV7" s="65">
        <f>Vragenlijst!C88</f>
        <v>0</v>
      </c>
      <c r="AW7" s="65">
        <f>Vragenlijst!C89</f>
        <v>0</v>
      </c>
      <c r="AX7" s="155">
        <f>Vragenlijst!C90</f>
        <v>0</v>
      </c>
      <c r="AY7" s="42">
        <f>Vragenlijst!C93</f>
        <v>0</v>
      </c>
      <c r="AZ7" s="65">
        <f>Vragenlijst!C94</f>
        <v>0</v>
      </c>
      <c r="BA7" s="65">
        <f>Vragenlijst!C95</f>
        <v>0</v>
      </c>
      <c r="BB7" s="65">
        <f>Vragenlijst!C96</f>
        <v>0</v>
      </c>
      <c r="BC7" s="65">
        <f>Vragenlijst!C97</f>
        <v>0</v>
      </c>
      <c r="BD7" s="65">
        <f>Vragenlijst!C98</f>
        <v>0</v>
      </c>
      <c r="BE7" s="65">
        <f>Vragenlijst!C99</f>
        <v>0</v>
      </c>
      <c r="BF7" s="65">
        <f>Vragenlijst!C100</f>
        <v>0</v>
      </c>
      <c r="BG7" s="65">
        <f>Vragenlijst!C101</f>
        <v>0</v>
      </c>
      <c r="BH7" s="65">
        <f>Vragenlijst!C102</f>
        <v>0</v>
      </c>
      <c r="BI7" s="65">
        <f>Vragenlijst!C103</f>
        <v>0</v>
      </c>
      <c r="BJ7" s="65">
        <f>Vragenlijst!C104</f>
        <v>0</v>
      </c>
      <c r="BK7" s="43">
        <f>Vragenlijst!C105</f>
        <v>0</v>
      </c>
      <c r="BL7" s="43">
        <f>Vragenlijst!C106</f>
        <v>0</v>
      </c>
      <c r="BM7" s="43">
        <f>Vragenlijst!C107</f>
        <v>0</v>
      </c>
      <c r="BN7" s="42">
        <f>Vragenlijst!C110</f>
        <v>0</v>
      </c>
      <c r="BO7" s="43">
        <f>Vragenlijst!C111</f>
        <v>0</v>
      </c>
      <c r="BP7" s="43">
        <f>Vragenlijst!C112</f>
        <v>0</v>
      </c>
      <c r="BQ7" s="43">
        <f>Vragenlijst!C113</f>
        <v>0</v>
      </c>
      <c r="BR7" s="43">
        <f>Vragenlijst!C114</f>
        <v>0</v>
      </c>
      <c r="BS7" s="42">
        <f>Vragenlijst!C117</f>
        <v>0</v>
      </c>
      <c r="BT7" s="43">
        <f>Vragenlijst!C118</f>
        <v>0</v>
      </c>
      <c r="BU7" s="43">
        <f>Vragenlijst!C119</f>
        <v>0</v>
      </c>
      <c r="BV7" s="43">
        <f>Vragenlijst!C120</f>
        <v>0</v>
      </c>
      <c r="BW7" s="44">
        <f>Vragenlijst!C121</f>
        <v>0</v>
      </c>
      <c r="BX7" s="42">
        <f>Vragenlijst!C124</f>
        <v>0</v>
      </c>
      <c r="BY7" s="43">
        <f>Vragenlijst!C125</f>
        <v>0</v>
      </c>
      <c r="BZ7" s="43">
        <f>Vragenlijst!C126</f>
        <v>0</v>
      </c>
      <c r="CA7" s="43">
        <f>Vragenlijst!C127</f>
        <v>0</v>
      </c>
      <c r="CB7" s="44">
        <f>Vragenlijst!C128</f>
        <v>0</v>
      </c>
    </row>
    <row r="8" spans="1:80">
      <c r="A8" s="6">
        <v>2</v>
      </c>
      <c r="B8" s="28" t="s">
        <v>277</v>
      </c>
      <c r="C8" s="2"/>
      <c r="D8" s="3"/>
      <c r="E8" s="24"/>
      <c r="F8" s="25"/>
      <c r="G8" s="25"/>
      <c r="H8" s="25"/>
      <c r="I8" s="29"/>
      <c r="J8" s="26"/>
      <c r="K8" s="24"/>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156"/>
      <c r="AY8" s="24"/>
      <c r="AZ8" s="66"/>
      <c r="BA8" s="66"/>
      <c r="BB8" s="66"/>
      <c r="BC8" s="66"/>
      <c r="BD8" s="66"/>
      <c r="BE8" s="66"/>
      <c r="BF8" s="66"/>
      <c r="BG8" s="66"/>
      <c r="BH8" s="66"/>
      <c r="BI8" s="66"/>
      <c r="BJ8" s="66"/>
      <c r="BK8" s="25"/>
      <c r="BL8" s="25"/>
      <c r="BM8" s="29"/>
      <c r="BN8" s="24"/>
      <c r="BO8" s="25"/>
      <c r="BP8" s="25"/>
      <c r="BQ8" s="25"/>
      <c r="BR8" s="25"/>
      <c r="BS8" s="24"/>
      <c r="BT8" s="25"/>
      <c r="BU8" s="25"/>
      <c r="BV8" s="25"/>
      <c r="BW8" s="26"/>
      <c r="BX8" s="24"/>
      <c r="BY8" s="25"/>
      <c r="BZ8" s="25"/>
      <c r="CA8" s="25"/>
      <c r="CB8" s="26"/>
    </row>
    <row r="9" spans="1:80">
      <c r="A9" s="6">
        <v>3</v>
      </c>
      <c r="B9" s="28" t="s">
        <v>278</v>
      </c>
      <c r="C9" s="2"/>
      <c r="D9" s="3"/>
      <c r="E9" s="24"/>
      <c r="F9" s="25"/>
      <c r="G9" s="25"/>
      <c r="H9" s="25"/>
      <c r="I9" s="29"/>
      <c r="J9" s="26"/>
      <c r="K9" s="24"/>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24"/>
      <c r="AZ9" s="66"/>
      <c r="BA9" s="66"/>
      <c r="BB9" s="66"/>
      <c r="BC9" s="66"/>
      <c r="BD9" s="66"/>
      <c r="BE9" s="66"/>
      <c r="BF9" s="66"/>
      <c r="BG9" s="66"/>
      <c r="BH9" s="66"/>
      <c r="BI9" s="66"/>
      <c r="BJ9" s="66"/>
      <c r="BK9" s="25"/>
      <c r="BL9" s="25"/>
      <c r="BM9" s="29"/>
      <c r="BN9" s="24"/>
      <c r="BO9" s="25"/>
      <c r="BP9" s="25"/>
      <c r="BQ9" s="25"/>
      <c r="BR9" s="25"/>
      <c r="BS9" s="24"/>
      <c r="BT9" s="25"/>
      <c r="BU9" s="25"/>
      <c r="BV9" s="25"/>
      <c r="BW9" s="26"/>
      <c r="BX9" s="24"/>
      <c r="BY9" s="25"/>
      <c r="BZ9" s="25"/>
      <c r="CA9" s="25"/>
      <c r="CB9" s="26"/>
    </row>
    <row r="10" spans="1:80">
      <c r="A10" s="6">
        <v>4</v>
      </c>
      <c r="B10" s="2"/>
      <c r="C10" s="2"/>
      <c r="D10" s="3"/>
      <c r="E10" s="24"/>
      <c r="F10" s="25"/>
      <c r="G10" s="25"/>
      <c r="H10" s="25"/>
      <c r="I10" s="29"/>
      <c r="J10" s="30"/>
      <c r="K10" s="24"/>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24"/>
      <c r="AZ10" s="66"/>
      <c r="BA10" s="66"/>
      <c r="BB10" s="66"/>
      <c r="BC10" s="66"/>
      <c r="BD10" s="66"/>
      <c r="BE10" s="66"/>
      <c r="BF10" s="66"/>
      <c r="BG10" s="66"/>
      <c r="BH10" s="66"/>
      <c r="BI10" s="66"/>
      <c r="BJ10" s="66"/>
      <c r="BK10" s="25"/>
      <c r="BL10" s="25"/>
      <c r="BM10" s="29"/>
      <c r="BN10" s="24"/>
      <c r="BO10" s="25"/>
      <c r="BP10" s="25"/>
      <c r="BQ10" s="25"/>
      <c r="BR10" s="25"/>
      <c r="BS10" s="24"/>
      <c r="BT10" s="25"/>
      <c r="BU10" s="25"/>
      <c r="BV10" s="25"/>
      <c r="BW10" s="26"/>
      <c r="BX10" s="24"/>
      <c r="BY10" s="25"/>
      <c r="BZ10" s="25"/>
      <c r="CA10" s="25"/>
      <c r="CB10" s="26"/>
    </row>
    <row r="11" spans="1:80">
      <c r="A11" s="6">
        <v>5</v>
      </c>
      <c r="B11" s="3"/>
      <c r="C11" s="3"/>
      <c r="D11" s="3"/>
      <c r="E11" s="24"/>
      <c r="F11" s="25"/>
      <c r="G11" s="25"/>
      <c r="H11" s="25"/>
      <c r="I11" s="29"/>
      <c r="J11" s="26"/>
      <c r="K11" s="24"/>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24"/>
      <c r="AZ11" s="66"/>
      <c r="BA11" s="66"/>
      <c r="BB11" s="66"/>
      <c r="BC11" s="66"/>
      <c r="BD11" s="66"/>
      <c r="BE11" s="66"/>
      <c r="BF11" s="66"/>
      <c r="BG11" s="66"/>
      <c r="BH11" s="66"/>
      <c r="BI11" s="66"/>
      <c r="BJ11" s="66"/>
      <c r="BK11" s="25"/>
      <c r="BL11" s="25"/>
      <c r="BM11" s="29"/>
      <c r="BN11" s="24"/>
      <c r="BO11" s="25"/>
      <c r="BP11" s="25"/>
      <c r="BQ11" s="25"/>
      <c r="BR11" s="25"/>
      <c r="BS11" s="24"/>
      <c r="BT11" s="25"/>
      <c r="BU11" s="25"/>
      <c r="BV11" s="25"/>
      <c r="BW11" s="26"/>
      <c r="BX11" s="24"/>
      <c r="BY11" s="25"/>
      <c r="BZ11" s="25"/>
      <c r="CA11" s="25"/>
      <c r="CB11" s="26"/>
    </row>
    <row r="12" spans="1:80">
      <c r="A12" s="6">
        <v>6</v>
      </c>
      <c r="B12" s="2"/>
      <c r="C12" s="2"/>
      <c r="D12" s="3"/>
      <c r="E12" s="24"/>
      <c r="F12" s="25"/>
      <c r="G12" s="25"/>
      <c r="J12" s="26"/>
      <c r="K12" s="24"/>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24"/>
      <c r="AZ12" s="66"/>
      <c r="BA12" s="66"/>
      <c r="BB12" s="66"/>
      <c r="BC12" s="66"/>
      <c r="BD12" s="66"/>
      <c r="BE12" s="66"/>
      <c r="BF12" s="66"/>
      <c r="BG12" s="66"/>
      <c r="BH12" s="66"/>
      <c r="BI12" s="66"/>
      <c r="BJ12" s="66"/>
      <c r="BK12" s="25"/>
      <c r="BL12" s="25"/>
      <c r="BM12" s="29"/>
      <c r="BN12" s="24"/>
      <c r="BO12" s="25"/>
      <c r="BP12" s="25"/>
      <c r="BQ12" s="25"/>
      <c r="BR12" s="25"/>
      <c r="BS12" s="24"/>
      <c r="BT12" s="25"/>
      <c r="BU12" s="25"/>
      <c r="BV12" s="25"/>
      <c r="BW12" s="26"/>
      <c r="BX12" s="24"/>
      <c r="BY12" s="25"/>
      <c r="BZ12" s="25"/>
      <c r="CA12" s="25"/>
      <c r="CB12" s="26"/>
    </row>
    <row r="13" spans="1:80">
      <c r="A13" s="6">
        <v>7</v>
      </c>
      <c r="B13" s="2"/>
      <c r="C13" s="2"/>
      <c r="D13" s="3"/>
      <c r="E13" s="24"/>
      <c r="F13" s="25"/>
      <c r="G13" s="25"/>
      <c r="H13" s="25"/>
      <c r="I13" s="29"/>
      <c r="J13" s="26"/>
      <c r="K13" s="24"/>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24"/>
      <c r="AZ13" s="66"/>
      <c r="BA13" s="66"/>
      <c r="BB13" s="66"/>
      <c r="BC13" s="66"/>
      <c r="BD13" s="66"/>
      <c r="BE13" s="66"/>
      <c r="BF13" s="66"/>
      <c r="BG13" s="66"/>
      <c r="BH13" s="66"/>
      <c r="BI13" s="66"/>
      <c r="BJ13" s="66"/>
      <c r="BK13" s="25"/>
      <c r="BL13" s="25"/>
      <c r="BM13" s="29"/>
      <c r="BN13" s="24"/>
      <c r="BO13" s="25"/>
      <c r="BP13" s="25"/>
      <c r="BQ13" s="25"/>
      <c r="BR13" s="25"/>
      <c r="BS13" s="24"/>
      <c r="BT13" s="25"/>
      <c r="BU13" s="25"/>
      <c r="BV13" s="25"/>
      <c r="BW13" s="26"/>
      <c r="BX13" s="24"/>
      <c r="BY13" s="25"/>
      <c r="BZ13" s="25"/>
      <c r="CA13" s="25"/>
      <c r="CB13" s="26"/>
    </row>
    <row r="14" spans="1:80">
      <c r="A14" s="6">
        <v>8</v>
      </c>
      <c r="B14" s="2"/>
      <c r="C14" s="2"/>
      <c r="D14" s="3"/>
      <c r="E14" s="24"/>
      <c r="F14" s="25"/>
      <c r="G14" s="25"/>
      <c r="H14" s="25"/>
      <c r="I14" s="29"/>
      <c r="J14" s="26"/>
      <c r="K14" s="24"/>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24"/>
      <c r="AZ14" s="66"/>
      <c r="BA14" s="66"/>
      <c r="BB14" s="66"/>
      <c r="BC14" s="66"/>
      <c r="BD14" s="66"/>
      <c r="BE14" s="66"/>
      <c r="BF14" s="66"/>
      <c r="BG14" s="66"/>
      <c r="BH14" s="66"/>
      <c r="BI14" s="66"/>
      <c r="BJ14" s="66"/>
      <c r="BK14" s="25"/>
      <c r="BL14" s="25"/>
      <c r="BM14" s="29"/>
      <c r="BN14" s="24"/>
      <c r="BO14" s="25"/>
      <c r="BP14" s="25"/>
      <c r="BQ14" s="25"/>
      <c r="BR14" s="25"/>
      <c r="BS14" s="24"/>
      <c r="BT14" s="25"/>
      <c r="BU14" s="25"/>
      <c r="BV14" s="31"/>
      <c r="BW14" s="26"/>
      <c r="BX14" s="24"/>
      <c r="BY14" s="25"/>
      <c r="BZ14" s="25"/>
      <c r="CA14" s="31"/>
      <c r="CB14" s="26"/>
    </row>
    <row r="15" spans="1:80">
      <c r="A15" s="6">
        <v>9</v>
      </c>
      <c r="B15" s="2"/>
      <c r="C15" s="2"/>
      <c r="D15" s="3"/>
      <c r="E15" s="24"/>
      <c r="F15" s="25"/>
      <c r="G15" s="25"/>
      <c r="H15" s="25"/>
      <c r="I15" s="29"/>
      <c r="J15" s="26"/>
      <c r="K15" s="24"/>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24"/>
      <c r="AZ15" s="66"/>
      <c r="BA15" s="66"/>
      <c r="BB15" s="66"/>
      <c r="BC15" s="66"/>
      <c r="BD15" s="66"/>
      <c r="BE15" s="66"/>
      <c r="BF15" s="66"/>
      <c r="BG15" s="66"/>
      <c r="BH15" s="66"/>
      <c r="BI15" s="66"/>
      <c r="BJ15" s="66"/>
      <c r="BK15" s="25"/>
      <c r="BL15" s="25"/>
      <c r="BM15" s="29"/>
      <c r="BN15" s="24"/>
      <c r="BO15" s="25"/>
      <c r="BP15" s="25"/>
      <c r="BQ15" s="25"/>
      <c r="BR15" s="25"/>
      <c r="BS15" s="24"/>
      <c r="BT15" s="25"/>
      <c r="BU15" s="25"/>
      <c r="BV15" s="25"/>
      <c r="BW15" s="26"/>
      <c r="BX15" s="24"/>
      <c r="BY15" s="25"/>
      <c r="BZ15" s="25"/>
      <c r="CA15" s="25"/>
      <c r="CB15" s="26"/>
    </row>
    <row r="16" spans="1:80">
      <c r="A16" s="6">
        <v>10</v>
      </c>
      <c r="B16" s="2"/>
      <c r="C16" s="2"/>
      <c r="D16" s="3"/>
      <c r="E16" s="24"/>
      <c r="F16" s="25"/>
      <c r="G16" s="25"/>
      <c r="H16" s="25"/>
      <c r="I16" s="29"/>
      <c r="J16" s="26"/>
      <c r="K16" s="24"/>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24"/>
      <c r="AZ16" s="66"/>
      <c r="BA16" s="66"/>
      <c r="BB16" s="66"/>
      <c r="BC16" s="66"/>
      <c r="BD16" s="66"/>
      <c r="BE16" s="66"/>
      <c r="BF16" s="66"/>
      <c r="BG16" s="66"/>
      <c r="BH16" s="66"/>
      <c r="BI16" s="66"/>
      <c r="BJ16" s="66"/>
      <c r="BK16" s="25"/>
      <c r="BL16" s="25"/>
      <c r="BM16" s="29"/>
      <c r="BN16" s="24"/>
      <c r="BO16" s="25"/>
      <c r="BP16" s="25"/>
      <c r="BQ16" s="25"/>
      <c r="BR16" s="25"/>
      <c r="BS16" s="24"/>
      <c r="BT16" s="25"/>
      <c r="BU16" s="25"/>
      <c r="BV16" s="25"/>
      <c r="BW16" s="26"/>
      <c r="BX16" s="24"/>
      <c r="BY16" s="25"/>
      <c r="BZ16" s="25"/>
      <c r="CA16" s="25"/>
      <c r="CB16" s="26"/>
    </row>
    <row r="17" spans="1:80">
      <c r="A17" s="7"/>
      <c r="C17" s="4"/>
    </row>
    <row r="18" spans="1:80">
      <c r="A18" s="32" t="s">
        <v>279</v>
      </c>
      <c r="B18" s="5"/>
      <c r="C18" s="5"/>
      <c r="D18" s="5"/>
      <c r="E18" s="21"/>
      <c r="F18" s="22"/>
      <c r="G18" s="22"/>
      <c r="H18" s="22"/>
      <c r="I18" s="22"/>
      <c r="J18" s="23"/>
      <c r="K18" s="21"/>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1"/>
      <c r="BO18" s="22"/>
      <c r="BP18" s="22"/>
      <c r="BQ18" s="22"/>
      <c r="BR18" s="22"/>
      <c r="BS18" s="22"/>
      <c r="BT18" s="22"/>
      <c r="BU18" s="22"/>
      <c r="BV18" s="22"/>
      <c r="BW18" s="23"/>
      <c r="BX18" s="22"/>
      <c r="BY18" s="22"/>
      <c r="BZ18" s="22"/>
      <c r="CA18" s="22"/>
      <c r="CB18" s="23"/>
    </row>
    <row r="19" spans="1:80">
      <c r="A19" s="6" t="s">
        <v>271</v>
      </c>
      <c r="B19" s="2" t="s">
        <v>272</v>
      </c>
      <c r="C19" s="2" t="s">
        <v>273</v>
      </c>
      <c r="D19" s="3" t="s">
        <v>274</v>
      </c>
      <c r="E19" s="16">
        <f>E5</f>
        <v>1</v>
      </c>
      <c r="F19" s="17">
        <f t="shared" ref="F19:BQ19" si="1">F5</f>
        <v>2</v>
      </c>
      <c r="G19" s="17">
        <f t="shared" si="1"/>
        <v>3</v>
      </c>
      <c r="H19" s="17">
        <f t="shared" si="1"/>
        <v>4</v>
      </c>
      <c r="I19" s="20">
        <f t="shared" si="1"/>
        <v>5</v>
      </c>
      <c r="J19" s="18">
        <f t="shared" si="1"/>
        <v>6</v>
      </c>
      <c r="K19" s="16">
        <f t="shared" si="1"/>
        <v>1</v>
      </c>
      <c r="L19" s="19">
        <f t="shared" si="1"/>
        <v>2</v>
      </c>
      <c r="M19" s="19">
        <f t="shared" si="1"/>
        <v>3</v>
      </c>
      <c r="N19" s="19">
        <f t="shared" si="1"/>
        <v>4</v>
      </c>
      <c r="O19" s="19">
        <f t="shared" si="1"/>
        <v>5</v>
      </c>
      <c r="P19" s="19">
        <f t="shared" si="1"/>
        <v>1</v>
      </c>
      <c r="Q19" s="19">
        <f t="shared" si="1"/>
        <v>2</v>
      </c>
      <c r="R19" s="19">
        <f t="shared" si="1"/>
        <v>3</v>
      </c>
      <c r="S19" s="19">
        <f t="shared" si="1"/>
        <v>4</v>
      </c>
      <c r="T19" s="19">
        <f t="shared" si="1"/>
        <v>1</v>
      </c>
      <c r="U19" s="19">
        <f t="shared" si="1"/>
        <v>2</v>
      </c>
      <c r="V19" s="19">
        <f t="shared" si="1"/>
        <v>3</v>
      </c>
      <c r="W19" s="19">
        <f t="shared" si="1"/>
        <v>4</v>
      </c>
      <c r="X19" s="19">
        <f t="shared" si="1"/>
        <v>5</v>
      </c>
      <c r="Y19" s="19">
        <f t="shared" si="1"/>
        <v>1</v>
      </c>
      <c r="Z19" s="19">
        <f t="shared" si="1"/>
        <v>2</v>
      </c>
      <c r="AA19" s="19">
        <f t="shared" si="1"/>
        <v>3</v>
      </c>
      <c r="AB19" s="19">
        <f t="shared" si="1"/>
        <v>4</v>
      </c>
      <c r="AC19" s="19">
        <f t="shared" si="1"/>
        <v>5</v>
      </c>
      <c r="AD19" s="19">
        <f t="shared" si="1"/>
        <v>1</v>
      </c>
      <c r="AE19" s="19">
        <f t="shared" si="1"/>
        <v>2</v>
      </c>
      <c r="AF19" s="19">
        <f t="shared" si="1"/>
        <v>3</v>
      </c>
      <c r="AG19" s="19">
        <f t="shared" si="1"/>
        <v>4</v>
      </c>
      <c r="AH19" s="19">
        <f t="shared" si="1"/>
        <v>5</v>
      </c>
      <c r="AI19" s="19">
        <f t="shared" si="1"/>
        <v>1</v>
      </c>
      <c r="AJ19" s="19">
        <f t="shared" si="1"/>
        <v>2</v>
      </c>
      <c r="AK19" s="19">
        <f t="shared" si="1"/>
        <v>3</v>
      </c>
      <c r="AL19" s="19">
        <f t="shared" si="1"/>
        <v>4</v>
      </c>
      <c r="AM19" s="19">
        <f t="shared" si="1"/>
        <v>5</v>
      </c>
      <c r="AN19" s="19">
        <f t="shared" si="1"/>
        <v>6</v>
      </c>
      <c r="AO19" s="19">
        <f t="shared" si="1"/>
        <v>7</v>
      </c>
      <c r="AP19" s="19">
        <f t="shared" si="1"/>
        <v>8</v>
      </c>
      <c r="AQ19" s="19">
        <f t="shared" si="1"/>
        <v>1</v>
      </c>
      <c r="AR19" s="19">
        <f t="shared" si="1"/>
        <v>2</v>
      </c>
      <c r="AS19" s="19">
        <f t="shared" si="1"/>
        <v>3</v>
      </c>
      <c r="AT19" s="19">
        <f t="shared" si="1"/>
        <v>4</v>
      </c>
      <c r="AU19" s="19">
        <f t="shared" si="1"/>
        <v>5</v>
      </c>
      <c r="AV19" s="19">
        <f t="shared" si="1"/>
        <v>1</v>
      </c>
      <c r="AW19" s="19">
        <f t="shared" si="1"/>
        <v>2</v>
      </c>
      <c r="AX19" s="19">
        <f t="shared" si="1"/>
        <v>3</v>
      </c>
      <c r="AY19" s="19">
        <f t="shared" si="1"/>
        <v>1</v>
      </c>
      <c r="AZ19" s="19">
        <f t="shared" si="1"/>
        <v>2</v>
      </c>
      <c r="BA19" s="19">
        <f t="shared" si="1"/>
        <v>3</v>
      </c>
      <c r="BB19" s="19">
        <f t="shared" si="1"/>
        <v>4</v>
      </c>
      <c r="BC19" s="19">
        <f t="shared" si="1"/>
        <v>5</v>
      </c>
      <c r="BD19" s="19">
        <f t="shared" si="1"/>
        <v>6</v>
      </c>
      <c r="BE19" s="19">
        <f t="shared" si="1"/>
        <v>7</v>
      </c>
      <c r="BF19" s="19">
        <f t="shared" si="1"/>
        <v>8</v>
      </c>
      <c r="BG19" s="19">
        <f t="shared" si="1"/>
        <v>9</v>
      </c>
      <c r="BH19" s="19">
        <f t="shared" si="1"/>
        <v>10</v>
      </c>
      <c r="BI19" s="19">
        <f t="shared" si="1"/>
        <v>11</v>
      </c>
      <c r="BJ19" s="19">
        <f t="shared" si="1"/>
        <v>12</v>
      </c>
      <c r="BK19" s="17">
        <f t="shared" si="1"/>
        <v>13</v>
      </c>
      <c r="BL19" s="17">
        <f t="shared" si="1"/>
        <v>14</v>
      </c>
      <c r="BM19" s="20">
        <f t="shared" si="1"/>
        <v>15</v>
      </c>
      <c r="BN19" s="16">
        <f t="shared" si="1"/>
        <v>1</v>
      </c>
      <c r="BO19" s="17">
        <f t="shared" si="1"/>
        <v>2</v>
      </c>
      <c r="BP19" s="17">
        <f t="shared" si="1"/>
        <v>3</v>
      </c>
      <c r="BQ19" s="17">
        <f t="shared" si="1"/>
        <v>4</v>
      </c>
      <c r="BR19" s="17">
        <f t="shared" ref="BR19:CB19" si="2">BR5</f>
        <v>5</v>
      </c>
      <c r="BS19" s="19">
        <f t="shared" si="2"/>
        <v>1</v>
      </c>
      <c r="BT19" s="17">
        <f t="shared" si="2"/>
        <v>2</v>
      </c>
      <c r="BU19" s="17">
        <f t="shared" si="2"/>
        <v>3</v>
      </c>
      <c r="BV19" s="17">
        <f t="shared" si="2"/>
        <v>4</v>
      </c>
      <c r="BW19" s="18">
        <f t="shared" si="2"/>
        <v>5</v>
      </c>
      <c r="BX19" s="19">
        <f t="shared" si="2"/>
        <v>1</v>
      </c>
      <c r="BY19" s="17">
        <f t="shared" si="2"/>
        <v>2</v>
      </c>
      <c r="BZ19" s="17">
        <f t="shared" si="2"/>
        <v>3</v>
      </c>
      <c r="CA19" s="17">
        <f t="shared" si="2"/>
        <v>4</v>
      </c>
      <c r="CB19" s="18">
        <f t="shared" si="2"/>
        <v>5</v>
      </c>
    </row>
    <row r="20" spans="1:80">
      <c r="A20" s="6">
        <f t="shared" ref="A20:D29" si="3">A7</f>
        <v>1</v>
      </c>
      <c r="B20" s="33" t="str">
        <f t="shared" si="3"/>
        <v>Jijzelf (verplicht)</v>
      </c>
      <c r="C20" s="2">
        <f t="shared" si="3"/>
        <v>0</v>
      </c>
      <c r="D20" s="2">
        <f t="shared" si="3"/>
        <v>0</v>
      </c>
      <c r="E20" s="42">
        <f>Vragenlijst!D29</f>
        <v>0</v>
      </c>
      <c r="F20" s="43">
        <f>Vragenlijst!D30</f>
        <v>0</v>
      </c>
      <c r="G20" s="43">
        <f>Vragenlijst!D31</f>
        <v>0</v>
      </c>
      <c r="H20" s="43">
        <f>Vragenlijst!D32</f>
        <v>0</v>
      </c>
      <c r="I20" s="43">
        <f>Vragenlijst!D33</f>
        <v>0</v>
      </c>
      <c r="J20" s="44">
        <f>Vragenlijst!D34</f>
        <v>0</v>
      </c>
      <c r="K20" s="42">
        <f>Vragenlijst!D37</f>
        <v>0</v>
      </c>
      <c r="L20" s="65">
        <f>Vragenlijst!D38</f>
        <v>0</v>
      </c>
      <c r="M20" s="65">
        <f>Vragenlijst!D39</f>
        <v>0</v>
      </c>
      <c r="N20" s="65">
        <f>Vragenlijst!D40</f>
        <v>0</v>
      </c>
      <c r="O20" s="65">
        <f>Vragenlijst!D41</f>
        <v>0</v>
      </c>
      <c r="P20" s="65">
        <f>Vragenlijst!D44</f>
        <v>0</v>
      </c>
      <c r="Q20" s="65">
        <f>Vragenlijst!D45</f>
        <v>0</v>
      </c>
      <c r="R20" s="65">
        <f>Vragenlijst!D46</f>
        <v>0</v>
      </c>
      <c r="S20" s="65">
        <f>Vragenlijst!D47</f>
        <v>0</v>
      </c>
      <c r="T20" s="65">
        <f>Vragenlijst!D50</f>
        <v>0</v>
      </c>
      <c r="U20" s="65">
        <f>Vragenlijst!D51</f>
        <v>0</v>
      </c>
      <c r="V20" s="65">
        <f>Vragenlijst!D52</f>
        <v>0</v>
      </c>
      <c r="W20" s="65">
        <f>Vragenlijst!D53</f>
        <v>0</v>
      </c>
      <c r="X20" s="65">
        <f>Vragenlijst!D54</f>
        <v>0</v>
      </c>
      <c r="Y20" s="65">
        <f>Vragenlijst!D57</f>
        <v>0</v>
      </c>
      <c r="Z20" s="65">
        <f>Vragenlijst!D58</f>
        <v>0</v>
      </c>
      <c r="AA20" s="65">
        <f>Vragenlijst!D59</f>
        <v>0</v>
      </c>
      <c r="AB20" s="65">
        <f>Vragenlijst!D60</f>
        <v>0</v>
      </c>
      <c r="AC20" s="65">
        <f>Vragenlijst!D61</f>
        <v>0</v>
      </c>
      <c r="AD20" s="65">
        <f>Vragenlijst!D64</f>
        <v>0</v>
      </c>
      <c r="AE20" s="65">
        <f>Vragenlijst!D65</f>
        <v>0</v>
      </c>
      <c r="AF20" s="65">
        <f>Vragenlijst!D66</f>
        <v>0</v>
      </c>
      <c r="AG20" s="65">
        <f>Vragenlijst!D67</f>
        <v>0</v>
      </c>
      <c r="AH20" s="65">
        <f>Vragenlijst!D68</f>
        <v>0</v>
      </c>
      <c r="AI20" s="65">
        <f>Vragenlijst!D71</f>
        <v>0</v>
      </c>
      <c r="AJ20" s="65">
        <f>Vragenlijst!D72</f>
        <v>0</v>
      </c>
      <c r="AK20" s="65">
        <f>Vragenlijst!D73</f>
        <v>0</v>
      </c>
      <c r="AL20" s="65">
        <f>Vragenlijst!D74</f>
        <v>0</v>
      </c>
      <c r="AM20" s="65">
        <f>Vragenlijst!D75</f>
        <v>0</v>
      </c>
      <c r="AN20" s="65">
        <f>Vragenlijst!D76</f>
        <v>0</v>
      </c>
      <c r="AO20" s="65">
        <f>Vragenlijst!D77</f>
        <v>0</v>
      </c>
      <c r="AP20" s="65">
        <f>Vragenlijst!D78</f>
        <v>0</v>
      </c>
      <c r="AQ20" s="65">
        <f>Vragenlijst!D81</f>
        <v>0</v>
      </c>
      <c r="AR20" s="65">
        <f>Vragenlijst!D82</f>
        <v>0</v>
      </c>
      <c r="AS20" s="65">
        <f>Vragenlijst!D83</f>
        <v>0</v>
      </c>
      <c r="AT20" s="65">
        <f>Vragenlijst!D84</f>
        <v>0</v>
      </c>
      <c r="AU20" s="65">
        <f>Vragenlijst!D85</f>
        <v>0</v>
      </c>
      <c r="AV20" s="65">
        <f>Vragenlijst!D88</f>
        <v>0</v>
      </c>
      <c r="AW20" s="65">
        <f>Vragenlijst!D89</f>
        <v>0</v>
      </c>
      <c r="AX20" s="65">
        <f>Vragenlijst!D90</f>
        <v>0</v>
      </c>
      <c r="AY20" s="42">
        <f>Vragenlijst!D93</f>
        <v>0</v>
      </c>
      <c r="AZ20" s="65">
        <f>Vragenlijst!D94</f>
        <v>0</v>
      </c>
      <c r="BA20" s="65">
        <f>Vragenlijst!D95</f>
        <v>0</v>
      </c>
      <c r="BB20" s="65">
        <f>Vragenlijst!D96</f>
        <v>0</v>
      </c>
      <c r="BC20" s="65">
        <f>Vragenlijst!D97</f>
        <v>0</v>
      </c>
      <c r="BD20" s="65">
        <f>Vragenlijst!D98</f>
        <v>0</v>
      </c>
      <c r="BE20" s="65">
        <f>Vragenlijst!D99</f>
        <v>0</v>
      </c>
      <c r="BF20" s="65">
        <f>Vragenlijst!D100</f>
        <v>0</v>
      </c>
      <c r="BG20" s="65">
        <f>Vragenlijst!D101</f>
        <v>0</v>
      </c>
      <c r="BH20" s="65">
        <f>Vragenlijst!D102</f>
        <v>0</v>
      </c>
      <c r="BI20" s="65">
        <f>Vragenlijst!D103</f>
        <v>0</v>
      </c>
      <c r="BJ20" s="65">
        <f>Vragenlijst!D104</f>
        <v>0</v>
      </c>
      <c r="BK20" s="43">
        <f>Vragenlijst!D105</f>
        <v>0</v>
      </c>
      <c r="BL20" s="43">
        <f>Vragenlijst!D106</f>
        <v>0</v>
      </c>
      <c r="BM20" s="43">
        <f>Vragenlijst!D107</f>
        <v>0</v>
      </c>
      <c r="BN20" s="42">
        <f>Vragenlijst!D110</f>
        <v>0</v>
      </c>
      <c r="BO20" s="43">
        <f>Vragenlijst!D111</f>
        <v>0</v>
      </c>
      <c r="BP20" s="43">
        <f>Vragenlijst!D112</f>
        <v>0</v>
      </c>
      <c r="BQ20" s="43">
        <f>Vragenlijst!D113</f>
        <v>0</v>
      </c>
      <c r="BR20" s="43">
        <f>Vragenlijst!D114</f>
        <v>0</v>
      </c>
      <c r="BS20" s="42">
        <f>Vragenlijst!D117</f>
        <v>0</v>
      </c>
      <c r="BT20" s="43">
        <f>Vragenlijst!D118</f>
        <v>0</v>
      </c>
      <c r="BU20" s="43">
        <f>Vragenlijst!D119</f>
        <v>0</v>
      </c>
      <c r="BV20" s="43">
        <f>Vragenlijst!D120</f>
        <v>0</v>
      </c>
      <c r="BW20" s="44">
        <f>Vragenlijst!D121</f>
        <v>0</v>
      </c>
      <c r="BX20" s="42">
        <f>Vragenlijst!D124</f>
        <v>0</v>
      </c>
      <c r="BY20" s="43">
        <f>Vragenlijst!D125</f>
        <v>0</v>
      </c>
      <c r="BZ20" s="43">
        <f>Vragenlijst!D126</f>
        <v>0</v>
      </c>
      <c r="CA20" s="43">
        <f>Vragenlijst!D127</f>
        <v>0</v>
      </c>
      <c r="CB20" s="44">
        <f>Vragenlijst!D128</f>
        <v>0</v>
      </c>
    </row>
    <row r="21" spans="1:80">
      <c r="A21" s="6">
        <f t="shared" si="3"/>
        <v>2</v>
      </c>
      <c r="B21" s="28" t="str">
        <f t="shared" si="3"/>
        <v>Feedback gever 1 (optioneel)</v>
      </c>
      <c r="C21" s="2">
        <f t="shared" si="3"/>
        <v>0</v>
      </c>
      <c r="D21" s="2">
        <f t="shared" si="3"/>
        <v>0</v>
      </c>
      <c r="E21" s="24"/>
      <c r="F21" s="25"/>
      <c r="G21" s="25"/>
      <c r="H21" s="25"/>
      <c r="I21" s="29"/>
      <c r="J21" s="26"/>
      <c r="K21" s="24"/>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24"/>
      <c r="AZ21" s="66"/>
      <c r="BA21" s="66"/>
      <c r="BB21" s="66"/>
      <c r="BC21" s="66"/>
      <c r="BD21" s="66"/>
      <c r="BE21" s="66"/>
      <c r="BF21" s="66"/>
      <c r="BG21" s="66"/>
      <c r="BH21" s="66"/>
      <c r="BI21" s="66"/>
      <c r="BJ21" s="66"/>
      <c r="BK21" s="25"/>
      <c r="BL21" s="25"/>
      <c r="BM21" s="29"/>
      <c r="BN21" s="24"/>
      <c r="BO21" s="25"/>
      <c r="BP21" s="25"/>
      <c r="BQ21" s="25"/>
      <c r="BR21" s="25"/>
      <c r="BS21" s="24"/>
      <c r="BT21" s="25"/>
      <c r="BU21" s="25"/>
      <c r="BV21" s="25"/>
      <c r="BW21" s="26"/>
      <c r="BY21" s="25"/>
      <c r="BZ21" s="25"/>
      <c r="CA21" s="25"/>
      <c r="CB21" s="26"/>
    </row>
    <row r="22" spans="1:80">
      <c r="A22" s="6">
        <f t="shared" si="3"/>
        <v>3</v>
      </c>
      <c r="B22" s="28" t="str">
        <f t="shared" si="3"/>
        <v>Feedback gever 2 (optioneel)</v>
      </c>
      <c r="C22" s="2">
        <f t="shared" si="3"/>
        <v>0</v>
      </c>
      <c r="D22" s="2">
        <f t="shared" si="3"/>
        <v>0</v>
      </c>
      <c r="E22" s="24"/>
      <c r="F22" s="25"/>
      <c r="G22" s="25"/>
      <c r="H22" s="25"/>
      <c r="I22" s="29"/>
      <c r="J22" s="26"/>
      <c r="K22" s="24"/>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24"/>
      <c r="AZ22" s="66"/>
      <c r="BA22" s="66"/>
      <c r="BB22" s="66"/>
      <c r="BC22" s="66"/>
      <c r="BD22" s="66"/>
      <c r="BE22" s="66"/>
      <c r="BF22" s="66"/>
      <c r="BG22" s="66"/>
      <c r="BH22" s="66"/>
      <c r="BI22" s="66"/>
      <c r="BJ22" s="66"/>
      <c r="BK22" s="25"/>
      <c r="BL22" s="25"/>
      <c r="BM22" s="29"/>
      <c r="BN22" s="24"/>
      <c r="BO22" s="25"/>
      <c r="BP22" s="25"/>
      <c r="BQ22" s="25"/>
      <c r="BR22" s="25"/>
      <c r="BS22" s="24"/>
      <c r="BT22" s="25"/>
      <c r="BU22" s="25"/>
      <c r="BV22" s="25"/>
      <c r="BW22" s="26"/>
      <c r="BY22" s="25"/>
      <c r="BZ22" s="25"/>
      <c r="CA22" s="25"/>
      <c r="CB22" s="26"/>
    </row>
    <row r="23" spans="1:80">
      <c r="A23" s="6">
        <f t="shared" si="3"/>
        <v>4</v>
      </c>
      <c r="B23" s="2">
        <f t="shared" si="3"/>
        <v>0</v>
      </c>
      <c r="C23" s="2">
        <f t="shared" si="3"/>
        <v>0</v>
      </c>
      <c r="D23" s="2">
        <f t="shared" si="3"/>
        <v>0</v>
      </c>
      <c r="E23" s="24"/>
      <c r="F23" s="25"/>
      <c r="G23" s="25"/>
      <c r="H23" s="25"/>
      <c r="I23" s="29"/>
      <c r="J23" s="26"/>
      <c r="K23" s="24"/>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24"/>
      <c r="AZ23" s="66"/>
      <c r="BA23" s="66"/>
      <c r="BB23" s="66"/>
      <c r="BC23" s="66"/>
      <c r="BD23" s="66"/>
      <c r="BE23" s="66"/>
      <c r="BF23" s="66"/>
      <c r="BG23" s="66"/>
      <c r="BH23" s="66"/>
      <c r="BI23" s="66"/>
      <c r="BJ23" s="66"/>
      <c r="BK23" s="25"/>
      <c r="BL23" s="25"/>
      <c r="BM23" s="29"/>
      <c r="BN23" s="24"/>
      <c r="BO23" s="25"/>
      <c r="BP23" s="25"/>
      <c r="BQ23" s="25"/>
      <c r="BR23" s="25"/>
      <c r="BS23" s="24"/>
      <c r="BT23" s="25"/>
      <c r="BU23" s="25"/>
      <c r="BV23" s="25"/>
      <c r="BW23" s="26"/>
      <c r="BY23" s="25"/>
      <c r="BZ23" s="25"/>
      <c r="CA23" s="25"/>
      <c r="CB23" s="26"/>
    </row>
    <row r="24" spans="1:80">
      <c r="A24" s="6">
        <f t="shared" si="3"/>
        <v>5</v>
      </c>
      <c r="B24" s="2">
        <f t="shared" si="3"/>
        <v>0</v>
      </c>
      <c r="C24" s="2">
        <f t="shared" si="3"/>
        <v>0</v>
      </c>
      <c r="D24" s="2">
        <f t="shared" si="3"/>
        <v>0</v>
      </c>
      <c r="E24" s="24"/>
      <c r="F24" s="25"/>
      <c r="G24" s="25"/>
      <c r="H24" s="25"/>
      <c r="I24" s="29"/>
      <c r="J24" s="26"/>
      <c r="K24" s="24"/>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24"/>
      <c r="AZ24" s="66"/>
      <c r="BA24" s="66"/>
      <c r="BB24" s="66"/>
      <c r="BC24" s="66"/>
      <c r="BD24" s="66"/>
      <c r="BE24" s="66"/>
      <c r="BF24" s="66"/>
      <c r="BG24" s="66"/>
      <c r="BH24" s="66"/>
      <c r="BI24" s="66"/>
      <c r="BJ24" s="66"/>
      <c r="BK24" s="25"/>
      <c r="BL24" s="25"/>
      <c r="BM24" s="29"/>
      <c r="BN24" s="24"/>
      <c r="BO24" s="25"/>
      <c r="BP24" s="25"/>
      <c r="BQ24" s="25"/>
      <c r="BR24" s="25"/>
      <c r="BS24" s="24"/>
      <c r="BT24" s="25"/>
      <c r="BU24" s="25"/>
      <c r="BV24" s="25"/>
      <c r="BW24" s="26"/>
      <c r="BY24" s="25"/>
      <c r="BZ24" s="25"/>
      <c r="CA24" s="25"/>
      <c r="CB24" s="26"/>
    </row>
    <row r="25" spans="1:80">
      <c r="A25" s="6">
        <f t="shared" si="3"/>
        <v>6</v>
      </c>
      <c r="B25" s="2">
        <f t="shared" si="3"/>
        <v>0</v>
      </c>
      <c r="C25" s="2">
        <f t="shared" si="3"/>
        <v>0</v>
      </c>
      <c r="D25" s="2">
        <f t="shared" si="3"/>
        <v>0</v>
      </c>
      <c r="E25" s="24"/>
      <c r="F25" s="25"/>
      <c r="G25" s="25"/>
      <c r="H25" s="25"/>
      <c r="I25" s="29"/>
      <c r="J25" s="26"/>
      <c r="K25" s="24"/>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24"/>
      <c r="AZ25" s="66"/>
      <c r="BA25" s="66"/>
      <c r="BB25" s="66"/>
      <c r="BC25" s="66"/>
      <c r="BD25" s="66"/>
      <c r="BE25" s="66"/>
      <c r="BF25" s="66"/>
      <c r="BG25" s="66"/>
      <c r="BH25" s="66"/>
      <c r="BI25" s="66"/>
      <c r="BJ25" s="66"/>
      <c r="BK25" s="25"/>
      <c r="BL25" s="25"/>
      <c r="BM25" s="29"/>
      <c r="BN25" s="24"/>
      <c r="BO25" s="25"/>
      <c r="BP25" s="25"/>
      <c r="BQ25" s="25"/>
      <c r="BR25" s="25"/>
      <c r="BS25" s="24"/>
      <c r="BT25" s="25"/>
      <c r="BU25" s="25"/>
      <c r="BV25" s="25"/>
      <c r="BW25" s="26"/>
      <c r="BX25" s="24"/>
      <c r="BY25" s="25"/>
      <c r="BZ25" s="25"/>
      <c r="CA25" s="25"/>
      <c r="CB25" s="26"/>
    </row>
    <row r="26" spans="1:80">
      <c r="A26" s="6">
        <f t="shared" si="3"/>
        <v>7</v>
      </c>
      <c r="B26" s="2">
        <f t="shared" si="3"/>
        <v>0</v>
      </c>
      <c r="C26" s="2">
        <f t="shared" si="3"/>
        <v>0</v>
      </c>
      <c r="D26" s="2">
        <f t="shared" si="3"/>
        <v>0</v>
      </c>
      <c r="E26" s="24"/>
      <c r="F26" s="25"/>
      <c r="G26" s="25"/>
      <c r="H26" s="25"/>
      <c r="I26" s="29"/>
      <c r="J26" s="26"/>
      <c r="K26" s="24"/>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24"/>
      <c r="AZ26" s="66"/>
      <c r="BA26" s="66"/>
      <c r="BB26" s="66"/>
      <c r="BC26" s="66"/>
      <c r="BD26" s="66"/>
      <c r="BE26" s="66"/>
      <c r="BF26" s="66"/>
      <c r="BG26" s="66"/>
      <c r="BH26" s="66"/>
      <c r="BI26" s="66"/>
      <c r="BJ26" s="66"/>
      <c r="BK26" s="25"/>
      <c r="BL26" s="25"/>
      <c r="BM26" s="29"/>
      <c r="BN26" s="24"/>
      <c r="BO26" s="25"/>
      <c r="BP26" s="25"/>
      <c r="BQ26" s="25"/>
      <c r="BR26" s="25"/>
      <c r="BS26" s="24"/>
      <c r="BT26" s="25"/>
      <c r="BU26" s="25"/>
      <c r="BV26" s="25"/>
      <c r="BW26" s="26"/>
      <c r="BX26" s="24"/>
      <c r="BY26" s="25"/>
      <c r="BZ26" s="25"/>
      <c r="CA26" s="25"/>
      <c r="CB26" s="26"/>
    </row>
    <row r="27" spans="1:80">
      <c r="A27" s="6">
        <f t="shared" si="3"/>
        <v>8</v>
      </c>
      <c r="B27" s="2">
        <f t="shared" si="3"/>
        <v>0</v>
      </c>
      <c r="C27" s="2">
        <f t="shared" si="3"/>
        <v>0</v>
      </c>
      <c r="D27" s="2">
        <f t="shared" si="3"/>
        <v>0</v>
      </c>
      <c r="E27" s="24"/>
      <c r="F27" s="25"/>
      <c r="G27" s="25"/>
      <c r="H27" s="25"/>
      <c r="I27" s="29"/>
      <c r="J27" s="26"/>
      <c r="K27" s="24"/>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24"/>
      <c r="AZ27" s="66"/>
      <c r="BA27" s="66"/>
      <c r="BB27" s="66"/>
      <c r="BC27" s="66"/>
      <c r="BD27" s="66"/>
      <c r="BE27" s="66"/>
      <c r="BF27" s="66"/>
      <c r="BG27" s="66"/>
      <c r="BH27" s="66"/>
      <c r="BI27" s="66"/>
      <c r="BJ27" s="66"/>
      <c r="BK27" s="25"/>
      <c r="BL27" s="25"/>
      <c r="BM27" s="29"/>
      <c r="BN27" s="24"/>
      <c r="BO27" s="25"/>
      <c r="BP27" s="25"/>
      <c r="BQ27" s="25"/>
      <c r="BR27" s="25"/>
      <c r="BS27" s="24"/>
      <c r="BT27" s="25"/>
      <c r="BU27" s="25"/>
      <c r="BV27" s="25"/>
      <c r="BW27" s="26"/>
      <c r="BX27" s="24"/>
      <c r="BY27" s="25"/>
      <c r="BZ27" s="25"/>
      <c r="CA27" s="25"/>
      <c r="CB27" s="26"/>
    </row>
    <row r="28" spans="1:80">
      <c r="A28" s="6">
        <f t="shared" si="3"/>
        <v>9</v>
      </c>
      <c r="B28" s="2">
        <f t="shared" si="3"/>
        <v>0</v>
      </c>
      <c r="C28" s="2">
        <f t="shared" si="3"/>
        <v>0</v>
      </c>
      <c r="D28" s="2">
        <f t="shared" si="3"/>
        <v>0</v>
      </c>
      <c r="E28" s="24"/>
      <c r="F28" s="25"/>
      <c r="G28" s="25"/>
      <c r="H28" s="25"/>
      <c r="I28" s="29"/>
      <c r="J28" s="26"/>
      <c r="K28" s="24"/>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24"/>
      <c r="AZ28" s="66"/>
      <c r="BA28" s="66"/>
      <c r="BB28" s="66"/>
      <c r="BC28" s="66"/>
      <c r="BD28" s="66"/>
      <c r="BE28" s="66"/>
      <c r="BF28" s="66"/>
      <c r="BG28" s="66"/>
      <c r="BH28" s="66"/>
      <c r="BI28" s="66"/>
      <c r="BJ28" s="66"/>
      <c r="BK28" s="25"/>
      <c r="BL28" s="25"/>
      <c r="BM28" s="29"/>
      <c r="BN28" s="24"/>
      <c r="BO28" s="25"/>
      <c r="BP28" s="25"/>
      <c r="BQ28" s="25"/>
      <c r="BR28" s="25"/>
      <c r="BS28" s="24"/>
      <c r="BT28" s="25"/>
      <c r="BU28" s="25"/>
      <c r="BV28" s="25"/>
      <c r="BW28" s="26"/>
      <c r="BX28" s="24"/>
      <c r="BY28" s="25"/>
      <c r="BZ28" s="25"/>
      <c r="CA28" s="25"/>
      <c r="CB28" s="26"/>
    </row>
    <row r="29" spans="1:80">
      <c r="A29" s="6">
        <f t="shared" si="3"/>
        <v>10</v>
      </c>
      <c r="B29" s="2">
        <f t="shared" si="3"/>
        <v>0</v>
      </c>
      <c r="C29" s="2">
        <f t="shared" si="3"/>
        <v>0</v>
      </c>
      <c r="D29" s="2">
        <f t="shared" si="3"/>
        <v>0</v>
      </c>
      <c r="E29" s="24"/>
      <c r="F29" s="25"/>
      <c r="G29" s="25"/>
      <c r="H29" s="25"/>
      <c r="I29" s="29"/>
      <c r="J29" s="26"/>
      <c r="K29" s="24"/>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24"/>
      <c r="AZ29" s="66"/>
      <c r="BA29" s="66"/>
      <c r="BB29" s="66"/>
      <c r="BC29" s="66"/>
      <c r="BD29" s="66"/>
      <c r="BE29" s="66"/>
      <c r="BF29" s="66"/>
      <c r="BG29" s="66"/>
      <c r="BH29" s="66"/>
      <c r="BI29" s="66"/>
      <c r="BJ29" s="66"/>
      <c r="BK29" s="25"/>
      <c r="BL29" s="25"/>
      <c r="BM29" s="29"/>
      <c r="BN29" s="24"/>
      <c r="BO29" s="25"/>
      <c r="BP29" s="25"/>
      <c r="BQ29" s="25"/>
      <c r="BR29" s="25"/>
      <c r="BS29" s="24"/>
      <c r="BT29" s="25"/>
      <c r="BU29" s="25"/>
      <c r="BV29" s="25"/>
      <c r="BW29" s="26"/>
      <c r="BX29" s="24"/>
      <c r="BY29" s="25"/>
      <c r="BZ29" s="25"/>
      <c r="CA29" s="25"/>
      <c r="CB29" s="26"/>
    </row>
    <row r="31" spans="1:80">
      <c r="AY31" s="68"/>
      <c r="AZ31" s="68"/>
      <c r="BA31" s="68"/>
      <c r="BB31" s="68"/>
      <c r="BC31" s="68"/>
      <c r="BD31" s="68"/>
      <c r="BE31" s="68"/>
      <c r="BF31" s="68"/>
      <c r="BG31" s="68"/>
      <c r="BH31" s="68"/>
      <c r="BI31" s="68"/>
      <c r="BJ31" s="68"/>
      <c r="BK31" s="68"/>
      <c r="BL31" s="68"/>
      <c r="BM31" s="68"/>
      <c r="BN31" s="68"/>
    </row>
    <row r="32" spans="1:80">
      <c r="D32" t="s">
        <v>280</v>
      </c>
      <c r="E32" s="68" t="str">
        <f t="shared" ref="E32:J32" si="4">CONCATENATE("=Vragenlijst!B",E1)</f>
        <v>=Vragenlijst!B</v>
      </c>
      <c r="F32" s="68" t="str">
        <f t="shared" si="4"/>
        <v>=Vragenlijst!B</v>
      </c>
      <c r="G32" s="68" t="str">
        <f t="shared" si="4"/>
        <v>=Vragenlijst!B</v>
      </c>
      <c r="H32" s="68" t="str">
        <f t="shared" si="4"/>
        <v>=Vragenlijst!B</v>
      </c>
      <c r="I32" s="68" t="str">
        <f t="shared" si="4"/>
        <v>=Vragenlijst!B</v>
      </c>
      <c r="J32" s="68" t="str">
        <f t="shared" si="4"/>
        <v>=Vragenlijst!B</v>
      </c>
      <c r="K32" s="68" t="str">
        <f>CONCATENATE("=Vragenlijst!B",K1)</f>
        <v>=Vragenlijst!B</v>
      </c>
      <c r="L32" s="68"/>
      <c r="M32" s="68"/>
      <c r="N32" s="68" t="str">
        <f t="shared" ref="N32:AX32" si="5">CONCATENATE("=Vragenlijst!B",N1)</f>
        <v>=Vragenlijst!B</v>
      </c>
      <c r="O32" s="68" t="str">
        <f t="shared" si="5"/>
        <v>=Vragenlijst!B</v>
      </c>
      <c r="P32" s="68" t="str">
        <f t="shared" si="5"/>
        <v>=Vragenlijst!B</v>
      </c>
      <c r="Q32" s="68" t="str">
        <f t="shared" si="5"/>
        <v>=Vragenlijst!B</v>
      </c>
      <c r="R32" s="68" t="str">
        <f t="shared" si="5"/>
        <v>=Vragenlijst!B</v>
      </c>
      <c r="S32" s="68" t="str">
        <f t="shared" si="5"/>
        <v>=Vragenlijst!B</v>
      </c>
      <c r="T32" s="68" t="str">
        <f t="shared" si="5"/>
        <v>=Vragenlijst!B</v>
      </c>
      <c r="U32" s="68" t="str">
        <f t="shared" si="5"/>
        <v>=Vragenlijst!B</v>
      </c>
      <c r="V32" s="68" t="str">
        <f t="shared" si="5"/>
        <v>=Vragenlijst!B</v>
      </c>
      <c r="W32" s="68" t="str">
        <f t="shared" si="5"/>
        <v>=Vragenlijst!B</v>
      </c>
      <c r="X32" s="68" t="str">
        <f t="shared" si="5"/>
        <v>=Vragenlijst!B</v>
      </c>
      <c r="Y32" s="68" t="str">
        <f t="shared" si="5"/>
        <v>=Vragenlijst!B</v>
      </c>
      <c r="Z32" s="68" t="str">
        <f t="shared" si="5"/>
        <v>=Vragenlijst!B</v>
      </c>
      <c r="AA32" s="68" t="str">
        <f t="shared" si="5"/>
        <v>=Vragenlijst!B</v>
      </c>
      <c r="AB32" s="68" t="str">
        <f t="shared" si="5"/>
        <v>=Vragenlijst!B</v>
      </c>
      <c r="AC32" s="68" t="str">
        <f t="shared" si="5"/>
        <v>=Vragenlijst!B</v>
      </c>
      <c r="AD32" s="68" t="str">
        <f t="shared" si="5"/>
        <v>=Vragenlijst!B</v>
      </c>
      <c r="AE32" s="68" t="str">
        <f t="shared" si="5"/>
        <v>=Vragenlijst!B</v>
      </c>
      <c r="AF32" s="68" t="str">
        <f t="shared" si="5"/>
        <v>=Vragenlijst!B</v>
      </c>
      <c r="AG32" s="68" t="str">
        <f t="shared" si="5"/>
        <v>=Vragenlijst!B</v>
      </c>
      <c r="AH32" s="68" t="str">
        <f t="shared" si="5"/>
        <v>=Vragenlijst!B</v>
      </c>
      <c r="AI32" s="68" t="str">
        <f t="shared" si="5"/>
        <v>=Vragenlijst!B</v>
      </c>
      <c r="AJ32" s="68" t="str">
        <f t="shared" si="5"/>
        <v>=Vragenlijst!B</v>
      </c>
      <c r="AK32" s="68" t="str">
        <f t="shared" si="5"/>
        <v>=Vragenlijst!B</v>
      </c>
      <c r="AL32" s="68" t="str">
        <f t="shared" si="5"/>
        <v>=Vragenlijst!B</v>
      </c>
      <c r="AM32" s="68" t="str">
        <f t="shared" si="5"/>
        <v>=Vragenlijst!B</v>
      </c>
      <c r="AN32" s="68" t="str">
        <f t="shared" si="5"/>
        <v>=Vragenlijst!B</v>
      </c>
      <c r="AO32" s="68" t="str">
        <f t="shared" si="5"/>
        <v>=Vragenlijst!B</v>
      </c>
      <c r="AP32" s="68" t="str">
        <f t="shared" si="5"/>
        <v>=Vragenlijst!B</v>
      </c>
      <c r="AQ32" s="68" t="str">
        <f t="shared" si="5"/>
        <v>=Vragenlijst!B</v>
      </c>
      <c r="AR32" s="68" t="str">
        <f t="shared" si="5"/>
        <v>=Vragenlijst!B</v>
      </c>
      <c r="AS32" s="68" t="str">
        <f t="shared" si="5"/>
        <v>=Vragenlijst!B</v>
      </c>
      <c r="AT32" s="68" t="str">
        <f t="shared" si="5"/>
        <v>=Vragenlijst!B</v>
      </c>
      <c r="AU32" s="68" t="str">
        <f t="shared" si="5"/>
        <v>=Vragenlijst!B</v>
      </c>
      <c r="AV32" s="68" t="str">
        <f t="shared" si="5"/>
        <v>=Vragenlijst!B</v>
      </c>
      <c r="AW32" s="68" t="str">
        <f t="shared" si="5"/>
        <v>=Vragenlijst!B</v>
      </c>
      <c r="AX32" s="68" t="str">
        <f t="shared" si="5"/>
        <v>=Vragenlijst!B</v>
      </c>
      <c r="AY32" s="68" t="str">
        <f>CONCATENATE("=Vragenlijst!K",AY1)</f>
        <v>=Vragenlijst!K</v>
      </c>
      <c r="AZ32" s="68" t="str">
        <f t="shared" ref="AZ32:BM32" si="6">CONCATENATE("=Vragenlijst!K",AZ1)</f>
        <v>=Vragenlijst!K</v>
      </c>
      <c r="BA32" s="68" t="str">
        <f t="shared" si="6"/>
        <v>=Vragenlijst!K</v>
      </c>
      <c r="BB32" s="68" t="str">
        <f t="shared" si="6"/>
        <v>=Vragenlijst!K</v>
      </c>
      <c r="BC32" s="68" t="str">
        <f t="shared" si="6"/>
        <v>=Vragenlijst!K</v>
      </c>
      <c r="BD32" s="68" t="str">
        <f t="shared" si="6"/>
        <v>=Vragenlijst!K</v>
      </c>
      <c r="BE32" s="68" t="str">
        <f t="shared" si="6"/>
        <v>=Vragenlijst!K</v>
      </c>
      <c r="BF32" s="68" t="str">
        <f t="shared" si="6"/>
        <v>=Vragenlijst!K</v>
      </c>
      <c r="BG32" s="68" t="str">
        <f t="shared" si="6"/>
        <v>=Vragenlijst!K</v>
      </c>
      <c r="BH32" s="68" t="str">
        <f t="shared" si="6"/>
        <v>=Vragenlijst!K</v>
      </c>
      <c r="BI32" s="68" t="str">
        <f t="shared" si="6"/>
        <v>=Vragenlijst!K</v>
      </c>
      <c r="BJ32" s="68" t="str">
        <f t="shared" si="6"/>
        <v>=Vragenlijst!K</v>
      </c>
      <c r="BK32" s="68" t="str">
        <f t="shared" si="6"/>
        <v>=Vragenlijst!K</v>
      </c>
      <c r="BL32" s="68" t="str">
        <f t="shared" si="6"/>
        <v>=Vragenlijst!K</v>
      </c>
      <c r="BM32" s="68" t="str">
        <f t="shared" si="6"/>
        <v>=Vragenlijst!K</v>
      </c>
      <c r="BN32" s="68"/>
    </row>
    <row r="33" spans="4:80">
      <c r="AY33" s="68"/>
      <c r="AZ33" s="68"/>
      <c r="BA33" s="68"/>
      <c r="BB33" s="68"/>
      <c r="BC33" s="68"/>
      <c r="BD33" s="68"/>
      <c r="BE33" s="68"/>
      <c r="BF33" s="68"/>
      <c r="BG33" s="68"/>
      <c r="BH33" s="68"/>
      <c r="BI33" s="68"/>
      <c r="BJ33" s="68"/>
      <c r="BK33" s="68"/>
      <c r="BL33" s="68"/>
      <c r="BM33" s="68"/>
    </row>
    <row r="34" spans="4:80">
      <c r="D34" t="s">
        <v>281</v>
      </c>
      <c r="E34" s="68" t="str">
        <f t="shared" ref="E34:J34" si="7">CONCATENATE("=Vragenlijst!C",E1)</f>
        <v>=Vragenlijst!C</v>
      </c>
      <c r="F34" s="68" t="str">
        <f t="shared" si="7"/>
        <v>=Vragenlijst!C</v>
      </c>
      <c r="G34" s="68" t="str">
        <f t="shared" si="7"/>
        <v>=Vragenlijst!C</v>
      </c>
      <c r="H34" s="68" t="str">
        <f t="shared" si="7"/>
        <v>=Vragenlijst!C</v>
      </c>
      <c r="I34" s="68" t="str">
        <f t="shared" si="7"/>
        <v>=Vragenlijst!C</v>
      </c>
      <c r="J34" s="68" t="str">
        <f t="shared" si="7"/>
        <v>=Vragenlijst!C</v>
      </c>
      <c r="K34" s="68" t="str">
        <f>CONCATENATE("=Vragenlijst!C",K1)</f>
        <v>=Vragenlijst!C</v>
      </c>
      <c r="L34" s="68" t="str">
        <f t="shared" ref="L34:BR34" si="8">CONCATENATE("=Vragenlijst!C",L1)</f>
        <v>=Vragenlijst!C</v>
      </c>
      <c r="M34" s="68" t="str">
        <f t="shared" si="8"/>
        <v>=Vragenlijst!C</v>
      </c>
      <c r="N34" s="68" t="str">
        <f t="shared" si="8"/>
        <v>=Vragenlijst!C</v>
      </c>
      <c r="O34" s="68" t="str">
        <f t="shared" si="8"/>
        <v>=Vragenlijst!C</v>
      </c>
      <c r="P34" s="68" t="str">
        <f t="shared" si="8"/>
        <v>=Vragenlijst!C</v>
      </c>
      <c r="Q34" s="68" t="str">
        <f t="shared" si="8"/>
        <v>=Vragenlijst!C</v>
      </c>
      <c r="R34" s="68" t="str">
        <f t="shared" si="8"/>
        <v>=Vragenlijst!C</v>
      </c>
      <c r="S34" s="68" t="str">
        <f t="shared" si="8"/>
        <v>=Vragenlijst!C</v>
      </c>
      <c r="T34" s="68" t="str">
        <f t="shared" si="8"/>
        <v>=Vragenlijst!C</v>
      </c>
      <c r="U34" s="68" t="str">
        <f t="shared" si="8"/>
        <v>=Vragenlijst!C</v>
      </c>
      <c r="V34" s="68" t="str">
        <f t="shared" si="8"/>
        <v>=Vragenlijst!C</v>
      </c>
      <c r="W34" s="68" t="str">
        <f t="shared" si="8"/>
        <v>=Vragenlijst!C</v>
      </c>
      <c r="X34" s="68" t="str">
        <f t="shared" si="8"/>
        <v>=Vragenlijst!C</v>
      </c>
      <c r="Y34" s="68" t="str">
        <f t="shared" si="8"/>
        <v>=Vragenlijst!C</v>
      </c>
      <c r="Z34" s="68" t="str">
        <f t="shared" si="8"/>
        <v>=Vragenlijst!C</v>
      </c>
      <c r="AA34" s="68" t="str">
        <f t="shared" si="8"/>
        <v>=Vragenlijst!C</v>
      </c>
      <c r="AB34" s="68" t="str">
        <f t="shared" si="8"/>
        <v>=Vragenlijst!C</v>
      </c>
      <c r="AC34" s="68" t="str">
        <f t="shared" si="8"/>
        <v>=Vragenlijst!C</v>
      </c>
      <c r="AD34" s="68" t="str">
        <f t="shared" si="8"/>
        <v>=Vragenlijst!C</v>
      </c>
      <c r="AE34" s="68" t="str">
        <f t="shared" si="8"/>
        <v>=Vragenlijst!C</v>
      </c>
      <c r="AF34" s="68" t="str">
        <f t="shared" si="8"/>
        <v>=Vragenlijst!C</v>
      </c>
      <c r="AG34" s="68" t="str">
        <f t="shared" si="8"/>
        <v>=Vragenlijst!C</v>
      </c>
      <c r="AH34" s="68" t="str">
        <f t="shared" si="8"/>
        <v>=Vragenlijst!C</v>
      </c>
      <c r="AI34" s="68" t="str">
        <f t="shared" si="8"/>
        <v>=Vragenlijst!C</v>
      </c>
      <c r="AJ34" s="68" t="str">
        <f t="shared" si="8"/>
        <v>=Vragenlijst!C</v>
      </c>
      <c r="AK34" s="68" t="str">
        <f t="shared" si="8"/>
        <v>=Vragenlijst!C</v>
      </c>
      <c r="AL34" s="68" t="str">
        <f t="shared" si="8"/>
        <v>=Vragenlijst!C</v>
      </c>
      <c r="AM34" s="68" t="str">
        <f t="shared" si="8"/>
        <v>=Vragenlijst!C</v>
      </c>
      <c r="AN34" s="68" t="str">
        <f t="shared" si="8"/>
        <v>=Vragenlijst!C</v>
      </c>
      <c r="AO34" s="68" t="str">
        <f t="shared" si="8"/>
        <v>=Vragenlijst!C</v>
      </c>
      <c r="AP34" s="68" t="str">
        <f t="shared" si="8"/>
        <v>=Vragenlijst!C</v>
      </c>
      <c r="AQ34" s="68" t="str">
        <f t="shared" si="8"/>
        <v>=Vragenlijst!C</v>
      </c>
      <c r="AR34" s="68" t="str">
        <f t="shared" si="8"/>
        <v>=Vragenlijst!C</v>
      </c>
      <c r="AS34" s="68" t="str">
        <f t="shared" si="8"/>
        <v>=Vragenlijst!C</v>
      </c>
      <c r="AT34" s="68" t="str">
        <f t="shared" si="8"/>
        <v>=Vragenlijst!C</v>
      </c>
      <c r="AU34" s="68" t="str">
        <f t="shared" si="8"/>
        <v>=Vragenlijst!C</v>
      </c>
      <c r="AV34" s="68" t="str">
        <f t="shared" si="8"/>
        <v>=Vragenlijst!C</v>
      </c>
      <c r="AW34" s="68" t="str">
        <f t="shared" si="8"/>
        <v>=Vragenlijst!C</v>
      </c>
      <c r="AX34" s="68" t="str">
        <f t="shared" si="8"/>
        <v>=Vragenlijst!C</v>
      </c>
      <c r="AY34" s="68" t="str">
        <f t="shared" si="8"/>
        <v>=Vragenlijst!C</v>
      </c>
      <c r="AZ34" s="68" t="str">
        <f t="shared" si="8"/>
        <v>=Vragenlijst!C</v>
      </c>
      <c r="BA34" s="68" t="str">
        <f t="shared" si="8"/>
        <v>=Vragenlijst!C</v>
      </c>
      <c r="BB34" s="68" t="str">
        <f t="shared" si="8"/>
        <v>=Vragenlijst!C</v>
      </c>
      <c r="BC34" s="68" t="str">
        <f t="shared" si="8"/>
        <v>=Vragenlijst!C</v>
      </c>
      <c r="BD34" s="68" t="str">
        <f t="shared" si="8"/>
        <v>=Vragenlijst!C</v>
      </c>
      <c r="BE34" s="68" t="str">
        <f t="shared" si="8"/>
        <v>=Vragenlijst!C</v>
      </c>
      <c r="BF34" s="68" t="str">
        <f t="shared" si="8"/>
        <v>=Vragenlijst!C</v>
      </c>
      <c r="BG34" s="68" t="str">
        <f t="shared" si="8"/>
        <v>=Vragenlijst!C</v>
      </c>
      <c r="BH34" s="68" t="str">
        <f t="shared" si="8"/>
        <v>=Vragenlijst!C</v>
      </c>
      <c r="BI34" s="68" t="str">
        <f t="shared" si="8"/>
        <v>=Vragenlijst!C</v>
      </c>
      <c r="BJ34" s="68" t="str">
        <f t="shared" si="8"/>
        <v>=Vragenlijst!C</v>
      </c>
      <c r="BK34" s="68" t="str">
        <f t="shared" si="8"/>
        <v>=Vragenlijst!C</v>
      </c>
      <c r="BL34" s="68" t="str">
        <f t="shared" si="8"/>
        <v>=Vragenlijst!C</v>
      </c>
      <c r="BM34" s="68" t="str">
        <f t="shared" si="8"/>
        <v>=Vragenlijst!C</v>
      </c>
      <c r="BN34" s="68" t="str">
        <f t="shared" si="8"/>
        <v>=Vragenlijst!C</v>
      </c>
      <c r="BO34" s="68" t="str">
        <f t="shared" si="8"/>
        <v>=Vragenlijst!C</v>
      </c>
      <c r="BP34" s="68" t="str">
        <f t="shared" si="8"/>
        <v>=Vragenlijst!C</v>
      </c>
      <c r="BQ34" s="68" t="str">
        <f t="shared" si="8"/>
        <v>=Vragenlijst!C</v>
      </c>
      <c r="BR34" s="68" t="str">
        <f t="shared" si="8"/>
        <v>=Vragenlijst!C</v>
      </c>
      <c r="BS34" s="68" t="str">
        <f t="shared" ref="BS34:CB34" si="9">CONCATENATE("=Vragenlijst!C",BS1)</f>
        <v>=Vragenlijst!C</v>
      </c>
      <c r="BT34" s="68" t="str">
        <f t="shared" si="9"/>
        <v>=Vragenlijst!C</v>
      </c>
      <c r="BU34" s="68" t="str">
        <f t="shared" si="9"/>
        <v>=Vragenlijst!C</v>
      </c>
      <c r="BV34" s="68" t="str">
        <f t="shared" si="9"/>
        <v>=Vragenlijst!C</v>
      </c>
      <c r="BW34" s="68" t="str">
        <f t="shared" si="9"/>
        <v>=Vragenlijst!C</v>
      </c>
      <c r="BX34" s="68" t="str">
        <f t="shared" si="9"/>
        <v>=Vragenlijst!C</v>
      </c>
      <c r="BY34" s="68" t="str">
        <f t="shared" si="9"/>
        <v>=Vragenlijst!C</v>
      </c>
      <c r="BZ34" s="68" t="str">
        <f t="shared" si="9"/>
        <v>=Vragenlijst!C</v>
      </c>
      <c r="CA34" s="68" t="str">
        <f t="shared" si="9"/>
        <v>=Vragenlijst!C</v>
      </c>
      <c r="CB34" s="68" t="str">
        <f t="shared" si="9"/>
        <v>=Vragenlijst!C</v>
      </c>
    </row>
    <row r="36" spans="4:80">
      <c r="D36" t="s">
        <v>279</v>
      </c>
      <c r="E36" s="68" t="str">
        <f t="shared" ref="E36:J36" si="10">CONCATENATE("=Vragenlijst!D",E1)</f>
        <v>=Vragenlijst!D</v>
      </c>
      <c r="F36" s="68" t="str">
        <f t="shared" si="10"/>
        <v>=Vragenlijst!D</v>
      </c>
      <c r="G36" s="68" t="str">
        <f t="shared" si="10"/>
        <v>=Vragenlijst!D</v>
      </c>
      <c r="H36" s="68" t="str">
        <f t="shared" si="10"/>
        <v>=Vragenlijst!D</v>
      </c>
      <c r="I36" s="68" t="str">
        <f t="shared" si="10"/>
        <v>=Vragenlijst!D</v>
      </c>
      <c r="J36" s="68" t="str">
        <f t="shared" si="10"/>
        <v>=Vragenlijst!D</v>
      </c>
      <c r="K36" s="68" t="str">
        <f>CONCATENATE("=Vragenlijst!D",K1)</f>
        <v>=Vragenlijst!D</v>
      </c>
      <c r="L36" s="68" t="str">
        <f t="shared" ref="L36:BR36" si="11">CONCATENATE("=Vragenlijst!D",L1)</f>
        <v>=Vragenlijst!D</v>
      </c>
      <c r="M36" s="68" t="str">
        <f t="shared" si="11"/>
        <v>=Vragenlijst!D</v>
      </c>
      <c r="N36" s="68" t="str">
        <f t="shared" si="11"/>
        <v>=Vragenlijst!D</v>
      </c>
      <c r="O36" s="68" t="str">
        <f t="shared" si="11"/>
        <v>=Vragenlijst!D</v>
      </c>
      <c r="P36" s="68" t="str">
        <f t="shared" si="11"/>
        <v>=Vragenlijst!D</v>
      </c>
      <c r="Q36" s="68" t="str">
        <f t="shared" si="11"/>
        <v>=Vragenlijst!D</v>
      </c>
      <c r="R36" s="68" t="str">
        <f t="shared" si="11"/>
        <v>=Vragenlijst!D</v>
      </c>
      <c r="S36" s="68" t="str">
        <f t="shared" si="11"/>
        <v>=Vragenlijst!D</v>
      </c>
      <c r="T36" s="68" t="str">
        <f t="shared" si="11"/>
        <v>=Vragenlijst!D</v>
      </c>
      <c r="U36" s="68" t="str">
        <f t="shared" si="11"/>
        <v>=Vragenlijst!D</v>
      </c>
      <c r="V36" s="68" t="str">
        <f t="shared" si="11"/>
        <v>=Vragenlijst!D</v>
      </c>
      <c r="W36" s="68" t="str">
        <f t="shared" si="11"/>
        <v>=Vragenlijst!D</v>
      </c>
      <c r="X36" s="68" t="str">
        <f t="shared" si="11"/>
        <v>=Vragenlijst!D</v>
      </c>
      <c r="Y36" s="68" t="str">
        <f t="shared" si="11"/>
        <v>=Vragenlijst!D</v>
      </c>
      <c r="Z36" s="68" t="str">
        <f t="shared" si="11"/>
        <v>=Vragenlijst!D</v>
      </c>
      <c r="AA36" s="68" t="str">
        <f t="shared" si="11"/>
        <v>=Vragenlijst!D</v>
      </c>
      <c r="AB36" s="68" t="str">
        <f t="shared" si="11"/>
        <v>=Vragenlijst!D</v>
      </c>
      <c r="AC36" s="68" t="str">
        <f t="shared" si="11"/>
        <v>=Vragenlijst!D</v>
      </c>
      <c r="AD36" s="68" t="str">
        <f t="shared" si="11"/>
        <v>=Vragenlijst!D</v>
      </c>
      <c r="AE36" s="68" t="str">
        <f t="shared" si="11"/>
        <v>=Vragenlijst!D</v>
      </c>
      <c r="AF36" s="68" t="str">
        <f t="shared" si="11"/>
        <v>=Vragenlijst!D</v>
      </c>
      <c r="AG36" s="68" t="str">
        <f t="shared" si="11"/>
        <v>=Vragenlijst!D</v>
      </c>
      <c r="AH36" s="68" t="str">
        <f t="shared" si="11"/>
        <v>=Vragenlijst!D</v>
      </c>
      <c r="AI36" s="68" t="str">
        <f t="shared" si="11"/>
        <v>=Vragenlijst!D</v>
      </c>
      <c r="AJ36" s="68" t="str">
        <f t="shared" si="11"/>
        <v>=Vragenlijst!D</v>
      </c>
      <c r="AK36" s="68" t="str">
        <f t="shared" si="11"/>
        <v>=Vragenlijst!D</v>
      </c>
      <c r="AL36" s="68" t="str">
        <f t="shared" si="11"/>
        <v>=Vragenlijst!D</v>
      </c>
      <c r="AM36" s="68" t="str">
        <f t="shared" si="11"/>
        <v>=Vragenlijst!D</v>
      </c>
      <c r="AN36" s="68" t="str">
        <f t="shared" si="11"/>
        <v>=Vragenlijst!D</v>
      </c>
      <c r="AO36" s="68" t="str">
        <f t="shared" si="11"/>
        <v>=Vragenlijst!D</v>
      </c>
      <c r="AP36" s="68" t="str">
        <f t="shared" si="11"/>
        <v>=Vragenlijst!D</v>
      </c>
      <c r="AQ36" s="68" t="str">
        <f t="shared" si="11"/>
        <v>=Vragenlijst!D</v>
      </c>
      <c r="AR36" s="68" t="str">
        <f t="shared" si="11"/>
        <v>=Vragenlijst!D</v>
      </c>
      <c r="AS36" s="68" t="str">
        <f t="shared" si="11"/>
        <v>=Vragenlijst!D</v>
      </c>
      <c r="AT36" s="68" t="str">
        <f t="shared" si="11"/>
        <v>=Vragenlijst!D</v>
      </c>
      <c r="AU36" s="68" t="str">
        <f t="shared" si="11"/>
        <v>=Vragenlijst!D</v>
      </c>
      <c r="AV36" s="68" t="str">
        <f t="shared" si="11"/>
        <v>=Vragenlijst!D</v>
      </c>
      <c r="AW36" s="68" t="str">
        <f t="shared" si="11"/>
        <v>=Vragenlijst!D</v>
      </c>
      <c r="AX36" s="68" t="str">
        <f t="shared" si="11"/>
        <v>=Vragenlijst!D</v>
      </c>
      <c r="AY36" s="68" t="str">
        <f t="shared" si="11"/>
        <v>=Vragenlijst!D</v>
      </c>
      <c r="AZ36" s="68" t="str">
        <f t="shared" si="11"/>
        <v>=Vragenlijst!D</v>
      </c>
      <c r="BA36" s="68" t="str">
        <f t="shared" si="11"/>
        <v>=Vragenlijst!D</v>
      </c>
      <c r="BB36" s="68" t="str">
        <f t="shared" si="11"/>
        <v>=Vragenlijst!D</v>
      </c>
      <c r="BC36" s="68" t="str">
        <f t="shared" si="11"/>
        <v>=Vragenlijst!D</v>
      </c>
      <c r="BD36" s="68" t="str">
        <f t="shared" si="11"/>
        <v>=Vragenlijst!D</v>
      </c>
      <c r="BE36" s="68" t="str">
        <f t="shared" si="11"/>
        <v>=Vragenlijst!D</v>
      </c>
      <c r="BF36" s="68" t="str">
        <f t="shared" si="11"/>
        <v>=Vragenlijst!D</v>
      </c>
      <c r="BG36" s="68" t="str">
        <f t="shared" si="11"/>
        <v>=Vragenlijst!D</v>
      </c>
      <c r="BH36" s="68" t="str">
        <f t="shared" si="11"/>
        <v>=Vragenlijst!D</v>
      </c>
      <c r="BI36" s="68" t="str">
        <f t="shared" si="11"/>
        <v>=Vragenlijst!D</v>
      </c>
      <c r="BJ36" s="68" t="str">
        <f t="shared" si="11"/>
        <v>=Vragenlijst!D</v>
      </c>
      <c r="BK36" s="68" t="str">
        <f t="shared" si="11"/>
        <v>=Vragenlijst!D</v>
      </c>
      <c r="BL36" s="68" t="str">
        <f t="shared" si="11"/>
        <v>=Vragenlijst!D</v>
      </c>
      <c r="BM36" s="68" t="str">
        <f t="shared" si="11"/>
        <v>=Vragenlijst!D</v>
      </c>
      <c r="BN36" s="68" t="str">
        <f t="shared" si="11"/>
        <v>=Vragenlijst!D</v>
      </c>
      <c r="BO36" s="68" t="str">
        <f t="shared" si="11"/>
        <v>=Vragenlijst!D</v>
      </c>
      <c r="BP36" s="68" t="str">
        <f t="shared" si="11"/>
        <v>=Vragenlijst!D</v>
      </c>
      <c r="BQ36" s="68" t="str">
        <f t="shared" si="11"/>
        <v>=Vragenlijst!D</v>
      </c>
      <c r="BR36" s="68" t="str">
        <f t="shared" si="11"/>
        <v>=Vragenlijst!D</v>
      </c>
      <c r="BS36" s="68" t="str">
        <f t="shared" ref="BS36:CB36" si="12">CONCATENATE("=Vragenlijst!D",BS1)</f>
        <v>=Vragenlijst!D</v>
      </c>
      <c r="BT36" s="68" t="str">
        <f t="shared" si="12"/>
        <v>=Vragenlijst!D</v>
      </c>
      <c r="BU36" s="68" t="str">
        <f t="shared" si="12"/>
        <v>=Vragenlijst!D</v>
      </c>
      <c r="BV36" s="68" t="str">
        <f t="shared" si="12"/>
        <v>=Vragenlijst!D</v>
      </c>
      <c r="BW36" s="68" t="str">
        <f t="shared" si="12"/>
        <v>=Vragenlijst!D</v>
      </c>
      <c r="BX36" s="68" t="str">
        <f t="shared" si="12"/>
        <v>=Vragenlijst!D</v>
      </c>
      <c r="BY36" s="68" t="str">
        <f t="shared" si="12"/>
        <v>=Vragenlijst!D</v>
      </c>
      <c r="BZ36" s="68" t="str">
        <f t="shared" si="12"/>
        <v>=Vragenlijst!D</v>
      </c>
      <c r="CA36" s="68" t="str">
        <f t="shared" si="12"/>
        <v>=Vragenlijst!D</v>
      </c>
      <c r="CB36" s="68" t="str">
        <f t="shared" si="12"/>
        <v>=Vragenlijst!D</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D1:CB179"/>
  <sheetViews>
    <sheetView topLeftCell="U35" zoomScale="55" zoomScaleNormal="55" workbookViewId="0">
      <selection activeCell="AH9" sqref="AH9"/>
    </sheetView>
  </sheetViews>
  <sheetFormatPr defaultColWidth="8.7109375" defaultRowHeight="14.45"/>
  <cols>
    <col min="1" max="3" width="0" style="46" hidden="1" customWidth="1"/>
    <col min="4" max="4" width="25" style="46" bestFit="1" customWidth="1"/>
    <col min="5" max="30" width="6.28515625" style="56" customWidth="1"/>
    <col min="31" max="16384" width="8.7109375" style="46"/>
  </cols>
  <sheetData>
    <row r="1" spans="4:80" ht="15" thickBot="1">
      <c r="E1" s="71"/>
      <c r="F1" s="71"/>
      <c r="G1" s="71"/>
      <c r="H1" s="71"/>
      <c r="I1" s="71"/>
      <c r="J1" s="71"/>
      <c r="K1" s="70"/>
      <c r="L1" s="70"/>
      <c r="M1" s="70"/>
      <c r="N1" s="70"/>
      <c r="O1" s="70"/>
      <c r="P1" s="72"/>
      <c r="Q1" s="72"/>
      <c r="R1" s="72"/>
      <c r="S1" s="72"/>
      <c r="T1" s="70"/>
      <c r="U1" s="70"/>
      <c r="V1" s="70"/>
      <c r="W1" s="70"/>
      <c r="X1" s="70"/>
      <c r="Y1" s="72"/>
      <c r="Z1" s="72"/>
      <c r="AA1" s="72"/>
      <c r="AB1" s="72"/>
      <c r="AC1" s="72"/>
      <c r="AD1" s="70"/>
      <c r="AE1" s="70"/>
      <c r="AF1" s="70"/>
      <c r="AG1" s="70"/>
      <c r="AH1" s="70"/>
      <c r="AI1" s="72"/>
      <c r="AJ1" s="72"/>
      <c r="AK1" s="72"/>
      <c r="AL1" s="72"/>
      <c r="AM1" s="72"/>
      <c r="AN1" s="72"/>
      <c r="AO1" s="72"/>
      <c r="AP1" s="72"/>
      <c r="AQ1" s="74"/>
      <c r="AR1" s="74"/>
      <c r="AS1" s="74"/>
      <c r="AT1" s="74"/>
      <c r="AU1" s="74"/>
      <c r="AV1" s="72"/>
      <c r="AW1" s="72"/>
      <c r="AX1" s="72"/>
      <c r="AY1" s="69"/>
      <c r="AZ1" s="69"/>
      <c r="BA1" s="69"/>
      <c r="BB1" s="69"/>
      <c r="BC1" s="69"/>
      <c r="BD1" s="69"/>
      <c r="BE1" s="69"/>
      <c r="BF1" s="69"/>
      <c r="BG1" s="69"/>
      <c r="BH1" s="69"/>
      <c r="BI1" s="69"/>
      <c r="BJ1" s="69"/>
      <c r="BK1" s="69"/>
      <c r="BL1" s="69"/>
      <c r="BM1" s="69"/>
      <c r="BN1" s="84"/>
      <c r="BO1" s="84"/>
      <c r="BP1" s="84"/>
      <c r="BQ1" s="84"/>
      <c r="BR1" s="84"/>
      <c r="BS1" s="73"/>
      <c r="BT1" s="73"/>
      <c r="BU1" s="73"/>
      <c r="BV1" s="73"/>
      <c r="BW1" s="73"/>
      <c r="BX1" s="105"/>
      <c r="BY1" s="85"/>
      <c r="BZ1" s="85"/>
      <c r="CA1" s="85"/>
      <c r="CB1" s="85"/>
    </row>
    <row r="2" spans="4:80" ht="100.5" customHeight="1">
      <c r="E2" s="48" t="str">
        <f>'Data (NIET BEWERKEN!!)'!E2</f>
        <v>Digital Power Basic Skills</v>
      </c>
      <c r="F2" s="49" t="str">
        <f>'Data (NIET BEWERKEN!!)'!F2</f>
        <v>Digital Power Basic Skills</v>
      </c>
      <c r="G2" s="49" t="str">
        <f>'Data (NIET BEWERKEN!!)'!G2</f>
        <v>Digital Power Basic Skills</v>
      </c>
      <c r="H2" s="49" t="str">
        <f>'Data (NIET BEWERKEN!!)'!H2</f>
        <v>Digital Power Basic Skills</v>
      </c>
      <c r="I2" s="49" t="str">
        <f>'Data (NIET BEWERKEN!!)'!I2</f>
        <v>Digital Power Basic Skills</v>
      </c>
      <c r="J2" s="50" t="str">
        <f>'Data (NIET BEWERKEN!!)'!J2</f>
        <v>Digital Power Basic Skills</v>
      </c>
      <c r="K2" s="48" t="str">
        <f>'Data (NIET BEWERKEN!!)'!K2</f>
        <v>Domein Skills</v>
      </c>
      <c r="L2" s="49" t="str">
        <f>'Data (NIET BEWERKEN!!)'!L2</f>
        <v>Domein Skills</v>
      </c>
      <c r="M2" s="49" t="str">
        <f>'Data (NIET BEWERKEN!!)'!M2</f>
        <v>Domein Skills</v>
      </c>
      <c r="N2" s="49" t="str">
        <f>'Data (NIET BEWERKEN!!)'!N2</f>
        <v>Domein Skills</v>
      </c>
      <c r="O2" s="49" t="str">
        <f>'Data (NIET BEWERKEN!!)'!O2</f>
        <v>Domein Skills</v>
      </c>
      <c r="P2" s="49" t="str">
        <f>'Data (NIET BEWERKEN!!)'!P2</f>
        <v>Domein Skills</v>
      </c>
      <c r="Q2" s="49" t="str">
        <f>'Data (NIET BEWERKEN!!)'!Q2</f>
        <v>Domein Skills</v>
      </c>
      <c r="R2" s="49" t="str">
        <f>'Data (NIET BEWERKEN!!)'!R2</f>
        <v>Domein Skills</v>
      </c>
      <c r="S2" s="49" t="str">
        <f>'Data (NIET BEWERKEN!!)'!S2</f>
        <v>Domein Skills</v>
      </c>
      <c r="T2" s="49" t="str">
        <f>'Data (NIET BEWERKEN!!)'!T2</f>
        <v>Domein Skills</v>
      </c>
      <c r="U2" s="49" t="str">
        <f>'Data (NIET BEWERKEN!!)'!U2</f>
        <v>Domein Skills</v>
      </c>
      <c r="V2" s="49" t="str">
        <f>'Data (NIET BEWERKEN!!)'!V2</f>
        <v>Domein Skills</v>
      </c>
      <c r="W2" s="49" t="str">
        <f>'Data (NIET BEWERKEN!!)'!W2</f>
        <v>Domein Skills</v>
      </c>
      <c r="X2" s="49" t="str">
        <f>'Data (NIET BEWERKEN!!)'!X2</f>
        <v>Domein Skills</v>
      </c>
      <c r="Y2" s="49" t="str">
        <f>'Data (NIET BEWERKEN!!)'!Y2</f>
        <v>Domein Skills</v>
      </c>
      <c r="Z2" s="49" t="str">
        <f>'Data (NIET BEWERKEN!!)'!Z2</f>
        <v>Domein Skills</v>
      </c>
      <c r="AA2" s="49" t="str">
        <f>'Data (NIET BEWERKEN!!)'!AA2</f>
        <v>Domein Skills</v>
      </c>
      <c r="AB2" s="49" t="str">
        <f>'Data (NIET BEWERKEN!!)'!AB2</f>
        <v>Domein Skills</v>
      </c>
      <c r="AC2" s="49" t="str">
        <f>'Data (NIET BEWERKEN!!)'!AC2</f>
        <v>Domein Skills</v>
      </c>
      <c r="AD2" s="49" t="str">
        <f>'Data (NIET BEWERKEN!!)'!AD2</f>
        <v>Domein Skills</v>
      </c>
      <c r="AE2" s="49" t="str">
        <f>'Data (NIET BEWERKEN!!)'!AE2</f>
        <v>Domein Skills</v>
      </c>
      <c r="AF2" s="49" t="str">
        <f>'Data (NIET BEWERKEN!!)'!AF2</f>
        <v>Domein Skills</v>
      </c>
      <c r="AG2" s="49" t="str">
        <f>'Data (NIET BEWERKEN!!)'!AG2</f>
        <v>Domein Skills</v>
      </c>
      <c r="AH2" s="49" t="str">
        <f>'Data (NIET BEWERKEN!!)'!AH2</f>
        <v>Domein Skills</v>
      </c>
      <c r="AI2" s="49" t="str">
        <f>'Data (NIET BEWERKEN!!)'!AI2</f>
        <v>Domein Skills</v>
      </c>
      <c r="AJ2" s="49" t="str">
        <f>'Data (NIET BEWERKEN!!)'!AJ2</f>
        <v>Domein Skills</v>
      </c>
      <c r="AK2" s="49" t="str">
        <f>'Data (NIET BEWERKEN!!)'!AK2</f>
        <v>Domein Skills</v>
      </c>
      <c r="AL2" s="49" t="str">
        <f>'Data (NIET BEWERKEN!!)'!AL2</f>
        <v>Domein Skills</v>
      </c>
      <c r="AM2" s="49" t="str">
        <f>'Data (NIET BEWERKEN!!)'!AM2</f>
        <v>Domein Skills</v>
      </c>
      <c r="AN2" s="49" t="str">
        <f>'Data (NIET BEWERKEN!!)'!AN2</f>
        <v>Domein Skills</v>
      </c>
      <c r="AO2" s="49" t="str">
        <f>'Data (NIET BEWERKEN!!)'!AO2</f>
        <v>Domein Skills</v>
      </c>
      <c r="AP2" s="49" t="str">
        <f>'Data (NIET BEWERKEN!!)'!AP2</f>
        <v>Domein Skills</v>
      </c>
      <c r="AQ2" s="49" t="str">
        <f>'Data (NIET BEWERKEN!!)'!AQ2</f>
        <v>Domein Skills</v>
      </c>
      <c r="AR2" s="49" t="str">
        <f>'Data (NIET BEWERKEN!!)'!AR2</f>
        <v>Domein Skills</v>
      </c>
      <c r="AS2" s="49" t="str">
        <f>'Data (NIET BEWERKEN!!)'!AS2</f>
        <v>Domein Skills</v>
      </c>
      <c r="AT2" s="49" t="str">
        <f>'Data (NIET BEWERKEN!!)'!AT2</f>
        <v>Domein Skills</v>
      </c>
      <c r="AU2" s="49" t="str">
        <f>'Data (NIET BEWERKEN!!)'!AU2</f>
        <v>Domein Skills</v>
      </c>
      <c r="AV2" s="49" t="str">
        <f>'Data (NIET BEWERKEN!!)'!AV2</f>
        <v>Domein Skills</v>
      </c>
      <c r="AW2" s="49" t="str">
        <f>'Data (NIET BEWERKEN!!)'!AW2</f>
        <v>Domein Skills</v>
      </c>
      <c r="AX2" s="50" t="str">
        <f>'Data (NIET BEWERKEN!!)'!AX2</f>
        <v>Domein Skills</v>
      </c>
      <c r="AY2" s="48" t="str">
        <f>'Data (NIET BEWERKEN!!)'!AY2</f>
        <v>Hardskills</v>
      </c>
      <c r="AZ2" s="49" t="str">
        <f>'Data (NIET BEWERKEN!!)'!AZ2</f>
        <v>Hardskills</v>
      </c>
      <c r="BA2" s="49" t="str">
        <f>'Data (NIET BEWERKEN!!)'!BA2</f>
        <v>Hardskills</v>
      </c>
      <c r="BB2" s="49" t="str">
        <f>'Data (NIET BEWERKEN!!)'!BB2</f>
        <v>Hardskills</v>
      </c>
      <c r="BC2" s="49" t="str">
        <f>'Data (NIET BEWERKEN!!)'!BC2</f>
        <v>Hardskills</v>
      </c>
      <c r="BD2" s="49" t="str">
        <f>'Data (NIET BEWERKEN!!)'!BD2</f>
        <v>Hardskills</v>
      </c>
      <c r="BE2" s="49" t="str">
        <f>'Data (NIET BEWERKEN!!)'!BE2</f>
        <v>Hardskills</v>
      </c>
      <c r="BF2" s="49" t="str">
        <f>'Data (NIET BEWERKEN!!)'!BF2</f>
        <v>Hardskills</v>
      </c>
      <c r="BG2" s="49" t="str">
        <f>'Data (NIET BEWERKEN!!)'!BG2</f>
        <v>Hardskills</v>
      </c>
      <c r="BH2" s="49" t="str">
        <f>'Data (NIET BEWERKEN!!)'!BH2</f>
        <v>Hardskills</v>
      </c>
      <c r="BI2" s="49" t="str">
        <f>'Data (NIET BEWERKEN!!)'!BI2</f>
        <v>Hardskills</v>
      </c>
      <c r="BJ2" s="49" t="str">
        <f>'Data (NIET BEWERKEN!!)'!BJ2</f>
        <v>Hardskills</v>
      </c>
      <c r="BK2" s="49" t="str">
        <f>'Data (NIET BEWERKEN!!)'!BK2</f>
        <v>Hardskills</v>
      </c>
      <c r="BL2" s="49" t="str">
        <f>'Data (NIET BEWERKEN!!)'!BL2</f>
        <v>Hardskills</v>
      </c>
      <c r="BM2" s="50" t="str">
        <f>'Data (NIET BEWERKEN!!)'!BM2</f>
        <v>Hardskills</v>
      </c>
      <c r="BN2" s="48" t="str">
        <f>'Data (NIET BEWERKEN!!)'!BN2</f>
        <v>Basic Consultancy Skills</v>
      </c>
      <c r="BO2" s="49" t="str">
        <f>'Data (NIET BEWERKEN!!)'!BO2</f>
        <v>Basic Consultancy Skills</v>
      </c>
      <c r="BP2" s="49" t="str">
        <f>'Data (NIET BEWERKEN!!)'!BP2</f>
        <v>Basic Consultancy Skills</v>
      </c>
      <c r="BQ2" s="49" t="str">
        <f>'Data (NIET BEWERKEN!!)'!BQ2</f>
        <v>Basic Consultancy Skills</v>
      </c>
      <c r="BR2" s="50" t="str">
        <f>'Data (NIET BEWERKEN!!)'!BR2</f>
        <v>Basic Consultancy Skills</v>
      </c>
      <c r="BS2" s="48" t="str">
        <f>'Data (NIET BEWERKEN!!)'!BS2</f>
        <v>Business Skills</v>
      </c>
      <c r="BT2" s="49" t="str">
        <f>'Data (NIET BEWERKEN!!)'!BT2</f>
        <v>Business Skills</v>
      </c>
      <c r="BU2" s="49" t="str">
        <f>'Data (NIET BEWERKEN!!)'!BU2</f>
        <v>Business Skills</v>
      </c>
      <c r="BV2" s="49" t="str">
        <f>'Data (NIET BEWERKEN!!)'!BV2</f>
        <v>Business Skills</v>
      </c>
      <c r="BW2" s="50" t="str">
        <f>'Data (NIET BEWERKEN!!)'!BW2</f>
        <v>Business Skills</v>
      </c>
      <c r="BX2" s="48" t="str">
        <f>'Data (NIET BEWERKEN!!)'!BX2</f>
        <v>Expert Consultancy Skills</v>
      </c>
      <c r="BY2" s="49" t="str">
        <f>'Data (NIET BEWERKEN!!)'!BY2</f>
        <v>Expert Consultancy Skills</v>
      </c>
      <c r="BZ2" s="49" t="str">
        <f>'Data (NIET BEWERKEN!!)'!BZ2</f>
        <v>Expert Consultancy Skills</v>
      </c>
      <c r="CA2" s="49" t="str">
        <f>'Data (NIET BEWERKEN!!)'!CA2</f>
        <v>Expert Consultancy Skills</v>
      </c>
      <c r="CB2" s="50" t="str">
        <f>'Data (NIET BEWERKEN!!)'!CB2</f>
        <v>Expert Consultancy Skills</v>
      </c>
    </row>
    <row r="3" spans="4:80" ht="138" customHeight="1">
      <c r="E3" s="75"/>
      <c r="F3" s="76"/>
      <c r="G3" s="76"/>
      <c r="H3" s="76"/>
      <c r="I3" s="76"/>
      <c r="J3" s="77"/>
      <c r="K3" s="75" t="s">
        <v>282</v>
      </c>
      <c r="L3" s="76" t="s">
        <v>282</v>
      </c>
      <c r="M3" s="76" t="s">
        <v>282</v>
      </c>
      <c r="N3" s="76" t="s">
        <v>282</v>
      </c>
      <c r="O3" s="76" t="s">
        <v>282</v>
      </c>
      <c r="P3" s="76" t="s">
        <v>283</v>
      </c>
      <c r="Q3" s="76" t="s">
        <v>283</v>
      </c>
      <c r="R3" s="76" t="s">
        <v>283</v>
      </c>
      <c r="S3" s="76" t="s">
        <v>283</v>
      </c>
      <c r="T3" s="76" t="s">
        <v>65</v>
      </c>
      <c r="U3" s="76" t="s">
        <v>65</v>
      </c>
      <c r="V3" s="76" t="s">
        <v>65</v>
      </c>
      <c r="W3" s="76" t="s">
        <v>65</v>
      </c>
      <c r="X3" s="76" t="s">
        <v>65</v>
      </c>
      <c r="Y3" s="76" t="s">
        <v>284</v>
      </c>
      <c r="Z3" s="76" t="s">
        <v>284</v>
      </c>
      <c r="AA3" s="76" t="s">
        <v>284</v>
      </c>
      <c r="AB3" s="76" t="s">
        <v>284</v>
      </c>
      <c r="AC3" s="76" t="s">
        <v>284</v>
      </c>
      <c r="AD3" s="76" t="s">
        <v>77</v>
      </c>
      <c r="AE3" s="76" t="s">
        <v>77</v>
      </c>
      <c r="AF3" s="76" t="s">
        <v>77</v>
      </c>
      <c r="AG3" s="76" t="s">
        <v>77</v>
      </c>
      <c r="AH3" s="76" t="s">
        <v>77</v>
      </c>
      <c r="AI3" s="76" t="s">
        <v>285</v>
      </c>
      <c r="AJ3" s="76" t="s">
        <v>285</v>
      </c>
      <c r="AK3" s="76" t="s">
        <v>285</v>
      </c>
      <c r="AL3" s="76" t="s">
        <v>285</v>
      </c>
      <c r="AM3" s="76" t="s">
        <v>285</v>
      </c>
      <c r="AN3" s="76" t="s">
        <v>285</v>
      </c>
      <c r="AO3" s="76" t="s">
        <v>285</v>
      </c>
      <c r="AP3" s="76" t="s">
        <v>285</v>
      </c>
      <c r="AQ3" s="76" t="s">
        <v>92</v>
      </c>
      <c r="AR3" s="76" t="s">
        <v>92</v>
      </c>
      <c r="AS3" s="76" t="s">
        <v>92</v>
      </c>
      <c r="AT3" s="76" t="s">
        <v>92</v>
      </c>
      <c r="AU3" s="76" t="s">
        <v>92</v>
      </c>
      <c r="AV3" s="76" t="s">
        <v>98</v>
      </c>
      <c r="AW3" s="76" t="s">
        <v>98</v>
      </c>
      <c r="AX3" s="77" t="s">
        <v>98</v>
      </c>
      <c r="AY3" s="75"/>
      <c r="AZ3" s="76"/>
      <c r="BA3" s="76"/>
      <c r="BB3" s="76"/>
      <c r="BC3" s="76"/>
      <c r="BD3" s="76"/>
      <c r="BE3" s="76"/>
      <c r="BF3" s="76"/>
      <c r="BG3" s="76"/>
      <c r="BH3" s="76"/>
      <c r="BI3" s="76"/>
      <c r="BJ3" s="76"/>
      <c r="BK3" s="76"/>
      <c r="BL3" s="76"/>
      <c r="BM3" s="77"/>
      <c r="BN3" s="75"/>
      <c r="BO3" s="76"/>
      <c r="BP3" s="76"/>
      <c r="BQ3" s="76"/>
      <c r="BR3" s="77"/>
      <c r="BS3" s="75"/>
      <c r="BT3" s="76"/>
      <c r="BU3" s="76"/>
      <c r="BV3" s="76"/>
      <c r="BW3" s="77"/>
      <c r="BX3" s="75"/>
      <c r="BY3" s="76"/>
      <c r="BZ3" s="76"/>
      <c r="CA3" s="76"/>
      <c r="CB3" s="77"/>
    </row>
    <row r="4" spans="4:80" ht="118.5" customHeight="1">
      <c r="E4" s="51" t="str">
        <f>'Data (NIET BEWERKEN!!)'!E4</f>
        <v>Leren &amp; reflecteren</v>
      </c>
      <c r="F4" s="52" t="str">
        <f>'Data (NIET BEWERKEN!!)'!F4</f>
        <v>Ondersteunen &amp; samenwerken</v>
      </c>
      <c r="G4" s="52" t="str">
        <f>'Data (NIET BEWERKEN!!)'!G4</f>
        <v>Ondernemen &amp; resultaatgericht</v>
      </c>
      <c r="H4" s="52" t="str">
        <f>'Data (NIET BEWERKEN!!)'!H4</f>
        <v>Klantgericht</v>
      </c>
      <c r="I4" s="52" t="str">
        <f>'Data (NIET BEWERKEN!!)'!I4</f>
        <v>Kennisdeling</v>
      </c>
      <c r="J4" s="53" t="str">
        <f>'Data (NIET BEWERKEN!!)'!J4</f>
        <v>Coaching &amp; begeleiding</v>
      </c>
      <c r="K4" s="51" t="str">
        <f>'Data (NIET BEWERKEN!!)'!K4</f>
        <v>Bewust</v>
      </c>
      <c r="L4" s="52" t="str">
        <f>'Data (NIET BEWERKEN!!)'!L4</f>
        <v>Bekend</v>
      </c>
      <c r="M4" s="52" t="str">
        <f>'Data (NIET BEWERKEN!!)'!M4</f>
        <v>Adviseert</v>
      </c>
      <c r="N4" s="52" t="str">
        <f>'Data (NIET BEWERKEN!!)'!N4</f>
        <v>Neemt mee in werkzaamheden</v>
      </c>
      <c r="O4" s="52" t="str">
        <f>'Data (NIET BEWERKEN!!)'!O4</f>
        <v>Adviseert pro-actief</v>
      </c>
      <c r="P4" s="52" t="str">
        <f>'Data (NIET BEWERKEN!!)'!P4</f>
        <v>Bewust van verschillende typen data en de (on)mogelijkheden</v>
      </c>
      <c r="Q4" s="52" t="str">
        <f>'Data (NIET BEWERKEN!!)'!Q4</f>
        <v>Begrijpt data kwaliteit en herkent problemen</v>
      </c>
      <c r="R4" s="52" t="str">
        <f>'Data (NIET BEWERKEN!!)'!R4</f>
        <v>Kent oplossingen om data met kwaliteitsproblemen om te gaan</v>
      </c>
      <c r="S4" s="52" t="str">
        <f>'Data (NIET BEWERKEN!!)'!S4</f>
        <v>Kan doelmatig en doeltreffend data bewerken/ manipuleren</v>
      </c>
      <c r="T4" s="52" t="str">
        <f>'Data (NIET BEWERKEN!!)'!T4</f>
        <v>Assumpties steekproefgrootte, verdeling, etc.</v>
      </c>
      <c r="U4" s="52" t="str">
        <f>'Data (NIET BEWERKEN!!)'!U4</f>
        <v>Betrouwbaarheids intervallen</v>
      </c>
      <c r="V4" s="52" t="str">
        <f>'Data (NIET BEWERKEN!!)'!V4</f>
        <v>Statistische toetsen</v>
      </c>
      <c r="W4" s="52" t="str">
        <f>'Data (NIET BEWERKEN!!)'!W4</f>
        <v>Correlatie</v>
      </c>
      <c r="X4" s="52" t="str">
        <f>'Data (NIET BEWERKEN!!)'!X4</f>
        <v>Regressie</v>
      </c>
      <c r="Y4" s="52" t="str">
        <f>'Data (NIET BEWERKEN!!)'!Y4</f>
        <v>betrouwbaarheid &amp; validiteit</v>
      </c>
      <c r="Z4" s="52" t="str">
        <f>'Data (NIET BEWERKEN!!)'!Z4</f>
        <v>Selecteren onderzoeksmethode</v>
      </c>
      <c r="AA4" s="52" t="str">
        <f>'Data (NIET BEWERKEN!!)'!AA4</f>
        <v>Onderzoeksdesign</v>
      </c>
      <c r="AB4" s="52" t="str">
        <f>'Data (NIET BEWERKEN!!)'!AB4</f>
        <v>Interpreteren onderzoeksresultaten</v>
      </c>
      <c r="AC4" s="52" t="str">
        <f>'Data (NIET BEWERKEN!!)'!AC4</f>
        <v>Onderzoeksvaardigheden in business</v>
      </c>
      <c r="AD4" s="52" t="str">
        <f>'Data (NIET BEWERKEN!!)'!AD4</f>
        <v>Metrics voor usability en UX</v>
      </c>
      <c r="AE4" s="52" t="str">
        <f>'Data (NIET BEWERKEN!!)'!AE4</f>
        <v>Metrics voor CX</v>
      </c>
      <c r="AF4" s="52" t="str">
        <f>'Data (NIET BEWERKEN!!)'!AF4</f>
        <v>Metrics aansluiting tussen strategie en ux/ cx metrics</v>
      </c>
      <c r="AG4" s="52" t="str">
        <f>'Data (NIET BEWERKEN!!)'!AG4</f>
        <v>Metrics vertalen naar meetbare definities</v>
      </c>
      <c r="AH4" s="52" t="str">
        <f>'Data (NIET BEWERKEN!!)'!AH4</f>
        <v>Metrics op het juiste organisatie niveau</v>
      </c>
      <c r="AI4" s="52" t="str">
        <f>'Data (NIET BEWERKEN!!)'!AI4</f>
        <v>Perceptie en decisionmaking</v>
      </c>
      <c r="AJ4" s="52" t="str">
        <f>'Data (NIET BEWERKEN!!)'!AJ4</f>
        <v>Kunnen inzetten van DiP optmalisatieproces</v>
      </c>
      <c r="AK4" s="52" t="str">
        <f>'Data (NIET BEWERKEN!!)'!AK4</f>
        <v>CX Marurty modellen</v>
      </c>
      <c r="AL4" s="52" t="str">
        <f>'Data (NIET BEWERKEN!!)'!AL4</f>
        <v>Merk, usability, UX en CX</v>
      </c>
      <c r="AM4" s="52" t="str">
        <f>'Data (NIET BEWERKEN!!)'!AM4</f>
        <v>CX strategie</v>
      </c>
      <c r="AN4" s="52" t="str">
        <f>'Data (NIET BEWERKEN!!)'!AN4</f>
        <v>Copywriting | UX writing | Content</v>
      </c>
      <c r="AO4" s="52" t="str">
        <f>'Data (NIET BEWERKEN!!)'!AO4</f>
        <v>Custoner Journer Mapping &amp; Persona's</v>
      </c>
      <c r="AP4" s="52" t="str">
        <f>'Data (NIET BEWERKEN!!)'!AP4</f>
        <v>Personalisatie en segmentatie</v>
      </c>
      <c r="AQ4" s="52" t="str">
        <f>'Data (NIET BEWERKEN!!)'!AQ4</f>
        <v>Customer Journey (CXO)</v>
      </c>
      <c r="AR4" s="52" t="str">
        <f>'Data (NIET BEWERKEN!!)'!AR4</f>
        <v>Marketing Analytics</v>
      </c>
      <c r="AS4" s="52" t="str">
        <f>'Data (NIET BEWERKEN!!)'!AS4</f>
        <v>eCommerce Analytics</v>
      </c>
      <c r="AT4" s="52" t="str">
        <f>'Data (NIET BEWERKEN!!)'!AT4</f>
        <v>Product Analytics</v>
      </c>
      <c r="AU4" s="52" t="str">
        <f>'Data (NIET BEWERKEN!!)'!AU4</f>
        <v>Customer Service Optimalisatie</v>
      </c>
      <c r="AV4" s="52" t="str">
        <f>'Data (NIET BEWERKEN!!)'!AV4</f>
        <v>Design</v>
      </c>
      <c r="AW4" s="52" t="str">
        <f>'Data (NIET BEWERKEN!!)'!AW4</f>
        <v>Prototyping</v>
      </c>
      <c r="AX4" s="53" t="str">
        <f>'Data (NIET BEWERKEN!!)'!AX4</f>
        <v>Visual design</v>
      </c>
      <c r="AY4" s="51" t="str">
        <f>'Data (NIET BEWERKEN!!)'!AY4</f>
        <v xml:space="preserve">Customer Journey Mapping </v>
      </c>
      <c r="AZ4" s="52" t="str">
        <f>'Data (NIET BEWERKEN!!)'!AZ4</f>
        <v>Usability Testen - Formative</v>
      </c>
      <c r="BA4" s="52" t="str">
        <f>'Data (NIET BEWERKEN!!)'!BA4</f>
        <v>Usability Testen - Summative</v>
      </c>
      <c r="BB4" s="52" t="str">
        <f>'Data (NIET BEWERKEN!!)'!BB4</f>
        <v>AB Testen</v>
      </c>
      <c r="BC4" s="52" t="str">
        <f>'Data (NIET BEWERKEN!!)'!BC4</f>
        <v>Behavioral Analytics (Web en app analytics tooling)</v>
      </c>
      <c r="BD4" s="52" t="str">
        <f>'Data (NIET BEWERKEN!!)'!BD4</f>
        <v>Marketing Analytics</v>
      </c>
      <c r="BE4" s="52" t="str">
        <f>'Data (NIET BEWERKEN!!)'!BE4</f>
        <v>Session recordings</v>
      </c>
      <c r="BF4" s="52" t="str">
        <f>'Data (NIET BEWERKEN!!)'!BF4</f>
        <v>Heathmaps &amp; Scrollmaps</v>
      </c>
      <c r="BG4" s="52" t="str">
        <f>'Data (NIET BEWERKEN!!)'!BG4</f>
        <v>Interviewen  (opzetten en uitvoeren van een interview)</v>
      </c>
      <c r="BH4" s="52" t="str">
        <f>'Data (NIET BEWERKEN!!)'!BH4</f>
        <v>Survey Design (opzetten en uitvoeren van een survey)</v>
      </c>
      <c r="BI4" s="52" t="str">
        <f>'Data (NIET BEWERKEN!!)'!BI4</f>
        <v>SQL</v>
      </c>
      <c r="BJ4" s="52" t="str">
        <f>'Data (NIET BEWERKEN!!)'!BJ4</f>
        <v>Python</v>
      </c>
      <c r="BK4" s="52" t="str">
        <f>'Data (NIET BEWERKEN!!)'!BK4</f>
        <v>Javascript</v>
      </c>
      <c r="BL4" s="52" t="str">
        <f>'Data (NIET BEWERKEN!!)'!BL4</f>
        <v>R</v>
      </c>
      <c r="BM4" s="53" t="str">
        <f>'Data (NIET BEWERKEN!!)'!BM4</f>
        <v>HTML / CSS</v>
      </c>
      <c r="BN4" s="51" t="str">
        <f>'Data (NIET BEWERKEN!!)'!BN4</f>
        <v>Adviseren</v>
      </c>
      <c r="BO4" s="52" t="str">
        <f>'Data (NIET BEWERKEN!!)'!BO4</f>
        <v>Doortastend &amp; probleemoplossend</v>
      </c>
      <c r="BP4" s="52" t="str">
        <f>'Data (NIET BEWERKEN!!)'!BP4</f>
        <v>Interpersoonlijk communicatie</v>
      </c>
      <c r="BQ4" s="52" t="str">
        <f>'Data (NIET BEWERKEN!!)'!BQ4</f>
        <v>Verwachtings-management</v>
      </c>
      <c r="BR4" s="53" t="str">
        <f>'Data (NIET BEWERKEN!!)'!BR4</f>
        <v>Schriftelijke en mondelinge communicatie</v>
      </c>
      <c r="BS4" s="51" t="str">
        <f>'Data (NIET BEWERKEN!!)'!BS4</f>
        <v>Organisatie- en management-identificatie</v>
      </c>
      <c r="BT4" s="52" t="str">
        <f>'Data (NIET BEWERKEN!!)'!BT4</f>
        <v>Strategische conceptualisatie</v>
      </c>
      <c r="BU4" s="52" t="str">
        <f>'Data (NIET BEWERKEN!!)'!BU4</f>
        <v>Projectmanagement</v>
      </c>
      <c r="BV4" s="52" t="str">
        <f>'Data (NIET BEWERKEN!!)'!BV4</f>
        <v>Verander-management</v>
      </c>
      <c r="BW4" s="53" t="str">
        <f>'Data (NIET BEWERKEN!!)'!BW4</f>
        <v>Leidinggeven</v>
      </c>
      <c r="BX4" s="51" t="str">
        <f>'Data (NIET BEWERKEN!!)'!BX4</f>
        <v>Situationele communicatie</v>
      </c>
      <c r="BY4" s="52" t="str">
        <f>'Data (NIET BEWERKEN!!)'!BY4</f>
        <v>Doelgerichte &amp; effectieve communicatie</v>
      </c>
      <c r="BZ4" s="52" t="str">
        <f>'Data (NIET BEWERKEN!!)'!BZ4</f>
        <v>Besluitvaardigheid</v>
      </c>
      <c r="CA4" s="52" t="str">
        <f>'Data (NIET BEWERKEN!!)'!CA4</f>
        <v>Overtuigen &amp; beinvloeden</v>
      </c>
      <c r="CB4" s="53" t="str">
        <f>'Data (NIET BEWERKEN!!)'!CB4</f>
        <v>Opbouwende feedback &amp; slecht nieuws gesprekken</v>
      </c>
    </row>
    <row r="5" spans="4:80" ht="15" thickBot="1">
      <c r="E5" s="81">
        <f>'Data (NIET BEWERKEN!!)'!E5</f>
        <v>1</v>
      </c>
      <c r="F5" s="82">
        <f>'Data (NIET BEWERKEN!!)'!F5</f>
        <v>2</v>
      </c>
      <c r="G5" s="82">
        <f>'Data (NIET BEWERKEN!!)'!G5</f>
        <v>3</v>
      </c>
      <c r="H5" s="82">
        <f>'Data (NIET BEWERKEN!!)'!H5</f>
        <v>4</v>
      </c>
      <c r="I5" s="82">
        <f>'Data (NIET BEWERKEN!!)'!I5</f>
        <v>5</v>
      </c>
      <c r="J5" s="83">
        <f>'Data (NIET BEWERKEN!!)'!J5</f>
        <v>6</v>
      </c>
      <c r="K5" s="81">
        <f>'Data (NIET BEWERKEN!!)'!K5</f>
        <v>1</v>
      </c>
      <c r="L5" s="82">
        <f>'Data (NIET BEWERKEN!!)'!L5</f>
        <v>2</v>
      </c>
      <c r="M5" s="82">
        <f>'Data (NIET BEWERKEN!!)'!M5</f>
        <v>3</v>
      </c>
      <c r="N5" s="82">
        <f>'Data (NIET BEWERKEN!!)'!N5</f>
        <v>4</v>
      </c>
      <c r="O5" s="82">
        <f>'Data (NIET BEWERKEN!!)'!O5</f>
        <v>5</v>
      </c>
      <c r="P5" s="82">
        <f>'Data (NIET BEWERKEN!!)'!P5</f>
        <v>1</v>
      </c>
      <c r="Q5" s="82">
        <f>'Data (NIET BEWERKEN!!)'!Q5</f>
        <v>2</v>
      </c>
      <c r="R5" s="82">
        <f>'Data (NIET BEWERKEN!!)'!R5</f>
        <v>3</v>
      </c>
      <c r="S5" s="82">
        <f>'Data (NIET BEWERKEN!!)'!S5</f>
        <v>4</v>
      </c>
      <c r="T5" s="82">
        <f>'Data (NIET BEWERKEN!!)'!T5</f>
        <v>1</v>
      </c>
      <c r="U5" s="82">
        <f>'Data (NIET BEWERKEN!!)'!U5</f>
        <v>2</v>
      </c>
      <c r="V5" s="82">
        <f>'Data (NIET BEWERKEN!!)'!V5</f>
        <v>3</v>
      </c>
      <c r="W5" s="82">
        <f>'Data (NIET BEWERKEN!!)'!W5</f>
        <v>4</v>
      </c>
      <c r="X5" s="82">
        <f>'Data (NIET BEWERKEN!!)'!X5</f>
        <v>5</v>
      </c>
      <c r="Y5" s="82">
        <f>'Data (NIET BEWERKEN!!)'!Y5</f>
        <v>1</v>
      </c>
      <c r="Z5" s="82">
        <f>'Data (NIET BEWERKEN!!)'!Z5</f>
        <v>2</v>
      </c>
      <c r="AA5" s="82">
        <f>'Data (NIET BEWERKEN!!)'!AA5</f>
        <v>3</v>
      </c>
      <c r="AB5" s="82">
        <f>'Data (NIET BEWERKEN!!)'!AB5</f>
        <v>4</v>
      </c>
      <c r="AC5" s="82">
        <f>'Data (NIET BEWERKEN!!)'!AC5</f>
        <v>5</v>
      </c>
      <c r="AD5" s="82">
        <f>'Data (NIET BEWERKEN!!)'!AD5</f>
        <v>1</v>
      </c>
      <c r="AE5" s="82">
        <f>'Data (NIET BEWERKEN!!)'!AE5</f>
        <v>2</v>
      </c>
      <c r="AF5" s="82">
        <f>'Data (NIET BEWERKEN!!)'!AF5</f>
        <v>3</v>
      </c>
      <c r="AG5" s="82">
        <f>'Data (NIET BEWERKEN!!)'!AG5</f>
        <v>4</v>
      </c>
      <c r="AH5" s="82">
        <f>'Data (NIET BEWERKEN!!)'!AH5</f>
        <v>5</v>
      </c>
      <c r="AI5" s="82">
        <f>'Data (NIET BEWERKEN!!)'!AI5</f>
        <v>1</v>
      </c>
      <c r="AJ5" s="82">
        <f>'Data (NIET BEWERKEN!!)'!AJ5</f>
        <v>2</v>
      </c>
      <c r="AK5" s="82">
        <f>'Data (NIET BEWERKEN!!)'!AK5</f>
        <v>3</v>
      </c>
      <c r="AL5" s="82">
        <f>'Data (NIET BEWERKEN!!)'!AL5</f>
        <v>4</v>
      </c>
      <c r="AM5" s="82">
        <f>'Data (NIET BEWERKEN!!)'!AM5</f>
        <v>5</v>
      </c>
      <c r="AN5" s="82">
        <f>'Data (NIET BEWERKEN!!)'!AN5</f>
        <v>6</v>
      </c>
      <c r="AO5" s="82">
        <f>'Data (NIET BEWERKEN!!)'!AO5</f>
        <v>7</v>
      </c>
      <c r="AP5" s="82">
        <f>'Data (NIET BEWERKEN!!)'!AP5</f>
        <v>8</v>
      </c>
      <c r="AQ5" s="82">
        <f>'Data (NIET BEWERKEN!!)'!AQ5</f>
        <v>1</v>
      </c>
      <c r="AR5" s="82">
        <f>'Data (NIET BEWERKEN!!)'!AR5</f>
        <v>2</v>
      </c>
      <c r="AS5" s="82">
        <f>'Data (NIET BEWERKEN!!)'!AS5</f>
        <v>3</v>
      </c>
      <c r="AT5" s="82">
        <f>'Data (NIET BEWERKEN!!)'!AT5</f>
        <v>4</v>
      </c>
      <c r="AU5" s="82">
        <f>'Data (NIET BEWERKEN!!)'!AU5</f>
        <v>5</v>
      </c>
      <c r="AV5" s="82">
        <f>'Data (NIET BEWERKEN!!)'!AV5</f>
        <v>1</v>
      </c>
      <c r="AW5" s="82">
        <f>'Data (NIET BEWERKEN!!)'!AW5</f>
        <v>2</v>
      </c>
      <c r="AX5" s="83">
        <f>'Data (NIET BEWERKEN!!)'!AX5</f>
        <v>3</v>
      </c>
      <c r="AY5" s="81">
        <f>'Data (NIET BEWERKEN!!)'!AY5</f>
        <v>1</v>
      </c>
      <c r="AZ5" s="82">
        <f>'Data (NIET BEWERKEN!!)'!AZ5</f>
        <v>2</v>
      </c>
      <c r="BA5" s="82">
        <f>'Data (NIET BEWERKEN!!)'!BA5</f>
        <v>3</v>
      </c>
      <c r="BB5" s="82">
        <f>'Data (NIET BEWERKEN!!)'!BB5</f>
        <v>4</v>
      </c>
      <c r="BC5" s="82">
        <f>'Data (NIET BEWERKEN!!)'!BC5</f>
        <v>5</v>
      </c>
      <c r="BD5" s="82">
        <f>'Data (NIET BEWERKEN!!)'!BD5</f>
        <v>6</v>
      </c>
      <c r="BE5" s="82">
        <f>'Data (NIET BEWERKEN!!)'!BE5</f>
        <v>7</v>
      </c>
      <c r="BF5" s="82">
        <f>'Data (NIET BEWERKEN!!)'!BF5</f>
        <v>8</v>
      </c>
      <c r="BG5" s="82">
        <f>'Data (NIET BEWERKEN!!)'!BG5</f>
        <v>9</v>
      </c>
      <c r="BH5" s="82">
        <f>'Data (NIET BEWERKEN!!)'!BH5</f>
        <v>10</v>
      </c>
      <c r="BI5" s="82">
        <f>'Data (NIET BEWERKEN!!)'!BI5</f>
        <v>11</v>
      </c>
      <c r="BJ5" s="82">
        <f>'Data (NIET BEWERKEN!!)'!BJ5</f>
        <v>12</v>
      </c>
      <c r="BK5" s="82">
        <f>'Data (NIET BEWERKEN!!)'!BK5</f>
        <v>13</v>
      </c>
      <c r="BL5" s="82">
        <f>'Data (NIET BEWERKEN!!)'!BL5</f>
        <v>14</v>
      </c>
      <c r="BM5" s="83">
        <f>'Data (NIET BEWERKEN!!)'!BM5</f>
        <v>15</v>
      </c>
      <c r="BN5" s="81">
        <f>'Data (NIET BEWERKEN!!)'!BN5</f>
        <v>1</v>
      </c>
      <c r="BO5" s="82">
        <f>'Data (NIET BEWERKEN!!)'!BO5</f>
        <v>2</v>
      </c>
      <c r="BP5" s="82">
        <f>'Data (NIET BEWERKEN!!)'!BP5</f>
        <v>3</v>
      </c>
      <c r="BQ5" s="82">
        <f>'Data (NIET BEWERKEN!!)'!BQ5</f>
        <v>4</v>
      </c>
      <c r="BR5" s="83">
        <f>'Data (NIET BEWERKEN!!)'!BR5</f>
        <v>5</v>
      </c>
      <c r="BS5" s="81">
        <f>'Data (NIET BEWERKEN!!)'!BS5</f>
        <v>1</v>
      </c>
      <c r="BT5" s="82">
        <f>'Data (NIET BEWERKEN!!)'!BT5</f>
        <v>2</v>
      </c>
      <c r="BU5" s="82">
        <f>'Data (NIET BEWERKEN!!)'!BU5</f>
        <v>3</v>
      </c>
      <c r="BV5" s="82">
        <f>'Data (NIET BEWERKEN!!)'!BV5</f>
        <v>4</v>
      </c>
      <c r="BW5" s="83">
        <f>'Data (NIET BEWERKEN!!)'!BW5</f>
        <v>5</v>
      </c>
      <c r="BX5" s="81">
        <f>'Data (NIET BEWERKEN!!)'!BX5</f>
        <v>1</v>
      </c>
      <c r="BY5" s="82">
        <f>'Data (NIET BEWERKEN!!)'!BY5</f>
        <v>2</v>
      </c>
      <c r="BZ5" s="82">
        <f>'Data (NIET BEWERKEN!!)'!BZ5</f>
        <v>3</v>
      </c>
      <c r="CA5" s="82">
        <f>'Data (NIET BEWERKEN!!)'!CA5</f>
        <v>4</v>
      </c>
      <c r="CB5" s="83">
        <f>'Data (NIET BEWERKEN!!)'!CB5</f>
        <v>5</v>
      </c>
    </row>
    <row r="6" spans="4:80" ht="15" thickBot="1">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row>
    <row r="7" spans="4:80">
      <c r="D7" s="103" t="s">
        <v>286</v>
      </c>
      <c r="E7" s="87">
        <f>'Data (NIET BEWERKEN!!)'!E7</f>
        <v>0</v>
      </c>
      <c r="F7" s="88">
        <f>'Data (NIET BEWERKEN!!)'!F7</f>
        <v>0</v>
      </c>
      <c r="G7" s="88">
        <f>'Data (NIET BEWERKEN!!)'!G7</f>
        <v>0</v>
      </c>
      <c r="H7" s="88">
        <f>'Data (NIET BEWERKEN!!)'!H7</f>
        <v>0</v>
      </c>
      <c r="I7" s="88">
        <f>'Data (NIET BEWERKEN!!)'!I7</f>
        <v>0</v>
      </c>
      <c r="J7" s="90">
        <f>'Data (NIET BEWERKEN!!)'!J7</f>
        <v>0</v>
      </c>
      <c r="K7" s="87">
        <f>'Data (NIET BEWERKEN!!)'!K7</f>
        <v>0</v>
      </c>
      <c r="L7" s="88">
        <f>'Data (NIET BEWERKEN!!)'!L7</f>
        <v>0</v>
      </c>
      <c r="M7" s="88">
        <f>'Data (NIET BEWERKEN!!)'!M7</f>
        <v>0</v>
      </c>
      <c r="N7" s="88">
        <f>'Data (NIET BEWERKEN!!)'!N7</f>
        <v>0</v>
      </c>
      <c r="O7" s="88">
        <f>'Data (NIET BEWERKEN!!)'!O7</f>
        <v>0</v>
      </c>
      <c r="P7" s="88">
        <f>'Data (NIET BEWERKEN!!)'!P7</f>
        <v>0</v>
      </c>
      <c r="Q7" s="88">
        <f>'Data (NIET BEWERKEN!!)'!Q7</f>
        <v>0</v>
      </c>
      <c r="R7" s="88">
        <f>'Data (NIET BEWERKEN!!)'!R7</f>
        <v>0</v>
      </c>
      <c r="S7" s="88">
        <f>'Data (NIET BEWERKEN!!)'!S7</f>
        <v>0</v>
      </c>
      <c r="T7" s="88">
        <f>'Data (NIET BEWERKEN!!)'!T7</f>
        <v>0</v>
      </c>
      <c r="U7" s="88">
        <f>'Data (NIET BEWERKEN!!)'!U7</f>
        <v>0</v>
      </c>
      <c r="V7" s="88">
        <f>'Data (NIET BEWERKEN!!)'!V7</f>
        <v>0</v>
      </c>
      <c r="W7" s="88">
        <f>'Data (NIET BEWERKEN!!)'!W7</f>
        <v>0</v>
      </c>
      <c r="X7" s="89">
        <f>'Data (NIET BEWERKEN!!)'!X7</f>
        <v>0</v>
      </c>
      <c r="Y7" s="88">
        <f>'Data (NIET BEWERKEN!!)'!Y7</f>
        <v>0</v>
      </c>
      <c r="Z7" s="88">
        <f>'Data (NIET BEWERKEN!!)'!Z7</f>
        <v>0</v>
      </c>
      <c r="AA7" s="88">
        <f>'Data (NIET BEWERKEN!!)'!AA7</f>
        <v>0</v>
      </c>
      <c r="AB7" s="88">
        <f>'Data (NIET BEWERKEN!!)'!AB7</f>
        <v>0</v>
      </c>
      <c r="AC7" s="89">
        <f>'Data (NIET BEWERKEN!!)'!AC7</f>
        <v>0</v>
      </c>
      <c r="AD7" s="88">
        <f>'Data (NIET BEWERKEN!!)'!AD7</f>
        <v>0</v>
      </c>
      <c r="AE7" s="88">
        <f>'Data (NIET BEWERKEN!!)'!AE7</f>
        <v>0</v>
      </c>
      <c r="AF7" s="88">
        <f>'Data (NIET BEWERKEN!!)'!AF7</f>
        <v>0</v>
      </c>
      <c r="AG7" s="88">
        <f>'Data (NIET BEWERKEN!!)'!AG7</f>
        <v>0</v>
      </c>
      <c r="AH7" s="89">
        <f>'Data (NIET BEWERKEN!!)'!AH7</f>
        <v>0</v>
      </c>
      <c r="AI7" s="88">
        <f>'Data (NIET BEWERKEN!!)'!AI7</f>
        <v>0</v>
      </c>
      <c r="AJ7" s="88">
        <f>'Data (NIET BEWERKEN!!)'!AJ7</f>
        <v>0</v>
      </c>
      <c r="AK7" s="88">
        <f>'Data (NIET BEWERKEN!!)'!AK7</f>
        <v>0</v>
      </c>
      <c r="AL7" s="88">
        <f>'Data (NIET BEWERKEN!!)'!AL7</f>
        <v>0</v>
      </c>
      <c r="AM7" s="88">
        <f>'Data (NIET BEWERKEN!!)'!AM7</f>
        <v>0</v>
      </c>
      <c r="AN7" s="88">
        <f>'Data (NIET BEWERKEN!!)'!AN7</f>
        <v>0</v>
      </c>
      <c r="AO7" s="88">
        <f>'Data (NIET BEWERKEN!!)'!AO7</f>
        <v>0</v>
      </c>
      <c r="AP7" s="89">
        <f>'Data (NIET BEWERKEN!!)'!AP7</f>
        <v>0</v>
      </c>
      <c r="AQ7" s="88">
        <f>'Data (NIET BEWERKEN!!)'!AQ7</f>
        <v>0</v>
      </c>
      <c r="AR7" s="88">
        <f>'Data (NIET BEWERKEN!!)'!AR7</f>
        <v>0</v>
      </c>
      <c r="AS7" s="88">
        <f>'Data (NIET BEWERKEN!!)'!AS7</f>
        <v>0</v>
      </c>
      <c r="AT7" s="88">
        <f>'Data (NIET BEWERKEN!!)'!AT7</f>
        <v>0</v>
      </c>
      <c r="AU7" s="89">
        <f>'Data (NIET BEWERKEN!!)'!AU7</f>
        <v>0</v>
      </c>
      <c r="AV7" s="88">
        <f>'Data (NIET BEWERKEN!!)'!AV7</f>
        <v>0</v>
      </c>
      <c r="AW7" s="88">
        <f>'Data (NIET BEWERKEN!!)'!AW7</f>
        <v>0</v>
      </c>
      <c r="AX7" s="96">
        <f>'Data (NIET BEWERKEN!!)'!AX7</f>
        <v>0</v>
      </c>
      <c r="AY7" s="87">
        <f>'Data (NIET BEWERKEN!!)'!AY7</f>
        <v>0</v>
      </c>
      <c r="AZ7" s="88">
        <f>'Data (NIET BEWERKEN!!)'!AZ7</f>
        <v>0</v>
      </c>
      <c r="BA7" s="88">
        <f>'Data (NIET BEWERKEN!!)'!BA7</f>
        <v>0</v>
      </c>
      <c r="BB7" s="88">
        <f>'Data (NIET BEWERKEN!!)'!BB7</f>
        <v>0</v>
      </c>
      <c r="BC7" s="88">
        <f>'Data (NIET BEWERKEN!!)'!BC7</f>
        <v>0</v>
      </c>
      <c r="BD7" s="88">
        <f>'Data (NIET BEWERKEN!!)'!BD7</f>
        <v>0</v>
      </c>
      <c r="BE7" s="88">
        <f>'Data (NIET BEWERKEN!!)'!BE7</f>
        <v>0</v>
      </c>
      <c r="BF7" s="88">
        <f>'Data (NIET BEWERKEN!!)'!BF7</f>
        <v>0</v>
      </c>
      <c r="BG7" s="88">
        <f>'Data (NIET BEWERKEN!!)'!BG7</f>
        <v>0</v>
      </c>
      <c r="BH7" s="88">
        <f>'Data (NIET BEWERKEN!!)'!BH7</f>
        <v>0</v>
      </c>
      <c r="BI7" s="88">
        <f>'Data (NIET BEWERKEN!!)'!BI7</f>
        <v>0</v>
      </c>
      <c r="BJ7" s="88">
        <f>'Data (NIET BEWERKEN!!)'!BJ7</f>
        <v>0</v>
      </c>
      <c r="BK7" s="88">
        <f>'Data (NIET BEWERKEN!!)'!BK7</f>
        <v>0</v>
      </c>
      <c r="BL7" s="88">
        <f>'Data (NIET BEWERKEN!!)'!BL7</f>
        <v>0</v>
      </c>
      <c r="BM7" s="90">
        <f>'Data (NIET BEWERKEN!!)'!BM7</f>
        <v>0</v>
      </c>
      <c r="BN7" s="87">
        <f>'Data (NIET BEWERKEN!!)'!BN7</f>
        <v>0</v>
      </c>
      <c r="BO7" s="88">
        <f>'Data (NIET BEWERKEN!!)'!BO7</f>
        <v>0</v>
      </c>
      <c r="BP7" s="88">
        <f>'Data (NIET BEWERKEN!!)'!BP7</f>
        <v>0</v>
      </c>
      <c r="BQ7" s="88">
        <f>'Data (NIET BEWERKEN!!)'!BQ7</f>
        <v>0</v>
      </c>
      <c r="BR7" s="90">
        <f>'Data (NIET BEWERKEN!!)'!BR7</f>
        <v>0</v>
      </c>
      <c r="BS7" s="87">
        <f>'Data (NIET BEWERKEN!!)'!BS7</f>
        <v>0</v>
      </c>
      <c r="BT7" s="88">
        <f>'Data (NIET BEWERKEN!!)'!BT7</f>
        <v>0</v>
      </c>
      <c r="BU7" s="88">
        <f>'Data (NIET BEWERKEN!!)'!BU7</f>
        <v>0</v>
      </c>
      <c r="BV7" s="88">
        <f>'Data (NIET BEWERKEN!!)'!BV7</f>
        <v>0</v>
      </c>
      <c r="BW7" s="90">
        <f>'Data (NIET BEWERKEN!!)'!BW7</f>
        <v>0</v>
      </c>
      <c r="BX7" s="87">
        <f>'Data (NIET BEWERKEN!!)'!BX7</f>
        <v>0</v>
      </c>
      <c r="BY7" s="88">
        <f>'Data (NIET BEWERKEN!!)'!BY7</f>
        <v>0</v>
      </c>
      <c r="BZ7" s="88">
        <f>'Data (NIET BEWERKEN!!)'!BZ7</f>
        <v>0</v>
      </c>
      <c r="CA7" s="88">
        <f>'Data (NIET BEWERKEN!!)'!CA7</f>
        <v>0</v>
      </c>
      <c r="CB7" s="90">
        <f>'Data (NIET BEWERKEN!!)'!CB7</f>
        <v>0</v>
      </c>
    </row>
    <row r="8" spans="4:80">
      <c r="D8" s="78" t="s">
        <v>287</v>
      </c>
      <c r="E8" s="91"/>
      <c r="F8" s="55"/>
      <c r="G8" s="55"/>
      <c r="H8" s="55"/>
      <c r="I8" s="55"/>
      <c r="J8" s="92"/>
      <c r="K8" s="91"/>
      <c r="L8" s="55"/>
      <c r="M8" s="55"/>
      <c r="N8" s="55"/>
      <c r="O8" s="99">
        <f>AVERAGE(K7:O7)</f>
        <v>0</v>
      </c>
      <c r="P8" s="100"/>
      <c r="Q8" s="55"/>
      <c r="R8" s="55"/>
      <c r="S8" s="99">
        <f>AVERAGE(P7:S7)</f>
        <v>0</v>
      </c>
      <c r="T8" s="100"/>
      <c r="U8" s="55"/>
      <c r="V8" s="55"/>
      <c r="W8" s="55"/>
      <c r="X8" s="86">
        <f>AVERAGE(T7:X7)</f>
        <v>0</v>
      </c>
      <c r="Y8" s="100"/>
      <c r="Z8" s="55"/>
      <c r="AA8" s="55"/>
      <c r="AB8" s="55"/>
      <c r="AC8" s="86">
        <f>AVERAGE(Y7:AC7)</f>
        <v>0</v>
      </c>
      <c r="AD8" s="100"/>
      <c r="AE8" s="55"/>
      <c r="AF8" s="55"/>
      <c r="AG8" s="55"/>
      <c r="AH8" s="86">
        <f>AVERAGE(AD7:AH7)</f>
        <v>0</v>
      </c>
      <c r="AI8" s="100"/>
      <c r="AJ8" s="55"/>
      <c r="AK8" s="55"/>
      <c r="AL8" s="55"/>
      <c r="AM8" s="55"/>
      <c r="AN8" s="55"/>
      <c r="AO8" s="55"/>
      <c r="AP8" s="86">
        <f>AVERAGE(AI7:AP7)</f>
        <v>0</v>
      </c>
      <c r="AQ8" s="100"/>
      <c r="AR8" s="55"/>
      <c r="AS8" s="55"/>
      <c r="AT8" s="55"/>
      <c r="AU8" s="86">
        <f>AVERAGE(AQ7:AU7)</f>
        <v>0</v>
      </c>
      <c r="AV8" s="100"/>
      <c r="AW8" s="55"/>
      <c r="AX8" s="97">
        <f>AVERAGE(V7:AX7)</f>
        <v>0</v>
      </c>
      <c r="AY8" s="91"/>
      <c r="AZ8" s="55"/>
      <c r="BA8" s="55"/>
      <c r="BB8" s="55"/>
      <c r="BC8" s="55"/>
      <c r="BD8" s="55"/>
      <c r="BE8" s="55"/>
      <c r="BF8" s="55"/>
      <c r="BG8" s="55"/>
      <c r="BH8" s="55"/>
      <c r="BI8" s="55"/>
      <c r="BJ8" s="55"/>
      <c r="BK8" s="55"/>
      <c r="BL8" s="55"/>
      <c r="BM8" s="92"/>
      <c r="BN8" s="91"/>
      <c r="BO8" s="55"/>
      <c r="BP8" s="55"/>
      <c r="BQ8" s="55"/>
      <c r="BR8" s="92"/>
      <c r="BS8" s="91"/>
      <c r="BT8" s="55"/>
      <c r="BU8" s="55"/>
      <c r="BV8" s="55"/>
      <c r="BW8" s="92"/>
      <c r="BX8" s="91"/>
      <c r="BY8" s="55"/>
      <c r="BZ8" s="55"/>
      <c r="CA8" s="55"/>
      <c r="CB8" s="92"/>
    </row>
    <row r="9" spans="4:80" ht="15" thickBot="1">
      <c r="D9" s="104" t="s">
        <v>288</v>
      </c>
      <c r="E9" s="93"/>
      <c r="F9" s="94"/>
      <c r="G9" s="94"/>
      <c r="H9" s="94"/>
      <c r="I9" s="94"/>
      <c r="J9" s="98">
        <f>AVERAGE(E7:J7)</f>
        <v>0</v>
      </c>
      <c r="K9" s="93"/>
      <c r="L9" s="94"/>
      <c r="M9" s="94"/>
      <c r="N9" s="94"/>
      <c r="O9" s="101"/>
      <c r="P9" s="102"/>
      <c r="Q9" s="94"/>
      <c r="R9" s="94"/>
      <c r="S9" s="101"/>
      <c r="T9" s="102"/>
      <c r="U9" s="94"/>
      <c r="V9" s="94"/>
      <c r="W9" s="94"/>
      <c r="X9" s="101"/>
      <c r="Y9" s="102"/>
      <c r="Z9" s="94"/>
      <c r="AA9" s="94"/>
      <c r="AB9" s="94"/>
      <c r="AC9" s="101"/>
      <c r="AD9" s="102"/>
      <c r="AE9" s="94"/>
      <c r="AF9" s="94"/>
      <c r="AG9" s="94"/>
      <c r="AH9" s="101"/>
      <c r="AI9" s="102"/>
      <c r="AJ9" s="94"/>
      <c r="AK9" s="94"/>
      <c r="AL9" s="94"/>
      <c r="AM9" s="94"/>
      <c r="AN9" s="94"/>
      <c r="AO9" s="94"/>
      <c r="AP9" s="101"/>
      <c r="AQ9" s="102"/>
      <c r="AR9" s="94"/>
      <c r="AS9" s="94"/>
      <c r="AT9" s="94"/>
      <c r="AU9" s="101"/>
      <c r="AV9" s="102"/>
      <c r="AW9" s="94"/>
      <c r="AX9" s="95">
        <f>AVERAGE(K7:AX7)</f>
        <v>0</v>
      </c>
      <c r="AY9" s="93"/>
      <c r="AZ9" s="94"/>
      <c r="BA9" s="94"/>
      <c r="BB9" s="94"/>
      <c r="BC9" s="94"/>
      <c r="BD9" s="94"/>
      <c r="BE9" s="94"/>
      <c r="BF9" s="94"/>
      <c r="BG9" s="94"/>
      <c r="BH9" s="94"/>
      <c r="BI9" s="94"/>
      <c r="BJ9" s="94"/>
      <c r="BK9" s="94"/>
      <c r="BL9" s="94"/>
      <c r="BM9" s="95">
        <f>AVERAGE(AY7:BM7)</f>
        <v>0</v>
      </c>
      <c r="BN9" s="93"/>
      <c r="BO9" s="94"/>
      <c r="BP9" s="94"/>
      <c r="BQ9" s="94"/>
      <c r="BR9" s="95">
        <f>AVERAGE(BN7:BR7)</f>
        <v>0</v>
      </c>
      <c r="BS9" s="93"/>
      <c r="BT9" s="94"/>
      <c r="BU9" s="94"/>
      <c r="BV9" s="94"/>
      <c r="BW9" s="95">
        <f>AVERAGE(BS7:BW7)</f>
        <v>0</v>
      </c>
      <c r="BX9" s="93"/>
      <c r="BY9" s="94"/>
      <c r="BZ9" s="94"/>
      <c r="CA9" s="94"/>
      <c r="CB9" s="95">
        <f>AVERAGE(BX7:CB7)</f>
        <v>0</v>
      </c>
    </row>
    <row r="10" spans="4:80" ht="15" thickBot="1">
      <c r="D10" s="54"/>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row>
    <row r="11" spans="4:80">
      <c r="D11" s="103" t="s">
        <v>289</v>
      </c>
      <c r="E11" s="87">
        <f>'Data (NIET BEWERKEN!!)'!E20</f>
        <v>0</v>
      </c>
      <c r="F11" s="88">
        <f>'Data (NIET BEWERKEN!!)'!F20</f>
        <v>0</v>
      </c>
      <c r="G11" s="88">
        <f>'Data (NIET BEWERKEN!!)'!G20</f>
        <v>0</v>
      </c>
      <c r="H11" s="88">
        <f>'Data (NIET BEWERKEN!!)'!H20</f>
        <v>0</v>
      </c>
      <c r="I11" s="88">
        <f>'Data (NIET BEWERKEN!!)'!I20</f>
        <v>0</v>
      </c>
      <c r="J11" s="90">
        <f>'Data (NIET BEWERKEN!!)'!J20</f>
        <v>0</v>
      </c>
      <c r="K11" s="87">
        <f>'Data (NIET BEWERKEN!!)'!K20</f>
        <v>0</v>
      </c>
      <c r="L11" s="88">
        <f>'Data (NIET BEWERKEN!!)'!L20</f>
        <v>0</v>
      </c>
      <c r="M11" s="88">
        <f>'Data (NIET BEWERKEN!!)'!M20</f>
        <v>0</v>
      </c>
      <c r="N11" s="88">
        <f>'Data (NIET BEWERKEN!!)'!N20</f>
        <v>0</v>
      </c>
      <c r="O11" s="89">
        <f>'Data (NIET BEWERKEN!!)'!O20</f>
        <v>0</v>
      </c>
      <c r="P11" s="88">
        <f>'Data (NIET BEWERKEN!!)'!P20</f>
        <v>0</v>
      </c>
      <c r="Q11" s="88">
        <f>'Data (NIET BEWERKEN!!)'!Q20</f>
        <v>0</v>
      </c>
      <c r="R11" s="88">
        <f>'Data (NIET BEWERKEN!!)'!R20</f>
        <v>0</v>
      </c>
      <c r="S11" s="89">
        <f>'Data (NIET BEWERKEN!!)'!S20</f>
        <v>0</v>
      </c>
      <c r="T11" s="88">
        <f>'Data (NIET BEWERKEN!!)'!T20</f>
        <v>0</v>
      </c>
      <c r="U11" s="88">
        <f>'Data (NIET BEWERKEN!!)'!U20</f>
        <v>0</v>
      </c>
      <c r="V11" s="88">
        <f>'Data (NIET BEWERKEN!!)'!V20</f>
        <v>0</v>
      </c>
      <c r="W11" s="88">
        <f>'Data (NIET BEWERKEN!!)'!W20</f>
        <v>0</v>
      </c>
      <c r="X11" s="89">
        <f>'Data (NIET BEWERKEN!!)'!X20</f>
        <v>0</v>
      </c>
      <c r="Y11" s="88">
        <f>'Data (NIET BEWERKEN!!)'!Y20</f>
        <v>0</v>
      </c>
      <c r="Z11" s="88">
        <f>'Data (NIET BEWERKEN!!)'!Z20</f>
        <v>0</v>
      </c>
      <c r="AA11" s="88">
        <f>'Data (NIET BEWERKEN!!)'!AA20</f>
        <v>0</v>
      </c>
      <c r="AB11" s="88">
        <f>'Data (NIET BEWERKEN!!)'!AB20</f>
        <v>0</v>
      </c>
      <c r="AC11" s="89">
        <f>'Data (NIET BEWERKEN!!)'!AC20</f>
        <v>0</v>
      </c>
      <c r="AD11" s="88">
        <f>'Data (NIET BEWERKEN!!)'!AD20</f>
        <v>0</v>
      </c>
      <c r="AE11" s="88">
        <f>'Data (NIET BEWERKEN!!)'!AE20</f>
        <v>0</v>
      </c>
      <c r="AF11" s="88">
        <f>'Data (NIET BEWERKEN!!)'!AF20</f>
        <v>0</v>
      </c>
      <c r="AG11" s="88">
        <f>'Data (NIET BEWERKEN!!)'!AG20</f>
        <v>0</v>
      </c>
      <c r="AH11" s="89">
        <f>'Data (NIET BEWERKEN!!)'!AH20</f>
        <v>0</v>
      </c>
      <c r="AI11" s="88">
        <f>'Data (NIET BEWERKEN!!)'!AI20</f>
        <v>0</v>
      </c>
      <c r="AJ11" s="88">
        <f>'Data (NIET BEWERKEN!!)'!AJ20</f>
        <v>0</v>
      </c>
      <c r="AK11" s="88">
        <f>'Data (NIET BEWERKEN!!)'!AK20</f>
        <v>0</v>
      </c>
      <c r="AL11" s="88">
        <f>'Data (NIET BEWERKEN!!)'!AL20</f>
        <v>0</v>
      </c>
      <c r="AM11" s="88">
        <f>'Data (NIET BEWERKEN!!)'!AM20</f>
        <v>0</v>
      </c>
      <c r="AN11" s="88">
        <f>'Data (NIET BEWERKEN!!)'!AN20</f>
        <v>0</v>
      </c>
      <c r="AO11" s="88">
        <f>'Data (NIET BEWERKEN!!)'!AO20</f>
        <v>0</v>
      </c>
      <c r="AP11" s="89">
        <f>'Data (NIET BEWERKEN!!)'!AP20</f>
        <v>0</v>
      </c>
      <c r="AQ11" s="88">
        <f>'Data (NIET BEWERKEN!!)'!AQ20</f>
        <v>0</v>
      </c>
      <c r="AR11" s="88">
        <f>'Data (NIET BEWERKEN!!)'!AR20</f>
        <v>0</v>
      </c>
      <c r="AS11" s="88">
        <f>'Data (NIET BEWERKEN!!)'!AS20</f>
        <v>0</v>
      </c>
      <c r="AT11" s="88">
        <f>'Data (NIET BEWERKEN!!)'!AT20</f>
        <v>0</v>
      </c>
      <c r="AU11" s="89">
        <f>'Data (NIET BEWERKEN!!)'!AU20</f>
        <v>0</v>
      </c>
      <c r="AV11" s="88">
        <f>'Data (NIET BEWERKEN!!)'!AV20</f>
        <v>0</v>
      </c>
      <c r="AW11" s="88">
        <f>'Data (NIET BEWERKEN!!)'!AW20</f>
        <v>0</v>
      </c>
      <c r="AX11" s="96">
        <f>'Data (NIET BEWERKEN!!)'!AX20</f>
        <v>0</v>
      </c>
      <c r="AY11" s="87">
        <f>'Data (NIET BEWERKEN!!)'!AY20</f>
        <v>0</v>
      </c>
      <c r="AZ11" s="88">
        <f>'Data (NIET BEWERKEN!!)'!AZ20</f>
        <v>0</v>
      </c>
      <c r="BA11" s="88">
        <f>'Data (NIET BEWERKEN!!)'!BA20</f>
        <v>0</v>
      </c>
      <c r="BB11" s="88">
        <f>'Data (NIET BEWERKEN!!)'!BB20</f>
        <v>0</v>
      </c>
      <c r="BC11" s="88">
        <f>'Data (NIET BEWERKEN!!)'!BC20</f>
        <v>0</v>
      </c>
      <c r="BD11" s="88">
        <f>'Data (NIET BEWERKEN!!)'!BD20</f>
        <v>0</v>
      </c>
      <c r="BE11" s="88">
        <f>'Data (NIET BEWERKEN!!)'!BE20</f>
        <v>0</v>
      </c>
      <c r="BF11" s="88">
        <f>'Data (NIET BEWERKEN!!)'!BF20</f>
        <v>0</v>
      </c>
      <c r="BG11" s="88">
        <f>'Data (NIET BEWERKEN!!)'!BG20</f>
        <v>0</v>
      </c>
      <c r="BH11" s="88">
        <f>'Data (NIET BEWERKEN!!)'!BH20</f>
        <v>0</v>
      </c>
      <c r="BI11" s="88">
        <f>'Data (NIET BEWERKEN!!)'!BI20</f>
        <v>0</v>
      </c>
      <c r="BJ11" s="88">
        <f>'Data (NIET BEWERKEN!!)'!BJ20</f>
        <v>0</v>
      </c>
      <c r="BK11" s="88">
        <f>'Data (NIET BEWERKEN!!)'!BK20</f>
        <v>0</v>
      </c>
      <c r="BL11" s="88">
        <f>'Data (NIET BEWERKEN!!)'!BL20</f>
        <v>0</v>
      </c>
      <c r="BM11" s="90">
        <f>'Data (NIET BEWERKEN!!)'!BM20</f>
        <v>0</v>
      </c>
      <c r="BN11" s="87">
        <f>'Data (NIET BEWERKEN!!)'!BN20</f>
        <v>0</v>
      </c>
      <c r="BO11" s="88">
        <f>'Data (NIET BEWERKEN!!)'!BO20</f>
        <v>0</v>
      </c>
      <c r="BP11" s="88">
        <f>'Data (NIET BEWERKEN!!)'!BP20</f>
        <v>0</v>
      </c>
      <c r="BQ11" s="88">
        <f>'Data (NIET BEWERKEN!!)'!BQ20</f>
        <v>0</v>
      </c>
      <c r="BR11" s="90">
        <f>'Data (NIET BEWERKEN!!)'!BR20</f>
        <v>0</v>
      </c>
      <c r="BS11" s="87">
        <f>'Data (NIET BEWERKEN!!)'!BS20</f>
        <v>0</v>
      </c>
      <c r="BT11" s="88">
        <f>'Data (NIET BEWERKEN!!)'!BT20</f>
        <v>0</v>
      </c>
      <c r="BU11" s="88">
        <f>'Data (NIET BEWERKEN!!)'!BU20</f>
        <v>0</v>
      </c>
      <c r="BV11" s="88">
        <f>'Data (NIET BEWERKEN!!)'!BV20</f>
        <v>0</v>
      </c>
      <c r="BW11" s="90">
        <f>'Data (NIET BEWERKEN!!)'!BW20</f>
        <v>0</v>
      </c>
      <c r="BX11" s="87">
        <f>'Data (NIET BEWERKEN!!)'!BX20</f>
        <v>0</v>
      </c>
      <c r="BY11" s="88">
        <f>'Data (NIET BEWERKEN!!)'!BY20</f>
        <v>0</v>
      </c>
      <c r="BZ11" s="88">
        <f>'Data (NIET BEWERKEN!!)'!BZ20</f>
        <v>0</v>
      </c>
      <c r="CA11" s="88">
        <f>'Data (NIET BEWERKEN!!)'!CA20</f>
        <v>0</v>
      </c>
      <c r="CB11" s="90">
        <f>'Data (NIET BEWERKEN!!)'!CB20</f>
        <v>0</v>
      </c>
    </row>
    <row r="12" spans="4:80">
      <c r="D12" s="78" t="s">
        <v>287</v>
      </c>
      <c r="E12" s="91"/>
      <c r="F12" s="55"/>
      <c r="G12" s="55"/>
      <c r="H12" s="55"/>
      <c r="I12" s="55"/>
      <c r="J12" s="92"/>
      <c r="K12" s="91"/>
      <c r="L12" s="55"/>
      <c r="M12" s="55"/>
      <c r="N12" s="55"/>
      <c r="O12" s="86">
        <f>AVERAGE(K11:O11)</f>
        <v>0</v>
      </c>
      <c r="P12" s="100"/>
      <c r="Q12" s="55"/>
      <c r="R12" s="55"/>
      <c r="S12" s="86">
        <f>AVERAGE(P11:S11)</f>
        <v>0</v>
      </c>
      <c r="T12" s="100"/>
      <c r="U12" s="55"/>
      <c r="V12" s="55"/>
      <c r="W12" s="55"/>
      <c r="X12" s="86">
        <f>AVERAGE(T11:X11)</f>
        <v>0</v>
      </c>
      <c r="Y12" s="99"/>
      <c r="Z12" s="100"/>
      <c r="AA12" s="55"/>
      <c r="AB12" s="55"/>
      <c r="AC12" s="86">
        <f>AVERAGE(Y11:AC11)</f>
        <v>0</v>
      </c>
      <c r="AD12" s="100"/>
      <c r="AE12" s="55"/>
      <c r="AF12" s="55"/>
      <c r="AG12" s="55"/>
      <c r="AH12" s="86">
        <f>AVERAGE(AD11:AH11)</f>
        <v>0</v>
      </c>
      <c r="AI12" s="100"/>
      <c r="AJ12" s="55"/>
      <c r="AK12" s="55"/>
      <c r="AL12" s="55"/>
      <c r="AM12" s="55"/>
      <c r="AN12" s="55"/>
      <c r="AO12" s="55"/>
      <c r="AP12" s="86">
        <f>AVERAGE(AI11:AP11)</f>
        <v>0</v>
      </c>
      <c r="AQ12" s="100"/>
      <c r="AR12" s="55"/>
      <c r="AS12" s="55"/>
      <c r="AT12" s="55"/>
      <c r="AU12" s="86">
        <f>AVERAGE(AQ11:AU11)</f>
        <v>0</v>
      </c>
      <c r="AV12" s="100"/>
      <c r="AW12" s="55"/>
      <c r="AX12" s="97">
        <f>AVERAGE(V11:AX11)</f>
        <v>0</v>
      </c>
      <c r="AY12" s="91"/>
      <c r="AZ12" s="55"/>
      <c r="BA12" s="55"/>
      <c r="BB12" s="55"/>
      <c r="BC12" s="55"/>
      <c r="BD12" s="55"/>
      <c r="BE12" s="55"/>
      <c r="BF12" s="55"/>
      <c r="BG12" s="55"/>
      <c r="BH12" s="55"/>
      <c r="BI12" s="55"/>
      <c r="BJ12" s="55"/>
      <c r="BK12" s="55"/>
      <c r="BL12" s="55"/>
      <c r="BM12" s="92"/>
      <c r="BN12" s="91"/>
      <c r="BO12" s="55"/>
      <c r="BP12" s="55"/>
      <c r="BQ12" s="55"/>
      <c r="BR12" s="92"/>
      <c r="BS12" s="91"/>
      <c r="BT12" s="55"/>
      <c r="BU12" s="55"/>
      <c r="BV12" s="55"/>
      <c r="BW12" s="92"/>
      <c r="BX12" s="91"/>
      <c r="BY12" s="55"/>
      <c r="BZ12" s="55"/>
      <c r="CA12" s="55"/>
      <c r="CB12" s="92"/>
    </row>
    <row r="13" spans="4:80" ht="15" thickBot="1">
      <c r="D13" s="104" t="s">
        <v>288</v>
      </c>
      <c r="E13" s="93"/>
      <c r="F13" s="94"/>
      <c r="G13" s="94"/>
      <c r="H13" s="94"/>
      <c r="I13" s="94"/>
      <c r="J13" s="95">
        <f>AVERAGE(E11:J11)</f>
        <v>0</v>
      </c>
      <c r="K13" s="93"/>
      <c r="L13" s="94"/>
      <c r="M13" s="94"/>
      <c r="N13" s="94"/>
      <c r="O13" s="101"/>
      <c r="P13" s="102"/>
      <c r="Q13" s="94"/>
      <c r="R13" s="94"/>
      <c r="S13" s="101"/>
      <c r="T13" s="102"/>
      <c r="U13" s="94"/>
      <c r="V13" s="94"/>
      <c r="W13" s="94"/>
      <c r="X13" s="94"/>
      <c r="Y13" s="101"/>
      <c r="Z13" s="102"/>
      <c r="AA13" s="94"/>
      <c r="AB13" s="94"/>
      <c r="AC13" s="101"/>
      <c r="AD13" s="102"/>
      <c r="AE13" s="94"/>
      <c r="AF13" s="94"/>
      <c r="AG13" s="94"/>
      <c r="AH13" s="101"/>
      <c r="AI13" s="102"/>
      <c r="AJ13" s="94"/>
      <c r="AK13" s="94"/>
      <c r="AL13" s="94"/>
      <c r="AM13" s="94"/>
      <c r="AN13" s="94"/>
      <c r="AO13" s="94"/>
      <c r="AP13" s="101"/>
      <c r="AQ13" s="102"/>
      <c r="AR13" s="94"/>
      <c r="AS13" s="94"/>
      <c r="AT13" s="94"/>
      <c r="AU13" s="101"/>
      <c r="AV13" s="102"/>
      <c r="AW13" s="94"/>
      <c r="AX13" s="95">
        <f>AVERAGE(K11:AX11)</f>
        <v>0</v>
      </c>
      <c r="AY13" s="93"/>
      <c r="AZ13" s="94"/>
      <c r="BA13" s="94"/>
      <c r="BB13" s="94"/>
      <c r="BC13" s="94"/>
      <c r="BD13" s="94"/>
      <c r="BE13" s="94"/>
      <c r="BF13" s="94"/>
      <c r="BG13" s="94"/>
      <c r="BH13" s="94"/>
      <c r="BI13" s="94"/>
      <c r="BJ13" s="94"/>
      <c r="BK13" s="94"/>
      <c r="BL13" s="94"/>
      <c r="BM13" s="95">
        <f>AVERAGE(AY11:BM11)</f>
        <v>0</v>
      </c>
      <c r="BN13" s="93"/>
      <c r="BO13" s="94"/>
      <c r="BP13" s="94"/>
      <c r="BQ13" s="94"/>
      <c r="BR13" s="95">
        <f>AVERAGE(BN11:BR11)</f>
        <v>0</v>
      </c>
      <c r="BS13" s="93"/>
      <c r="BT13" s="94"/>
      <c r="BU13" s="94"/>
      <c r="BV13" s="94"/>
      <c r="BW13" s="95">
        <f>AVERAGE(BS11:BW11)</f>
        <v>0</v>
      </c>
      <c r="BX13" s="93"/>
      <c r="BY13" s="94"/>
      <c r="BZ13" s="94"/>
      <c r="CA13" s="94"/>
      <c r="CB13" s="95">
        <f>AVERAGE(BX11:CB11)</f>
        <v>0</v>
      </c>
    </row>
    <row r="16" spans="4:80" ht="18">
      <c r="D16" s="79" t="s">
        <v>290</v>
      </c>
      <c r="AB16" s="46"/>
      <c r="AC16" s="46"/>
      <c r="AD16" s="46"/>
    </row>
    <row r="17" spans="4:30">
      <c r="D17" s="56"/>
      <c r="AB17" s="46"/>
      <c r="AC17" s="46"/>
      <c r="AD17" s="46"/>
    </row>
    <row r="18" spans="4:30">
      <c r="D18" s="56"/>
      <c r="AB18" s="46"/>
      <c r="AC18" s="46"/>
      <c r="AD18" s="46"/>
    </row>
    <row r="19" spans="4:30">
      <c r="D19" s="56"/>
      <c r="AB19" s="46"/>
      <c r="AC19" s="46"/>
      <c r="AD19" s="46"/>
    </row>
    <row r="20" spans="4:30">
      <c r="D20" s="56"/>
      <c r="AB20" s="46"/>
      <c r="AC20" s="46"/>
      <c r="AD20" s="46"/>
    </row>
    <row r="21" spans="4:30">
      <c r="D21" s="56"/>
      <c r="AB21" s="46"/>
      <c r="AC21" s="46"/>
      <c r="AD21" s="46"/>
    </row>
    <row r="22" spans="4:30">
      <c r="D22" s="56"/>
      <c r="AB22" s="46"/>
      <c r="AC22" s="46"/>
      <c r="AD22" s="46"/>
    </row>
    <row r="23" spans="4:30">
      <c r="D23" s="56"/>
      <c r="AB23" s="46"/>
      <c r="AC23" s="46"/>
      <c r="AD23" s="46"/>
    </row>
    <row r="24" spans="4:30">
      <c r="D24" s="56"/>
      <c r="AB24" s="46"/>
      <c r="AC24" s="46"/>
      <c r="AD24" s="46"/>
    </row>
    <row r="25" spans="4:30">
      <c r="D25" s="56"/>
      <c r="AB25" s="46"/>
      <c r="AC25" s="46"/>
      <c r="AD25" s="46"/>
    </row>
    <row r="26" spans="4:30">
      <c r="D26" s="56"/>
      <c r="AB26" s="46"/>
      <c r="AC26" s="46"/>
      <c r="AD26" s="46"/>
    </row>
    <row r="27" spans="4:30">
      <c r="D27" s="56"/>
      <c r="AB27" s="46"/>
      <c r="AC27" s="46"/>
      <c r="AD27" s="46"/>
    </row>
    <row r="28" spans="4:30">
      <c r="D28" s="56"/>
      <c r="AB28" s="46"/>
      <c r="AC28" s="46"/>
      <c r="AD28" s="46"/>
    </row>
    <row r="29" spans="4:30">
      <c r="D29" s="56"/>
      <c r="AB29" s="46"/>
      <c r="AC29" s="46"/>
      <c r="AD29" s="46"/>
    </row>
    <row r="30" spans="4:30">
      <c r="D30" s="56"/>
      <c r="AB30" s="46"/>
      <c r="AC30" s="46"/>
      <c r="AD30" s="46"/>
    </row>
    <row r="31" spans="4:30">
      <c r="D31" s="56"/>
      <c r="AB31" s="46"/>
      <c r="AC31" s="46"/>
      <c r="AD31" s="46"/>
    </row>
    <row r="32" spans="4:30">
      <c r="D32" s="56"/>
      <c r="AB32" s="46"/>
      <c r="AC32" s="46"/>
      <c r="AD32" s="46"/>
    </row>
    <row r="33" spans="4:30">
      <c r="D33" s="56"/>
      <c r="AB33" s="46"/>
      <c r="AC33" s="46"/>
      <c r="AD33" s="46"/>
    </row>
    <row r="34" spans="4:30" ht="18">
      <c r="D34" s="79" t="s">
        <v>291</v>
      </c>
      <c r="E34" s="80"/>
      <c r="AB34" s="46"/>
      <c r="AC34" s="46"/>
      <c r="AD34" s="46"/>
    </row>
    <row r="35" spans="4:30">
      <c r="D35" s="56"/>
      <c r="Z35" s="46"/>
      <c r="AA35" s="46"/>
      <c r="AB35" s="46"/>
      <c r="AC35" s="46"/>
      <c r="AD35" s="46"/>
    </row>
    <row r="36" spans="4:30">
      <c r="D36" s="56"/>
      <c r="Z36" s="46"/>
      <c r="AA36" s="46"/>
      <c r="AB36" s="46"/>
      <c r="AC36" s="46"/>
      <c r="AD36" s="46"/>
    </row>
    <row r="37" spans="4:30">
      <c r="D37" s="56"/>
      <c r="Z37" s="46"/>
      <c r="AA37" s="46"/>
      <c r="AB37" s="46"/>
      <c r="AC37" s="46"/>
      <c r="AD37" s="46"/>
    </row>
    <row r="38" spans="4:30">
      <c r="D38" s="56"/>
      <c r="Z38" s="46"/>
      <c r="AA38" s="46"/>
      <c r="AB38" s="46"/>
      <c r="AC38" s="46"/>
      <c r="AD38" s="46"/>
    </row>
    <row r="39" spans="4:30">
      <c r="D39" s="56"/>
      <c r="Z39" s="46"/>
      <c r="AA39" s="46"/>
      <c r="AB39" s="46"/>
      <c r="AC39" s="46"/>
      <c r="AD39" s="46"/>
    </row>
    <row r="40" spans="4:30">
      <c r="D40" s="56"/>
      <c r="Z40" s="46"/>
      <c r="AA40" s="46"/>
      <c r="AB40" s="46"/>
      <c r="AC40" s="46"/>
      <c r="AD40" s="46"/>
    </row>
    <row r="41" spans="4:30">
      <c r="D41" s="56"/>
      <c r="Z41" s="46"/>
      <c r="AA41" s="46"/>
      <c r="AB41" s="46"/>
      <c r="AC41" s="46"/>
      <c r="AD41" s="46"/>
    </row>
    <row r="42" spans="4:30">
      <c r="D42" s="56"/>
      <c r="Z42" s="46"/>
      <c r="AA42" s="46"/>
      <c r="AB42" s="46"/>
      <c r="AC42" s="46"/>
      <c r="AD42" s="46"/>
    </row>
    <row r="43" spans="4:30">
      <c r="D43" s="56"/>
      <c r="Z43" s="46"/>
      <c r="AA43" s="46"/>
      <c r="AB43" s="46"/>
      <c r="AC43" s="46"/>
      <c r="AD43" s="46"/>
    </row>
    <row r="44" spans="4:30">
      <c r="D44" s="56"/>
      <c r="Z44" s="46"/>
      <c r="AA44" s="46"/>
      <c r="AB44" s="46"/>
      <c r="AC44" s="46"/>
      <c r="AD44" s="46"/>
    </row>
    <row r="45" spans="4:30">
      <c r="D45" s="56"/>
      <c r="Z45" s="46"/>
      <c r="AA45" s="46"/>
      <c r="AB45" s="46"/>
      <c r="AC45" s="46"/>
      <c r="AD45" s="46"/>
    </row>
    <row r="46" spans="4:30">
      <c r="D46" s="56"/>
      <c r="Z46" s="46"/>
      <c r="AA46" s="46"/>
      <c r="AB46" s="46"/>
      <c r="AC46" s="46"/>
      <c r="AD46" s="46"/>
    </row>
    <row r="47" spans="4:30">
      <c r="D47" s="56"/>
      <c r="Z47" s="46"/>
      <c r="AA47" s="46"/>
      <c r="AB47" s="46"/>
      <c r="AC47" s="46"/>
      <c r="AD47" s="46"/>
    </row>
    <row r="48" spans="4:30">
      <c r="D48" s="56"/>
      <c r="Z48" s="46"/>
      <c r="AA48" s="46"/>
      <c r="AB48" s="46"/>
      <c r="AC48" s="46"/>
      <c r="AD48" s="46"/>
    </row>
    <row r="49" spans="4:30">
      <c r="D49" s="56"/>
      <c r="Z49" s="46"/>
      <c r="AA49" s="46"/>
      <c r="AB49" s="46"/>
      <c r="AC49" s="46"/>
      <c r="AD49" s="46"/>
    </row>
    <row r="50" spans="4:30">
      <c r="D50" s="56"/>
      <c r="Z50" s="46"/>
      <c r="AA50" s="46"/>
      <c r="AB50" s="46"/>
      <c r="AC50" s="46"/>
      <c r="AD50" s="46"/>
    </row>
    <row r="51" spans="4:30">
      <c r="D51" s="56"/>
      <c r="Z51" s="46"/>
      <c r="AA51" s="46"/>
      <c r="AB51" s="46"/>
      <c r="AC51" s="46"/>
      <c r="AD51" s="46"/>
    </row>
    <row r="52" spans="4:30">
      <c r="D52" s="56"/>
      <c r="Z52" s="46"/>
      <c r="AA52" s="46"/>
      <c r="AB52" s="46"/>
      <c r="AC52" s="46"/>
      <c r="AD52" s="46"/>
    </row>
    <row r="53" spans="4:30">
      <c r="D53" s="56"/>
      <c r="Z53" s="46"/>
      <c r="AA53" s="46"/>
      <c r="AB53" s="46"/>
      <c r="AC53" s="46"/>
      <c r="AD53" s="46"/>
    </row>
    <row r="54" spans="4:30">
      <c r="D54" s="56"/>
      <c r="Z54" s="46"/>
      <c r="AA54" s="46"/>
      <c r="AB54" s="46"/>
      <c r="AC54" s="46"/>
      <c r="AD54" s="46"/>
    </row>
    <row r="55" spans="4:30">
      <c r="D55" s="56"/>
      <c r="Z55" s="46"/>
      <c r="AA55" s="46"/>
      <c r="AB55" s="46"/>
      <c r="AC55" s="46"/>
      <c r="AD55" s="46"/>
    </row>
    <row r="56" spans="4:30">
      <c r="D56" s="56"/>
      <c r="Z56" s="46"/>
      <c r="AA56" s="46"/>
      <c r="AB56" s="46"/>
      <c r="AC56" s="46"/>
      <c r="AD56" s="46"/>
    </row>
    <row r="57" spans="4:30">
      <c r="D57" s="56"/>
      <c r="Z57" s="46"/>
      <c r="AA57" s="46"/>
      <c r="AB57" s="46"/>
      <c r="AC57" s="46"/>
      <c r="AD57" s="46"/>
    </row>
    <row r="58" spans="4:30">
      <c r="D58" s="56"/>
      <c r="Z58" s="46"/>
      <c r="AA58" s="46"/>
      <c r="AB58" s="46"/>
      <c r="AC58" s="46"/>
      <c r="AD58" s="46"/>
    </row>
    <row r="59" spans="4:30">
      <c r="D59" s="56"/>
      <c r="Z59" s="46"/>
      <c r="AA59" s="46"/>
      <c r="AB59" s="46"/>
      <c r="AC59" s="46"/>
      <c r="AD59" s="46"/>
    </row>
    <row r="60" spans="4:30">
      <c r="D60" s="56"/>
      <c r="Z60" s="46"/>
      <c r="AA60" s="46"/>
      <c r="AB60" s="46"/>
      <c r="AC60" s="46"/>
      <c r="AD60" s="46"/>
    </row>
    <row r="61" spans="4:30">
      <c r="D61" s="56"/>
      <c r="Z61" s="46"/>
      <c r="AA61" s="46"/>
      <c r="AB61" s="46"/>
      <c r="AC61" s="46"/>
      <c r="AD61" s="46"/>
    </row>
    <row r="62" spans="4:30">
      <c r="D62" s="56"/>
      <c r="Z62" s="46"/>
      <c r="AA62" s="46"/>
      <c r="AB62" s="46"/>
      <c r="AC62" s="46"/>
      <c r="AD62" s="46"/>
    </row>
    <row r="63" spans="4:30">
      <c r="D63" s="56"/>
      <c r="Z63" s="46"/>
      <c r="AA63" s="46"/>
      <c r="AB63" s="46"/>
      <c r="AC63" s="46"/>
      <c r="AD63" s="46"/>
    </row>
    <row r="64" spans="4:30">
      <c r="D64" s="56"/>
      <c r="Z64" s="46"/>
      <c r="AA64" s="46"/>
      <c r="AB64" s="46"/>
      <c r="AC64" s="46"/>
      <c r="AD64" s="46"/>
    </row>
    <row r="65" spans="4:30">
      <c r="D65" s="56"/>
      <c r="Z65" s="46"/>
      <c r="AA65" s="46"/>
      <c r="AB65" s="46"/>
      <c r="AC65" s="46"/>
      <c r="AD65" s="46"/>
    </row>
    <row r="66" spans="4:30">
      <c r="D66" s="56"/>
      <c r="AB66" s="46"/>
      <c r="AC66" s="46"/>
      <c r="AD66" s="46"/>
    </row>
    <row r="67" spans="4:30" ht="18">
      <c r="D67" s="79" t="s">
        <v>292</v>
      </c>
      <c r="AA67" s="46"/>
      <c r="AB67" s="46"/>
      <c r="AC67" s="46"/>
      <c r="AD67" s="46"/>
    </row>
    <row r="68" spans="4:30">
      <c r="D68" s="56"/>
      <c r="AA68" s="46"/>
      <c r="AB68" s="46"/>
      <c r="AC68" s="46"/>
      <c r="AD68" s="46"/>
    </row>
    <row r="69" spans="4:30">
      <c r="D69" s="56"/>
      <c r="AA69" s="46"/>
      <c r="AB69" s="46"/>
      <c r="AC69" s="46"/>
      <c r="AD69" s="46"/>
    </row>
    <row r="70" spans="4:30">
      <c r="D70" s="56"/>
      <c r="AA70" s="46"/>
      <c r="AB70" s="46"/>
      <c r="AC70" s="46"/>
      <c r="AD70" s="46"/>
    </row>
    <row r="71" spans="4:30">
      <c r="D71" s="56"/>
      <c r="AA71" s="46"/>
      <c r="AB71" s="46"/>
      <c r="AC71" s="46"/>
      <c r="AD71" s="46"/>
    </row>
    <row r="72" spans="4:30">
      <c r="D72" s="56"/>
      <c r="AA72" s="46"/>
      <c r="AB72" s="46"/>
      <c r="AC72" s="46"/>
      <c r="AD72" s="46"/>
    </row>
    <row r="73" spans="4:30">
      <c r="D73" s="56"/>
      <c r="AA73" s="46"/>
      <c r="AB73" s="46"/>
      <c r="AC73" s="46"/>
      <c r="AD73" s="46"/>
    </row>
    <row r="74" spans="4:30">
      <c r="D74" s="56"/>
      <c r="AA74" s="46"/>
      <c r="AB74" s="46"/>
      <c r="AC74" s="46"/>
      <c r="AD74" s="46"/>
    </row>
    <row r="75" spans="4:30">
      <c r="D75" s="56"/>
      <c r="AA75" s="46"/>
      <c r="AB75" s="46"/>
      <c r="AC75" s="46"/>
      <c r="AD75" s="46"/>
    </row>
    <row r="76" spans="4:30">
      <c r="D76" s="56"/>
      <c r="AA76" s="46"/>
      <c r="AB76" s="46"/>
      <c r="AC76" s="46"/>
      <c r="AD76" s="46"/>
    </row>
    <row r="77" spans="4:30">
      <c r="D77" s="56"/>
      <c r="AA77" s="46"/>
      <c r="AB77" s="46"/>
      <c r="AC77" s="46"/>
      <c r="AD77" s="46"/>
    </row>
    <row r="78" spans="4:30">
      <c r="D78" s="56"/>
      <c r="AA78" s="46"/>
      <c r="AB78" s="46"/>
      <c r="AC78" s="46"/>
      <c r="AD78" s="46"/>
    </row>
    <row r="79" spans="4:30">
      <c r="D79" s="56"/>
      <c r="AA79" s="46"/>
      <c r="AB79" s="46"/>
      <c r="AC79" s="46"/>
      <c r="AD79" s="46"/>
    </row>
    <row r="80" spans="4:30">
      <c r="D80" s="56"/>
      <c r="AA80" s="46"/>
      <c r="AB80" s="46"/>
      <c r="AC80" s="46"/>
      <c r="AD80" s="46"/>
    </row>
    <row r="81" spans="4:30">
      <c r="D81" s="56"/>
      <c r="AA81" s="46"/>
      <c r="AB81" s="46"/>
      <c r="AC81" s="46"/>
      <c r="AD81" s="46"/>
    </row>
    <row r="82" spans="4:30">
      <c r="D82" s="56"/>
      <c r="AA82" s="46"/>
      <c r="AB82" s="46"/>
      <c r="AC82" s="46"/>
      <c r="AD82" s="46"/>
    </row>
    <row r="83" spans="4:30">
      <c r="D83" s="56"/>
      <c r="AA83" s="46"/>
      <c r="AB83" s="46"/>
      <c r="AC83" s="46"/>
      <c r="AD83" s="46"/>
    </row>
    <row r="84" spans="4:30">
      <c r="D84" s="56"/>
      <c r="AA84" s="46"/>
      <c r="AB84" s="46"/>
      <c r="AC84" s="46"/>
      <c r="AD84" s="46"/>
    </row>
    <row r="85" spans="4:30">
      <c r="D85" s="56"/>
      <c r="AA85" s="46"/>
      <c r="AB85" s="46"/>
      <c r="AC85" s="46"/>
      <c r="AD85" s="46"/>
    </row>
    <row r="86" spans="4:30">
      <c r="D86" s="56"/>
      <c r="AA86" s="46"/>
      <c r="AB86" s="46"/>
      <c r="AC86" s="46"/>
      <c r="AD86" s="46"/>
    </row>
    <row r="87" spans="4:30">
      <c r="D87" s="56"/>
      <c r="AA87" s="46"/>
      <c r="AB87" s="46"/>
      <c r="AC87" s="46"/>
      <c r="AD87" s="46"/>
    </row>
    <row r="88" spans="4:30">
      <c r="D88" s="56"/>
      <c r="AA88" s="46"/>
      <c r="AB88" s="46"/>
      <c r="AC88" s="46"/>
      <c r="AD88" s="46"/>
    </row>
    <row r="89" spans="4:30">
      <c r="D89" s="56"/>
      <c r="AA89" s="46"/>
      <c r="AB89" s="46"/>
      <c r="AC89" s="46"/>
      <c r="AD89" s="46"/>
    </row>
    <row r="90" spans="4:30">
      <c r="D90" s="56"/>
      <c r="AA90" s="46"/>
      <c r="AB90" s="46"/>
      <c r="AC90" s="46"/>
      <c r="AD90" s="46"/>
    </row>
    <row r="91" spans="4:30">
      <c r="D91" s="56"/>
      <c r="AA91" s="46"/>
      <c r="AB91" s="46"/>
      <c r="AC91" s="46"/>
      <c r="AD91" s="46"/>
    </row>
    <row r="92" spans="4:30">
      <c r="D92" s="56"/>
      <c r="AA92" s="46"/>
      <c r="AB92" s="46"/>
      <c r="AC92" s="46"/>
      <c r="AD92" s="46"/>
    </row>
    <row r="93" spans="4:30">
      <c r="D93" s="56"/>
      <c r="AA93" s="46"/>
      <c r="AB93" s="46"/>
      <c r="AC93" s="46"/>
      <c r="AD93" s="46"/>
    </row>
    <row r="94" spans="4:30">
      <c r="D94" s="56"/>
      <c r="AA94" s="46"/>
      <c r="AB94" s="46"/>
      <c r="AC94" s="46"/>
      <c r="AD94" s="46"/>
    </row>
    <row r="95" spans="4:30">
      <c r="D95" s="56"/>
      <c r="AA95" s="46"/>
      <c r="AB95" s="46"/>
      <c r="AC95" s="46"/>
      <c r="AD95" s="46"/>
    </row>
    <row r="96" spans="4:30">
      <c r="D96" s="56"/>
      <c r="AA96" s="46"/>
      <c r="AB96" s="46"/>
      <c r="AC96" s="46"/>
      <c r="AD96" s="46"/>
    </row>
    <row r="97" spans="4:30">
      <c r="D97" s="56"/>
      <c r="AA97" s="46"/>
      <c r="AB97" s="46"/>
      <c r="AC97" s="46"/>
      <c r="AD97" s="46"/>
    </row>
    <row r="98" spans="4:30">
      <c r="D98" s="56"/>
      <c r="AA98" s="46"/>
      <c r="AB98" s="46"/>
      <c r="AC98" s="46"/>
      <c r="AD98" s="46"/>
    </row>
    <row r="99" spans="4:30">
      <c r="D99" s="56"/>
      <c r="AA99" s="46"/>
      <c r="AB99" s="46"/>
      <c r="AC99" s="46"/>
      <c r="AD99" s="46"/>
    </row>
    <row r="100" spans="4:30">
      <c r="D100" s="56"/>
      <c r="AA100" s="46"/>
      <c r="AB100" s="46"/>
      <c r="AC100" s="46"/>
      <c r="AD100" s="46"/>
    </row>
    <row r="101" spans="4:30">
      <c r="D101" s="56"/>
      <c r="AA101" s="46"/>
      <c r="AB101" s="46"/>
      <c r="AC101" s="46"/>
      <c r="AD101" s="46"/>
    </row>
    <row r="102" spans="4:30">
      <c r="D102" s="56"/>
      <c r="AA102" s="46"/>
      <c r="AB102" s="46"/>
      <c r="AC102" s="46"/>
      <c r="AD102" s="46"/>
    </row>
    <row r="103" spans="4:30">
      <c r="D103" s="56"/>
      <c r="AA103" s="46"/>
      <c r="AB103" s="46"/>
      <c r="AC103" s="46"/>
      <c r="AD103" s="46"/>
    </row>
    <row r="104" spans="4:30">
      <c r="D104" s="56"/>
      <c r="AA104" s="46"/>
      <c r="AB104" s="46"/>
      <c r="AC104" s="46"/>
      <c r="AD104" s="46"/>
    </row>
    <row r="105" spans="4:30">
      <c r="D105" s="56"/>
      <c r="AA105" s="46"/>
      <c r="AB105" s="46"/>
      <c r="AC105" s="46"/>
      <c r="AD105" s="46"/>
    </row>
    <row r="106" spans="4:30">
      <c r="D106" s="56"/>
      <c r="AA106" s="46"/>
      <c r="AB106" s="46"/>
      <c r="AC106" s="46"/>
      <c r="AD106" s="46"/>
    </row>
    <row r="107" spans="4:30">
      <c r="D107" s="56"/>
      <c r="AA107" s="46"/>
      <c r="AB107" s="46"/>
      <c r="AC107" s="46"/>
      <c r="AD107" s="46"/>
    </row>
    <row r="108" spans="4:30">
      <c r="D108" s="56"/>
      <c r="AA108" s="46"/>
      <c r="AB108" s="46"/>
      <c r="AC108" s="46"/>
      <c r="AD108" s="46"/>
    </row>
    <row r="109" spans="4:30">
      <c r="D109" s="56"/>
      <c r="AA109" s="46"/>
      <c r="AB109" s="46"/>
      <c r="AC109" s="46"/>
      <c r="AD109" s="46"/>
    </row>
    <row r="110" spans="4:30">
      <c r="D110" s="56"/>
      <c r="AA110" s="46"/>
      <c r="AB110" s="46"/>
      <c r="AC110" s="46"/>
      <c r="AD110" s="46"/>
    </row>
    <row r="111" spans="4:30">
      <c r="D111" s="56"/>
      <c r="AA111" s="46"/>
      <c r="AB111" s="46"/>
      <c r="AC111" s="46"/>
      <c r="AD111" s="46"/>
    </row>
    <row r="112" spans="4:30">
      <c r="D112" s="56"/>
      <c r="AA112" s="46"/>
      <c r="AB112" s="46"/>
      <c r="AC112" s="46"/>
      <c r="AD112" s="46"/>
    </row>
    <row r="113" spans="4:30">
      <c r="D113" s="56"/>
      <c r="AA113" s="46"/>
      <c r="AB113" s="46"/>
      <c r="AC113" s="46"/>
      <c r="AD113" s="46"/>
    </row>
    <row r="114" spans="4:30">
      <c r="D114" s="56"/>
      <c r="AA114" s="46"/>
      <c r="AB114" s="46"/>
      <c r="AC114" s="46"/>
      <c r="AD114" s="46"/>
    </row>
    <row r="115" spans="4:30">
      <c r="D115" s="56"/>
      <c r="AA115" s="46"/>
      <c r="AB115" s="46"/>
      <c r="AC115" s="46"/>
      <c r="AD115" s="46"/>
    </row>
    <row r="116" spans="4:30">
      <c r="D116" s="56"/>
      <c r="AA116" s="46"/>
      <c r="AB116" s="46"/>
      <c r="AC116" s="46"/>
      <c r="AD116" s="46"/>
    </row>
    <row r="117" spans="4:30">
      <c r="D117" s="56"/>
      <c r="AA117" s="46"/>
      <c r="AB117" s="46"/>
      <c r="AC117" s="46"/>
      <c r="AD117" s="46"/>
    </row>
    <row r="118" spans="4:30">
      <c r="D118" s="56"/>
      <c r="AA118" s="46"/>
      <c r="AB118" s="46"/>
      <c r="AC118" s="46"/>
      <c r="AD118" s="46"/>
    </row>
    <row r="119" spans="4:30">
      <c r="D119" s="56"/>
      <c r="AA119" s="46"/>
      <c r="AB119" s="46"/>
      <c r="AC119" s="46"/>
      <c r="AD119" s="46"/>
    </row>
    <row r="120" spans="4:30">
      <c r="D120" s="56"/>
      <c r="AA120" s="46"/>
      <c r="AB120" s="46"/>
      <c r="AC120" s="46"/>
      <c r="AD120" s="46"/>
    </row>
    <row r="121" spans="4:30">
      <c r="D121" s="56"/>
      <c r="AA121" s="46"/>
      <c r="AB121" s="46"/>
      <c r="AC121" s="46"/>
      <c r="AD121" s="46"/>
    </row>
    <row r="122" spans="4:30">
      <c r="D122" s="56"/>
      <c r="AA122" s="46"/>
      <c r="AB122" s="46"/>
      <c r="AC122" s="46"/>
      <c r="AD122" s="46"/>
    </row>
    <row r="123" spans="4:30">
      <c r="D123" s="56"/>
      <c r="AA123" s="46"/>
      <c r="AB123" s="46"/>
      <c r="AC123" s="46"/>
      <c r="AD123" s="46"/>
    </row>
    <row r="124" spans="4:30">
      <c r="D124" s="56"/>
      <c r="AA124" s="46"/>
      <c r="AB124" s="46"/>
      <c r="AC124" s="46"/>
      <c r="AD124" s="46"/>
    </row>
    <row r="125" spans="4:30">
      <c r="D125" s="56"/>
      <c r="AA125" s="46"/>
      <c r="AB125" s="46"/>
      <c r="AC125" s="46"/>
      <c r="AD125" s="46"/>
    </row>
    <row r="126" spans="4:30">
      <c r="D126" s="56"/>
      <c r="AA126" s="46"/>
      <c r="AB126" s="46"/>
      <c r="AC126" s="46"/>
      <c r="AD126" s="46"/>
    </row>
    <row r="127" spans="4:30">
      <c r="D127" s="56"/>
      <c r="AA127" s="46"/>
      <c r="AB127" s="46"/>
      <c r="AC127" s="46"/>
      <c r="AD127" s="46"/>
    </row>
    <row r="128" spans="4:30">
      <c r="D128" s="56"/>
      <c r="AA128" s="46"/>
      <c r="AB128" s="46"/>
      <c r="AC128" s="46"/>
      <c r="AD128" s="46"/>
    </row>
    <row r="129" spans="4:30">
      <c r="D129" s="56"/>
      <c r="AA129" s="46"/>
      <c r="AB129" s="46"/>
      <c r="AC129" s="46"/>
      <c r="AD129" s="46"/>
    </row>
    <row r="130" spans="4:30">
      <c r="D130" s="56"/>
      <c r="AA130" s="46"/>
      <c r="AB130" s="46"/>
      <c r="AC130" s="46"/>
      <c r="AD130" s="46"/>
    </row>
    <row r="131" spans="4:30">
      <c r="D131" s="56"/>
      <c r="AA131" s="46"/>
      <c r="AB131" s="46"/>
      <c r="AC131" s="46"/>
      <c r="AD131" s="46"/>
    </row>
    <row r="132" spans="4:30">
      <c r="D132" s="56"/>
      <c r="AA132" s="46"/>
      <c r="AB132" s="46"/>
      <c r="AC132" s="46"/>
      <c r="AD132" s="46"/>
    </row>
    <row r="133" spans="4:30">
      <c r="D133" s="56"/>
      <c r="AA133" s="46"/>
      <c r="AB133" s="46"/>
      <c r="AC133" s="46"/>
      <c r="AD133" s="46"/>
    </row>
    <row r="134" spans="4:30">
      <c r="D134" s="56"/>
      <c r="AA134" s="46"/>
      <c r="AB134" s="46"/>
      <c r="AC134" s="46"/>
      <c r="AD134" s="46"/>
    </row>
    <row r="135" spans="4:30">
      <c r="D135" s="56"/>
      <c r="AA135" s="46"/>
      <c r="AB135" s="46"/>
      <c r="AC135" s="46"/>
      <c r="AD135" s="46"/>
    </row>
    <row r="136" spans="4:30">
      <c r="D136" s="56"/>
      <c r="AA136" s="46"/>
      <c r="AB136" s="46"/>
      <c r="AC136" s="46"/>
      <c r="AD136" s="46"/>
    </row>
    <row r="137" spans="4:30">
      <c r="D137" s="56"/>
      <c r="AA137" s="46"/>
      <c r="AB137" s="46"/>
      <c r="AC137" s="46"/>
      <c r="AD137" s="46"/>
    </row>
    <row r="138" spans="4:30">
      <c r="D138" s="56"/>
      <c r="AC138" s="46"/>
      <c r="AD138" s="46"/>
    </row>
    <row r="139" spans="4:30">
      <c r="D139" s="56"/>
      <c r="AC139" s="46"/>
      <c r="AD139" s="46"/>
    </row>
    <row r="140" spans="4:30">
      <c r="D140" s="56"/>
      <c r="AC140" s="46"/>
      <c r="AD140" s="46"/>
    </row>
    <row r="141" spans="4:30">
      <c r="D141" s="56"/>
      <c r="AC141" s="46"/>
      <c r="AD141" s="46"/>
    </row>
    <row r="142" spans="4:30">
      <c r="D142" s="56"/>
      <c r="AC142" s="46"/>
      <c r="AD142" s="46"/>
    </row>
    <row r="143" spans="4:30">
      <c r="D143" s="56"/>
      <c r="AC143" s="46"/>
      <c r="AD143" s="46"/>
    </row>
    <row r="144" spans="4:30">
      <c r="D144" s="56"/>
      <c r="AC144" s="46"/>
      <c r="AD144" s="46"/>
    </row>
    <row r="145" spans="4:30">
      <c r="D145" s="56"/>
      <c r="AC145" s="46"/>
      <c r="AD145" s="46"/>
    </row>
    <row r="146" spans="4:30">
      <c r="D146" s="56"/>
      <c r="AC146" s="46"/>
      <c r="AD146" s="46"/>
    </row>
    <row r="147" spans="4:30">
      <c r="D147" s="56"/>
      <c r="AC147" s="46"/>
      <c r="AD147" s="46"/>
    </row>
    <row r="148" spans="4:30">
      <c r="D148" s="56"/>
      <c r="AC148" s="46"/>
      <c r="AD148" s="46"/>
    </row>
    <row r="149" spans="4:30">
      <c r="D149" s="56"/>
      <c r="AC149" s="46"/>
      <c r="AD149" s="46"/>
    </row>
    <row r="150" spans="4:30">
      <c r="D150" s="56"/>
      <c r="AC150" s="46"/>
      <c r="AD150" s="46"/>
    </row>
    <row r="151" spans="4:30">
      <c r="D151" s="56"/>
      <c r="AC151" s="46"/>
      <c r="AD151" s="46"/>
    </row>
    <row r="152" spans="4:30">
      <c r="D152" s="56"/>
      <c r="AC152" s="46"/>
      <c r="AD152" s="46"/>
    </row>
    <row r="153" spans="4:30">
      <c r="D153" s="56"/>
      <c r="AC153" s="46"/>
      <c r="AD153" s="46"/>
    </row>
    <row r="154" spans="4:30">
      <c r="D154" s="56"/>
      <c r="AD154" s="46"/>
    </row>
    <row r="155" spans="4:30">
      <c r="D155" s="56"/>
      <c r="AD155" s="46"/>
    </row>
    <row r="156" spans="4:30">
      <c r="D156" s="56"/>
      <c r="AD156" s="46"/>
    </row>
    <row r="157" spans="4:30">
      <c r="D157" s="56"/>
      <c r="AD157" s="46"/>
    </row>
    <row r="158" spans="4:30">
      <c r="D158" s="56"/>
      <c r="AD158" s="46"/>
    </row>
    <row r="159" spans="4:30">
      <c r="D159" s="56"/>
      <c r="AD159" s="46"/>
    </row>
    <row r="160" spans="4:30">
      <c r="D160" s="56"/>
      <c r="AD160" s="46"/>
    </row>
    <row r="161" spans="4:30">
      <c r="D161" s="56"/>
      <c r="AD161" s="46"/>
    </row>
    <row r="162" spans="4:30">
      <c r="D162" s="56"/>
      <c r="AD162" s="46"/>
    </row>
    <row r="163" spans="4:30">
      <c r="D163" s="56"/>
      <c r="AD163" s="46"/>
    </row>
    <row r="164" spans="4:30">
      <c r="D164" s="56"/>
      <c r="AD164" s="46"/>
    </row>
    <row r="165" spans="4:30">
      <c r="D165" s="56"/>
      <c r="AD165" s="46"/>
    </row>
    <row r="166" spans="4:30">
      <c r="D166" s="56"/>
      <c r="AD166" s="46"/>
    </row>
    <row r="167" spans="4:30">
      <c r="D167" s="56"/>
      <c r="AD167" s="46"/>
    </row>
    <row r="168" spans="4:30">
      <c r="D168" s="56"/>
      <c r="AD168" s="46"/>
    </row>
    <row r="169" spans="4:30">
      <c r="D169" s="56"/>
      <c r="AD169" s="46"/>
    </row>
    <row r="170" spans="4:30">
      <c r="D170" s="56"/>
      <c r="AD170" s="46"/>
    </row>
    <row r="171" spans="4:30">
      <c r="D171" s="56"/>
      <c r="AD171" s="46"/>
    </row>
    <row r="172" spans="4:30">
      <c r="D172" s="56"/>
      <c r="AD172" s="46"/>
    </row>
    <row r="173" spans="4:30">
      <c r="D173" s="56"/>
      <c r="AD173" s="46"/>
    </row>
    <row r="174" spans="4:30">
      <c r="D174" s="56"/>
      <c r="AD174" s="46"/>
    </row>
    <row r="175" spans="4:30">
      <c r="D175" s="56"/>
      <c r="AD175" s="46"/>
    </row>
    <row r="176" spans="4:30">
      <c r="D176" s="56"/>
      <c r="AD176" s="46"/>
    </row>
    <row r="177" spans="4:30">
      <c r="D177" s="56"/>
      <c r="AD177" s="46"/>
    </row>
    <row r="178" spans="4:30">
      <c r="D178" s="56"/>
      <c r="AD178" s="46"/>
    </row>
    <row r="179" spans="4:30">
      <c r="D179" s="56"/>
      <c r="AD179" s="46"/>
    </row>
  </sheetData>
  <conditionalFormatting sqref="J9">
    <cfRule type="colorScale" priority="23">
      <colorScale>
        <cfvo type="min"/>
        <cfvo type="percentile" val="50"/>
        <cfvo type="max"/>
        <color rgb="FFF8696B"/>
        <color rgb="FFFFEB84"/>
        <color rgb="FF63BE7B"/>
      </colorScale>
    </cfRule>
  </conditionalFormatting>
  <conditionalFormatting sqref="BX7:CB8">
    <cfRule type="colorScale" priority="28">
      <colorScale>
        <cfvo type="min"/>
        <cfvo type="percentile" val="50"/>
        <cfvo type="max"/>
        <color rgb="FFF8696B"/>
        <color rgb="FFFFEB84"/>
        <color rgb="FF63BE7B"/>
      </colorScale>
    </cfRule>
  </conditionalFormatting>
  <conditionalFormatting sqref="AX9">
    <cfRule type="colorScale" priority="13">
      <colorScale>
        <cfvo type="min"/>
        <cfvo type="percentile" val="50"/>
        <cfvo type="max"/>
        <color rgb="FFF8696B"/>
        <color rgb="FFFFEB84"/>
        <color rgb="FF63BE7B"/>
      </colorScale>
    </cfRule>
  </conditionalFormatting>
  <conditionalFormatting sqref="BM9">
    <cfRule type="colorScale" priority="12">
      <colorScale>
        <cfvo type="min"/>
        <cfvo type="percentile" val="50"/>
        <cfvo type="max"/>
        <color rgb="FFF8696B"/>
        <color rgb="FFFFEB84"/>
        <color rgb="FF63BE7B"/>
      </colorScale>
    </cfRule>
  </conditionalFormatting>
  <conditionalFormatting sqref="BR9">
    <cfRule type="colorScale" priority="11">
      <colorScale>
        <cfvo type="min"/>
        <cfvo type="percentile" val="50"/>
        <cfvo type="max"/>
        <color rgb="FFF8696B"/>
        <color rgb="FFFFEB84"/>
        <color rgb="FF63BE7B"/>
      </colorScale>
    </cfRule>
  </conditionalFormatting>
  <conditionalFormatting sqref="BW9">
    <cfRule type="colorScale" priority="10">
      <colorScale>
        <cfvo type="min"/>
        <cfvo type="percentile" val="50"/>
        <cfvo type="max"/>
        <color rgb="FFF8696B"/>
        <color rgb="FFFFEB84"/>
        <color rgb="FF63BE7B"/>
      </colorScale>
    </cfRule>
  </conditionalFormatting>
  <conditionalFormatting sqref="CB9">
    <cfRule type="colorScale" priority="9">
      <colorScale>
        <cfvo type="min"/>
        <cfvo type="percentile" val="50"/>
        <cfvo type="max"/>
        <color rgb="FFF8696B"/>
        <color rgb="FFFFEB84"/>
        <color rgb="FF63BE7B"/>
      </colorScale>
    </cfRule>
  </conditionalFormatting>
  <conditionalFormatting sqref="E7:BW7 E8:N8 AY8:BW8 AV8:AW8 AQ8:AT8 AI8:AO8 AD8:AG8 Y8:AB8 T8:W8 P8:R8">
    <cfRule type="colorScale" priority="43">
      <colorScale>
        <cfvo type="min"/>
        <cfvo type="percentile" val="50"/>
        <cfvo type="max"/>
        <color rgb="FFF8696B"/>
        <color rgb="FFFFEB84"/>
        <color rgb="FF63BE7B"/>
      </colorScale>
    </cfRule>
  </conditionalFormatting>
  <conditionalFormatting sqref="AX8">
    <cfRule type="colorScale" priority="8">
      <colorScale>
        <cfvo type="min"/>
        <cfvo type="percentile" val="50"/>
        <cfvo type="max"/>
        <color rgb="FFF8696B"/>
        <color rgb="FFFFEB84"/>
        <color rgb="FF63BE7B"/>
      </colorScale>
    </cfRule>
  </conditionalFormatting>
  <conditionalFormatting sqref="AU8">
    <cfRule type="colorScale" priority="7">
      <colorScale>
        <cfvo type="min"/>
        <cfvo type="percentile" val="50"/>
        <cfvo type="max"/>
        <color rgb="FFF8696B"/>
        <color rgb="FFFFEB84"/>
        <color rgb="FF63BE7B"/>
      </colorScale>
    </cfRule>
  </conditionalFormatting>
  <conditionalFormatting sqref="AP8">
    <cfRule type="colorScale" priority="6">
      <colorScale>
        <cfvo type="min"/>
        <cfvo type="percentile" val="50"/>
        <cfvo type="max"/>
        <color rgb="FFF8696B"/>
        <color rgb="FFFFEB84"/>
        <color rgb="FF63BE7B"/>
      </colorScale>
    </cfRule>
  </conditionalFormatting>
  <conditionalFormatting sqref="AH8">
    <cfRule type="colorScale" priority="5">
      <colorScale>
        <cfvo type="min"/>
        <cfvo type="percentile" val="50"/>
        <cfvo type="max"/>
        <color rgb="FFF8696B"/>
        <color rgb="FFFFEB84"/>
        <color rgb="FF63BE7B"/>
      </colorScale>
    </cfRule>
  </conditionalFormatting>
  <conditionalFormatting sqref="AC8">
    <cfRule type="colorScale" priority="4">
      <colorScale>
        <cfvo type="min"/>
        <cfvo type="percentile" val="50"/>
        <cfvo type="max"/>
        <color rgb="FFF8696B"/>
        <color rgb="FFFFEB84"/>
        <color rgb="FF63BE7B"/>
      </colorScale>
    </cfRule>
  </conditionalFormatting>
  <conditionalFormatting sqref="X8">
    <cfRule type="colorScale" priority="3">
      <colorScale>
        <cfvo type="min"/>
        <cfvo type="percentile" val="50"/>
        <cfvo type="max"/>
        <color rgb="FFF8696B"/>
        <color rgb="FFFFEB84"/>
        <color rgb="FF63BE7B"/>
      </colorScale>
    </cfRule>
  </conditionalFormatting>
  <conditionalFormatting sqref="S8">
    <cfRule type="colorScale" priority="2">
      <colorScale>
        <cfvo type="min"/>
        <cfvo type="percentile" val="50"/>
        <cfvo type="max"/>
        <color rgb="FFF8696B"/>
        <color rgb="FFFFEB84"/>
        <color rgb="FF63BE7B"/>
      </colorScale>
    </cfRule>
  </conditionalFormatting>
  <conditionalFormatting sqref="O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3" ma:contentTypeDescription="Een nieuw document maken." ma:contentTypeScope="" ma:versionID="9104ed06b1379d6c1a501630f72bb999">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a3c60143ec3780dc1a24d2436007b3ed"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Props1.xml><?xml version="1.0" encoding="utf-8"?>
<ds:datastoreItem xmlns:ds="http://schemas.openxmlformats.org/officeDocument/2006/customXml" ds:itemID="{AA75215E-41B5-40BE-970D-CD3924532D70}"/>
</file>

<file path=customXml/itemProps2.xml><?xml version="1.0" encoding="utf-8"?>
<ds:datastoreItem xmlns:ds="http://schemas.openxmlformats.org/officeDocument/2006/customXml" ds:itemID="{B931CFB9-F32C-49D5-B8D0-53B29C36566D}"/>
</file>

<file path=customXml/itemProps3.xml><?xml version="1.0" encoding="utf-8"?>
<ds:datastoreItem xmlns:ds="http://schemas.openxmlformats.org/officeDocument/2006/customXml" ds:itemID="{2345B4F2-3B30-4162-9FB0-76A0A8117C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Marlous Vaarwerk</cp:lastModifiedBy>
  <cp:revision/>
  <dcterms:created xsi:type="dcterms:W3CDTF">2020-11-26T09:31:06Z</dcterms:created>
  <dcterms:modified xsi:type="dcterms:W3CDTF">2023-11-24T12:24:51Z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MediaServiceImageTags">
    <vt:lpwstr/>
  </property>
  <property fmtid="{D5CDD505-2E9C-101B-9397-08002B2CF9AE}" pid="4" name="Order">
    <vt:r8>45359000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