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18"/>
  <workbookPr defaultThemeVersion="166925"/>
  <mc:AlternateContent xmlns:mc="http://schemas.openxmlformats.org/markup-compatibility/2006">
    <mc:Choice Requires="x15">
      <x15ac:absPath xmlns:x15ac="http://schemas.microsoft.com/office/spreadsheetml/2010/11/ac" url="https://digitalpower.sharepoint.com/sites/PilotgroepBeoordelingsystematiek/Gedeelde documenten/General/Competentie Assessments/"/>
    </mc:Choice>
  </mc:AlternateContent>
  <xr:revisionPtr revIDLastSave="180" documentId="13_ncr:1_{E53B4E96-0F04-3B45-9AD6-B17F6B5BFE53}" xr6:coauthVersionLast="47" xr6:coauthVersionMax="47" xr10:uidLastSave="{0181E009-D33E-4481-8751-6AE177352453}"/>
  <bookViews>
    <workbookView xWindow="-108" yWindow="-108" windowWidth="23256" windowHeight="12720" firstSheet="1" activeTab="1" xr2:uid="{1A6BDAE8-BB84-437C-BCD8-D1E44F47BBAC}"/>
  </bookViews>
  <sheets>
    <sheet name="Theorie" sheetId="4" r:id="rId1"/>
    <sheet name="Vragenlijst" sheetId="1" r:id="rId2"/>
    <sheet name="Data (NIET BEWERKEN!!)" sheetId="3" r:id="rId3"/>
    <sheet name="Uitwerking (NIET BEWERKEN!!)" sheetId="2" r:id="rId4"/>
  </sheets>
  <definedNames>
    <definedName name="_xlnm.Print_Area" localSheetId="1">Vragenlijst!$A$12:$D$203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2" l="1"/>
  <c r="N7" i="2"/>
  <c r="M4" i="2"/>
  <c r="N4" i="2"/>
  <c r="R8" i="2"/>
  <c r="R5" i="2"/>
  <c r="O8" i="2"/>
  <c r="O5" i="2"/>
  <c r="G8" i="2"/>
  <c r="G5" i="2"/>
  <c r="R1" i="2"/>
  <c r="R2" i="2"/>
  <c r="Q2" i="2"/>
  <c r="Q1" i="2"/>
  <c r="R18" i="3"/>
  <c r="O7" i="2" s="1"/>
  <c r="Q18" i="3"/>
  <c r="P18" i="3"/>
  <c r="R5" i="3"/>
  <c r="O4" i="2" s="1"/>
  <c r="Q5" i="3"/>
  <c r="P5" i="3"/>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R7" i="2" s="1"/>
  <c r="T18" i="3"/>
  <c r="Q7" i="2" s="1"/>
  <c r="S18" i="3"/>
  <c r="P7" i="2" s="1"/>
  <c r="O18" i="3"/>
  <c r="L7" i="2" s="1"/>
  <c r="N18" i="3"/>
  <c r="K7" i="2" s="1"/>
  <c r="M18" i="3"/>
  <c r="J7" i="2" s="1"/>
  <c r="L18" i="3"/>
  <c r="I7" i="2" s="1"/>
  <c r="K18" i="3"/>
  <c r="H7" i="2" s="1"/>
  <c r="J18" i="3"/>
  <c r="G7" i="2" s="1"/>
  <c r="I18" i="3"/>
  <c r="F7" i="2" s="1"/>
  <c r="H18" i="3"/>
  <c r="E7" i="2" s="1"/>
  <c r="G18" i="3"/>
  <c r="D7" i="2" s="1"/>
  <c r="F18" i="3"/>
  <c r="C7" i="2" s="1"/>
  <c r="E18" i="3"/>
  <c r="B7" i="2" s="1"/>
  <c r="E5" i="3"/>
  <c r="B4" i="2" s="1"/>
  <c r="L5" i="3"/>
  <c r="I4" i="2" s="1"/>
  <c r="T5" i="3"/>
  <c r="Q4" i="2" s="1"/>
  <c r="I1" i="2"/>
  <c r="I2" i="2"/>
  <c r="N1" i="2"/>
  <c r="N2" i="2"/>
  <c r="C27" i="3"/>
  <c r="C26" i="3"/>
  <c r="C25" i="3"/>
  <c r="C24" i="3"/>
  <c r="C23" i="3"/>
  <c r="C22" i="3"/>
  <c r="C21" i="3"/>
  <c r="C20" i="3"/>
  <c r="C19" i="3"/>
  <c r="C18" i="3"/>
  <c r="AJ5" i="3"/>
  <c r="AG4" i="2" s="1"/>
  <c r="AI5" i="3"/>
  <c r="AF4" i="2" s="1"/>
  <c r="AH5" i="3"/>
  <c r="AE4" i="2" s="1"/>
  <c r="AG5" i="3"/>
  <c r="AD4" i="2" s="1"/>
  <c r="AF5" i="3"/>
  <c r="AC4" i="2" s="1"/>
  <c r="AG5" i="2" s="1"/>
  <c r="AE5" i="3"/>
  <c r="AB4" i="2" s="1"/>
  <c r="AD5" i="3"/>
  <c r="AA4" i="2" s="1"/>
  <c r="AC5" i="3"/>
  <c r="Z4" i="2" s="1"/>
  <c r="AB5" i="3"/>
  <c r="Y4" i="2" s="1"/>
  <c r="AA5" i="3"/>
  <c r="X4" i="2" s="1"/>
  <c r="Z5" i="3"/>
  <c r="W4" i="2" s="1"/>
  <c r="Y5" i="3"/>
  <c r="V4" i="2" s="1"/>
  <c r="X5" i="3"/>
  <c r="U4" i="2" s="1"/>
  <c r="W5" i="3"/>
  <c r="T4" i="2" s="1"/>
  <c r="V5" i="3"/>
  <c r="S4" i="2" s="1"/>
  <c r="U5" i="3"/>
  <c r="R4" i="2" s="1"/>
  <c r="S5" i="3"/>
  <c r="P4" i="2" s="1"/>
  <c r="O5" i="3"/>
  <c r="L4" i="2" s="1"/>
  <c r="N5" i="3"/>
  <c r="K4" i="2" s="1"/>
  <c r="M5" i="3"/>
  <c r="J4" i="2" s="1"/>
  <c r="K5" i="3"/>
  <c r="H4" i="2" s="1"/>
  <c r="J5" i="3"/>
  <c r="G4" i="2" s="1"/>
  <c r="I5" i="3"/>
  <c r="F4" i="2" s="1"/>
  <c r="H5" i="3"/>
  <c r="E4" i="2" s="1"/>
  <c r="G5" i="3"/>
  <c r="D4" i="2" s="1"/>
  <c r="F5" i="3"/>
  <c r="C4" i="2" s="1"/>
  <c r="AB5" i="2" l="1"/>
  <c r="W5" i="2"/>
  <c r="W8" i="2"/>
  <c r="AB8" i="2"/>
  <c r="AG8" i="2"/>
  <c r="AG2" i="2"/>
  <c r="AF2" i="2"/>
  <c r="AE2" i="2"/>
  <c r="AD2" i="2"/>
  <c r="AC2" i="2"/>
  <c r="AB2" i="2"/>
  <c r="AA2" i="2"/>
  <c r="Z2" i="2"/>
  <c r="Y2" i="2"/>
  <c r="X2" i="2"/>
  <c r="W2" i="2"/>
  <c r="V2" i="2"/>
  <c r="U2" i="2"/>
  <c r="T2" i="2"/>
  <c r="S2" i="2"/>
  <c r="P2" i="2"/>
  <c r="O2" i="2"/>
  <c r="M2" i="2"/>
  <c r="L2" i="2"/>
  <c r="K2" i="2"/>
  <c r="J2" i="2"/>
  <c r="H2" i="2"/>
  <c r="G2" i="2"/>
  <c r="F2" i="2"/>
  <c r="E2" i="2"/>
  <c r="D2" i="2"/>
  <c r="C2" i="2"/>
  <c r="AG1" i="2"/>
  <c r="AF1" i="2"/>
  <c r="AE1" i="2"/>
  <c r="AD1" i="2"/>
  <c r="AC1" i="2"/>
  <c r="AB1" i="2"/>
  <c r="AA1" i="2"/>
  <c r="Z1" i="2"/>
  <c r="Y1" i="2"/>
  <c r="X1" i="2"/>
  <c r="W1" i="2"/>
  <c r="V1" i="2"/>
  <c r="U1" i="2"/>
  <c r="T1" i="2"/>
  <c r="S1" i="2"/>
  <c r="P1" i="2"/>
  <c r="O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B19" i="3" l="1"/>
  <c r="D19" i="3"/>
  <c r="B20" i="3"/>
  <c r="D20" i="3"/>
  <c r="B21" i="3"/>
  <c r="D21" i="3"/>
  <c r="D18" i="3"/>
  <c r="B18" i="3"/>
  <c r="A19" i="3" l="1"/>
  <c r="A20" i="3"/>
  <c r="A21" i="3"/>
  <c r="A18" i="3"/>
</calcChain>
</file>

<file path=xl/sharedStrings.xml><?xml version="1.0" encoding="utf-8"?>
<sst xmlns="http://schemas.openxmlformats.org/spreadsheetml/2006/main" count="389" uniqueCount="237">
  <si>
    <t>Digital Power Competentiehuis</t>
  </si>
  <si>
    <t>Competentiegebieden</t>
  </si>
  <si>
    <t>Vragenlijst</t>
  </si>
  <si>
    <t>Voorbeeld competentiegebied</t>
  </si>
  <si>
    <t>Vul per situatie de corresponderende invulwaarde in bij de best passende competentie beschrijving</t>
  </si>
  <si>
    <t>Invulinstructie</t>
  </si>
  <si>
    <t>Voorbeeld competentie</t>
  </si>
  <si>
    <t>Competentieniveau tot heden</t>
  </si>
  <si>
    <t>Wenselijk competentieniveau</t>
  </si>
  <si>
    <t>Invulwaarde</t>
  </si>
  <si>
    <t xml:space="preserve">
Ieder competentiegebied (6), te herkennen aan de verschillende kleuren, bestaat uit een aantal specifieke competenties.
Bepaal voor iedere competentie waar je ambitie (wenselijk competenieniveau) ligt en waar je nu staat (competentieniveau tot heden). 
- Doe dit door jezelf te scoren op de aangegeven schaal (zie voorbeeld)
- Indien je (nu) geen ambitie hebt op een competentie, hou je de score aan die weergeeft wat je competentieniveau tot heden is.
Bepaal bij iedere competentie welke beschrijvng het beste past voor de situatie (heden/ wens). Kijk niet alleen naar kennis en kunde, maar ook naar invloedssfeer en mate aan (persoonlijk) leiderschap in je rol bij de klant. 
Creeer je gewenste profiel aan de hand van je ambitie! En ontwikkel díe competenties die invulling geven aan het verwezenlijken van deze ambitie.
Het doel is niet om te toetsen of je wel/ geen goede consultant bent binnen dit domein. Het doel is wel dat je competenties ontwikkelt die bij jouw ambitie passen.
Wees realitisch bij het invullen. Alleen dan gebruik je het tot de volle potentie.
Succes met invullen!</t>
  </si>
  <si>
    <t>Voorbeeld competentie beschrijving: Acteert bij klanten op competentie A.</t>
  </si>
  <si>
    <t>Voorbeeld competentie beschrijving: Acteert bij klanten naast compententie A, ook op competentie B.</t>
  </si>
  <si>
    <t>Voorbeeld competentie beschrijving: Acteert bij klanten naast compententie A en B, ook op competentie C.</t>
  </si>
  <si>
    <t>Voorbeeld competentie beschrijving: Acteert bij klanten naast compententie A, B en C, ook op competentie D.</t>
  </si>
  <si>
    <t>Voorbeeld competentie beschrijving: Acteert bij klanten naast compententie A, B, C en D, ook op competentie E.</t>
  </si>
  <si>
    <t>Competentiegebied: Digital Power basis competenties</t>
  </si>
  <si>
    <t>Leren &amp; reflecteren</t>
  </si>
  <si>
    <t>Heeft een groei mindset</t>
  </si>
  <si>
    <t>Ontvangt positieve en opbouwende feedback met een open houding, is in staat dit voor zelfreflectie te gebruiken, het op te nemen in zijn/ haar eigen ontwikkeling en hier de nodige ontwikkeling op te ondernemen met trainingen en cursussen.</t>
  </si>
  <si>
    <t>Is naast bovengenoemde externe prikkel (feedback van anderen), in staat zelf kritisch te blijven op eigen kennis en ervaring en het eventueel ontbreken ervan. Neemt hierin de nodige acties en neemt daarin zelf de regie over de eigen ontwikkeling.</t>
  </si>
  <si>
    <t>Neemt een voorbeeldrol aan in bovengenoemde competenties en draagt deze eveneens actief uit vanuit de begeleidende rol naar juniors en mediors.</t>
  </si>
  <si>
    <t>Neemt een leidersrol aan in bovengenoemde competenties en draagt deze actief uit vanuit de begeleidersrol en/ of als organisatieverantwoordelijke.</t>
  </si>
  <si>
    <t>Ondersteunen &amp; samenwerken</t>
  </si>
  <si>
    <t>Heeft een collegiale mindset</t>
  </si>
  <si>
    <t>Is behulpzaam en betrokken naar zowel interne als externe collega's</t>
  </si>
  <si>
    <t xml:space="preserve">Zoekt actief de samenwerking op. Zowel binnen als buiten het eigen team waarin je (tijdelijk) onderdeel van uitmaakt. </t>
  </si>
  <si>
    <t>Neemt een voorbeeld rol in bij het zoeken naar samenwerking. Neemt de verantwoordelijkheid op zich om anderen te ondersteunen en de hulp te bieden om ervoor te zorgen dat teamleden zelfredzaam worden in hun werkzaamheden.</t>
  </si>
  <si>
    <t>…</t>
  </si>
  <si>
    <t>Ondernemen &amp; resultaatgericht</t>
  </si>
  <si>
    <t>Heeft een ondernemende &amp; resultaatgerichte mindset</t>
  </si>
  <si>
    <t xml:space="preserve">Gericht op effectief handelen en het op tijd opleveren van afgesproken werk, binnen de afgesproken tijd. </t>
  </si>
  <si>
    <t>Naast bovengenoemde competenties in staat kansen te herkennen en actief te handelen om klanten te helpen en/ of DiP verder te profilen. Is in staat klantdoelstellingen te vertalen naar concrete en praktische acties.</t>
  </si>
  <si>
    <t>Naast bovengenoemde competenties in staat commerciele activiteiten (zoals het uitbouwen van uren, additionele opdrachten genereren ed.) te verhogen. Ontplooit binnen DiP projecten en overziet en/ of begeleidt deze naar het beoogde resultaat.</t>
  </si>
  <si>
    <t>Naast bovengenoemde competenties verantwoordelijk voor de ontwikkeling van een specialisme binnen DiP. Incl. het monitoren en marktconform houden van dit specialisme.</t>
  </si>
  <si>
    <t>Klantgericht</t>
  </si>
  <si>
    <t>Heeft een klantgerichte mindset</t>
  </si>
  <si>
    <t>Herkent behoeften en belangen van de klant; stelt zich hulpvaardig op en houdt in het handelen rekening met de behoeften en belangen van de klant.</t>
  </si>
  <si>
    <t>Denkt naast bovengenoemde competenties, actief mee met de klant. Deelt inzichten in de klantorganisatie binnen DiP om commerciële  activiteiten verder uit te kunnen breiden. Streeft daarin actief naar verhoging van klanttevredenheid en kwaliteitsverbetering.</t>
  </si>
  <si>
    <t>Stimuleert en faciliteert naast bovengenoemde competenties, ook anderen om actief klantgericht te opereren. Is in staat klantactiviteit uit te breiden d.m.v. expertise. Overtreft de verwachtingen van de klant.</t>
  </si>
  <si>
    <t>Draagt, naast bovengenoemde competenties, de verantwoordelijkheid voor een klantgerichte aanpak. Zet zich in voor het structureel hoogwaardig houden van de klantgerichtheid.</t>
  </si>
  <si>
    <t>Kennisdeling</t>
  </si>
  <si>
    <t>Neemt actief kennis op uit de DiP organisatie.</t>
  </si>
  <si>
    <t>Neemt kennis op uit de DiP organisatie en deelt actief eigen ervaringen met collega's.</t>
  </si>
  <si>
    <t>Deelt, naast bovengenoemde, actief eigen ervaringen en kennis in DiP meet-ups, peergroups en het geven van trainingen, etc. Draagt kennis eveneens extern uit in meet-ups, conferenties, trainingen, blogs, inspiratiesessies, etc.</t>
  </si>
  <si>
    <t>Is naast bovengenoemde activiteiten, door verworven kennis en ervaring een vraagbaak voor consultants in zijn/ haar specialisme. En draagt bij aan de teamspirit.</t>
  </si>
  <si>
    <t>Draagt, naast bovengenoemde activiteiten, eveneens de verantwoordelijkheid over het niveau van kennisdeling. Zorgt ervoor dat kennisdeling op peil blijft qua inhoud en frequentie.</t>
  </si>
  <si>
    <t>Coaching &amp; begeleiding</t>
  </si>
  <si>
    <t>Heeft nooit (in)formeel coaching of begeleiding gegeven op professioneel gebied</t>
  </si>
  <si>
    <t>Heeft één of meerdere trainingen/ cursussen gevolgd over coachen en/ of begeleiden op professioneel gebied.</t>
  </si>
  <si>
    <t>Heeft (binnen DiP) één of meerdere collega's informeel gecoached en/ of begeleidt op professioneel gebied.</t>
  </si>
  <si>
    <t>Begeleidt (binnen DiP) formeel één of meerdere junior/ medior consultants op professioneel gebied in hun ontwikkeling.</t>
  </si>
  <si>
    <t>Begeleidt (binnen DiP) formeel meer dan 4 jaar één of meerdere junior/ medior/ senior consultants op professioeel gebied in hun ontwikkeling.</t>
  </si>
  <si>
    <t>Competentiegebied: Data Science domein competenties</t>
  </si>
  <si>
    <t>Datakwaliteit</t>
  </si>
  <si>
    <t>Begrijpt data kwaliteit en herkent problemen hierin</t>
  </si>
  <si>
    <t>Kan dmv data analyse kwaliteitsissues opsporen en communiceren aan andere data medewerkers</t>
  </si>
  <si>
    <t>Kan dmv data analyse kwaliteitsissues opsporen en oplossen binnen de eigen scope (kwaliteits risk assessment en mitigation) en deze issues communiceren aan niet data medewerkers</t>
  </si>
  <si>
    <t xml:space="preserve">Kan data kwaliteitsissues agenderen buiten eigen afdeling </t>
  </si>
  <si>
    <t>Kan oplossingen initiëren en draagvlak creeren binnen de organisatie</t>
  </si>
  <si>
    <t>Data exploratie</t>
  </si>
  <si>
    <t>Kan de kenmerken van een gestructureerde dataset beschrijven, variabelen herkennen, en belangrijke kenmerken van individuele variabelen inzichtelijk maken (uitvoeren)</t>
  </si>
  <si>
    <t>Kan gestructureerde data uit verschillende bronnen combineren en d.m.v. analyse (cor)relaties tussen variabelen in een dataset blootleggen, bijvoorbeeld bivariate analyse (uitvoeren)</t>
  </si>
  <si>
    <t>Kan ook d.m.v. data exploratie de business vraag scherp stellen en, indien nodig, bijstellen. Kan een geschikte techniek aan een vraagstuk koppelen en maakt zich nieuwe technieken eigen wanneer nodig (bijvoorbeeld feature engineering, PCA, clustering) (uitvoeren en adviseren)</t>
  </si>
  <si>
    <t>Kan daarnaast potentiele businesswaarde van data binnen organisatie inschatten en ziet welke bestaande (ook ongestructureerde) databronnen nog aangeboord kunnen worden (adviseren)</t>
  </si>
  <si>
    <t>Kan bepalen welke nieuwe data er nog verzameld moet worden om organisatie doelen te behalen. Handelt niet vanuit de vraag, kan op eigen initiatief data acquisitie in gang zetten (adviseren)</t>
  </si>
  <si>
    <t>Analyse &amp; visualisatie</t>
  </si>
  <si>
    <t>Kan een dataset omschrijven en belangrijkste trends visualiseren voor data experts.</t>
  </si>
  <si>
    <t xml:space="preserve">Kan een dataset analyseren binnen een benoemde context/project en kan daarbij ondersteunende visualisaties gebruiken. De doelgroep zijn directe collega's, mede-experts. </t>
  </si>
  <si>
    <t xml:space="preserve">Kan een analyse van hoge kwaliteit en waarde doen op een dataset en daarbij ook verbanden leggen met de bredere context. Maakt doeltreffend gebruik van visualisaties ter ondersteuning van de analyse. Kan dit presenteren aan collega's die niet data-expert zijn, maar wel affiniteit met data hebben. </t>
  </si>
  <si>
    <t>Kan een analyse zodanig visualiseren en verwoorden dat stakeholders (op elk niveau, met en zonder kennis van data) actie kunnen ondernemen op de uitkomsten.</t>
  </si>
  <si>
    <t>Maakt doeltreffend gebruikt van vertaling en visualisatie van analyses om de doelen van een organisatie te ondersteunen en stakeholders aan te sporen tot actie.</t>
  </si>
  <si>
    <t>Modelleren (kennis van en werken met)</t>
  </si>
  <si>
    <t>Heeft nog geen specifieke kennis van ds modellen nodig, maar weet wel wat (ds) modellen zijn</t>
  </si>
  <si>
    <t>Heeft basiskennis van (een aantal) gangbare data science modellen, weet wanneer welk model toegepast kan worden, en weet hoe performance van (simpele) modellen beoordeeld kan worden</t>
  </si>
  <si>
    <t xml:space="preserve">Heeft gedegen kennis van de meest gangbare modellen, en kan de waarde van modellen voor de business herkennen en overbrengen </t>
  </si>
  <si>
    <t>Heeft ook kennis van complexere modellen, en kan kansen zien en projecten initieren binnen organisatie</t>
  </si>
  <si>
    <t>Is hiernaast in staat om op first-principles basis systemen uit de werkelijkheid te beschrijven in wiskunde</t>
  </si>
  <si>
    <t>Statistiek &amp; wiskunde</t>
  </si>
  <si>
    <t>Basiskennis van statistiek en wiskunde</t>
  </si>
  <si>
    <t>Kan hypotheses stellen en toetsen uit data</t>
  </si>
  <si>
    <t>Begrijpt de wiskundige achtergronden van de standaard modellen die hij/zij gebruikt grondig</t>
  </si>
  <si>
    <t>Toepasbare kennis van calculus, differentiaalvergelijkingen, en lineaire algebra</t>
  </si>
  <si>
    <t>Heeft hiernaast brede (en/of diepe) kennis van data science modellen en hun fundamentele wiskundige grondslag</t>
  </si>
  <si>
    <t>Domeinkennis (DS) en business-specifieke domeinkennis (toepassingsgebied)</t>
  </si>
  <si>
    <t>Heeft geen kennis van het ds domein</t>
  </si>
  <si>
    <t>Heeft algemene domeinkennis op ds vlak: weet wat ds is, welke rol het speelt binnnen organisatie, en hoe ds zich verhoudt tot analytics en engineering</t>
  </si>
  <si>
    <t>Heeft gedegen kennis van het ds domein: weet waar het vakgebied zich heen ontwikkelt, heeft basale business specifieke domeinkennis</t>
  </si>
  <si>
    <t>Heeft business specifieke kennis op een of meer toepassingsgebieden (bijv. marketing, verzekeringen, predictive maintenance, etc.)</t>
  </si>
  <si>
    <t>Heeft onderscheidende business specifieke kennis op een of meer toepassingsgebieden, kan intern en extern het voortouw nemen op het (toepassings)vakgebied</t>
  </si>
  <si>
    <t>Deployment</t>
  </si>
  <si>
    <t>Geen specifieke kennis</t>
  </si>
  <si>
    <t>Kan communiceren wat een ontwikkeld model nodig heeft aan data, zowel van te voren (wat is er beschikbaar) als naderhand (uitleggen aan een engineer)</t>
  </si>
  <si>
    <t>Kan meedenken met deployment requirements, en samen met engineer oplossingen ontwerpen voor het deployen van een eigen ontwikkeld model</t>
  </si>
  <si>
    <t>Kan brede deployment requirements formuleren, en samen met engineers een deployment strategie / architectuur ontwikkelen voor een data science afdeling</t>
  </si>
  <si>
    <t>Kan ook specifieke cutting edge deployments bedenken en mede ontwerpen met engineers. Denk hierbij aan gespecialiseerde programmeertalen of (cloud) tools, of bijzondere (performance of juridische) requirements.</t>
  </si>
  <si>
    <t>Ethiek, wetgeving</t>
  </si>
  <si>
    <t>Handelt vanuit moreel kompas.</t>
  </si>
  <si>
    <t>Heeft basiskennis van de AVG en is zich bewust van ethische vragen omtrent werken met data. Kan een link leggen tussen de basis(beginselen) de avg en eigen werkzaamheden.</t>
  </si>
  <si>
    <t>Kan een verband leggen tussen ethiek, de avg en een project en kan dit verband uitleggen aan collega's in een projectteam.</t>
  </si>
  <si>
    <t xml:space="preserve">Kan een project analyseren vanuit principes uit de ethiek en de avg en de implicaties daarvan presenteren aan verschillende stakeholders zodat zij hier actie op kunnen ondernemen. Maakt keuzes in werkzaamheden (wel of niet uitvoeren) op basis van ethiek en de AVG. </t>
  </si>
  <si>
    <t xml:space="preserve">Geeft (on)gevraagd advies aan organisaties en hun stakeholders over ethiek en de AVG. Is een moreel kompas voor de organisatie, inspireert anderen om zo ook te werken. </t>
  </si>
  <si>
    <t>Competentiegebied: Data Science Hardskills</t>
  </si>
  <si>
    <t>Programmeren</t>
  </si>
  <si>
    <t>Kent de basisbeginselen programmeertalen zoals Python (jupyter notebook) of R (rstudio). SQL of HTML tellen niet mee.</t>
  </si>
  <si>
    <t>Kent Python of R of equivalenten voldoende goed dat hij/zij er data acquisitie, exploratie en modelleren erin kan bouwen.</t>
  </si>
  <si>
    <t>Kent zijn/haar primaire programmeertaal erg goed (inclusief de omgevingen buiten bijvoorbeeld Jupyter Notebooks en Rstudio), en een secundaire programmeertaal op junior niveau.</t>
  </si>
  <si>
    <t>Kan in zijn/haar primaire programmeertaal bijdragen aan de ontwikkeling ervan, custom packages/libraries opzetten, en intern als expert op het gebied ervan gezien worden.</t>
  </si>
  <si>
    <t>Wordt in zijn/haar primaire programmeertaal door interne en externe peers gezien als belangrijke contributer.</t>
  </si>
  <si>
    <t>Engineering</t>
  </si>
  <si>
    <t xml:space="preserve">Kan zijn/haar data science programmatuur opzetten volgens bekende best practices </t>
  </si>
  <si>
    <t>Kan zijn/haar data science programmatuur verbeteren door selectief af te wijken van best practices en verbeteringen in die best practices aandragen indien opportuun (beter onderhoudbare code, performance tunen, data ontkoppelingen, etc.)</t>
  </si>
  <si>
    <t>Kan buiten de scope van de eigen afdeling meedenken over en werken aan engineering oplossingen met betrekking tot data science</t>
  </si>
  <si>
    <t>Kan generiek meedenken en meewerken aan engineering oplossingen in het data science vakgebied</t>
  </si>
  <si>
    <t>Machine learning (ontwikkelen en bouwen)</t>
  </si>
  <si>
    <t>Kent in zijn/haar primaire data science tool de basis pakketten voor data frames (bijv. pandas, numpy, data.frame)</t>
  </si>
  <si>
    <t>Kan enkele eenvoudige machine learning algoritmes opzetten (bv logistische regressie, decision trees, random forest, xgboost, arima) en volgens een valide train/test/dev setup uitspraken doen over performance in de praktijk.</t>
  </si>
  <si>
    <t>Kan middels hyperparameter tuning machine learning algoritmes tunen, en met ingewikkeldere evaluaties aan de slag. Kan bovendien het grootste deel van de vaak gebruikte modellen correct opzetten</t>
  </si>
  <si>
    <t>Kan met deep learning aan de slag in een van de DL frameworks. Kennis van een van de specifiekere typen deep learning netwerken (RNN, CNN) en hergebruik bestaande netwerken middels transfer learning</t>
  </si>
  <si>
    <t>Kan met specifieke, custom tailored, machine learning methodieken aan de slag, bijvoorbeeld in deep learning</t>
  </si>
  <si>
    <t>Competentiegebied: Basis consultancy competenties</t>
  </si>
  <si>
    <t>Adviseren</t>
  </si>
  <si>
    <t>Geeft advies over vragen vanuit de directe business (stakeholders). Veelal op operationeel gebied.</t>
  </si>
  <si>
    <t>Geeft naast bovengenoemde competenties, pro-actief advies over aanverwante analyses en inzichten. Is in staat inzichten te bezien vanuit andere perspectieven dan de eigen business (stakeholders) en betrekt deze in het proces.</t>
  </si>
  <si>
    <t>Geeft naast bovengenoemde competenties, advies met een organisatie brede impact.</t>
  </si>
  <si>
    <t>Geeft naast bovengenoemde competenties, advies op management- en/ of organisatieniveau.</t>
  </si>
  <si>
    <t>Doortastend &amp; probleemoplossend</t>
  </si>
  <si>
    <t>Heeft een nieuwsgierige en pragmatische mindset.</t>
  </si>
  <si>
    <t>In staat binnen je afdeling/ project kritische vragen te stellen. In staat tot een passende oplossing te komen voor de eigen business (stakeholders).</t>
  </si>
  <si>
    <t>Naast bovengenoemde competenties in staat om tot de kern van het probleem te komen met een afdelings- en/ of opdrachtoverstijgende impact. In staat dit te adresseren en tot een oplossing te komen die breder gedragen wordt.</t>
  </si>
  <si>
    <t>Naast bovengenoemde competenties in staat tot de kern van het probleem te komen met een organisatie brede impact.</t>
  </si>
  <si>
    <t>Naast bovengenoemde competenties in staat tot de kern van het probleem te komen met een organisatie brede impact. In staat dit te adresseren en tot een oplossing te komen die orgaisatiebreed gedragen wordt.</t>
  </si>
  <si>
    <t>Interpersoonlijk communicatie</t>
  </si>
  <si>
    <t>Heeft een toegankelijke houding.</t>
  </si>
  <si>
    <t>Heeft een zichtbare en toegankelijke houding. Kan goed luisteren en terugkoppelen en kan zich goed in anderen verplaatsen.</t>
  </si>
  <si>
    <t>Stelt zich naast bovengenoemde competenties assertief op en hanteert een gezonde belans tussen meebewegen met de klant en het bewaken van de eigen grenzen.</t>
  </si>
  <si>
    <t>Bevorderd, naast bovengenoemde competenties, actief de onderlinge communicatie tussen jezelf en je opdrachtgever(s). En daarbij ook met de team(s) en afdeling(en) waarmee word samengewerkt.</t>
  </si>
  <si>
    <t>Reikt, naast bovengenoemde competenties, actief handvatten en middelen aan om de onderlinge communicatie tussen teams en afdelingen vorm te geven en te bevorderen.</t>
  </si>
  <si>
    <t>Verwachtingsmanagement</t>
  </si>
  <si>
    <t>Toetst verwachtingen die worden gesteld aan zijn/ haar werk; manier van werken, scope, doel, tijdslijnen, inhoud, etc.</t>
  </si>
  <si>
    <t>Inventariseert naast bovengenoemde, de achterliggende belangen. Neemt deze informatie mee bij het stellen van prioriteiten en communiceert deze pro-actief.</t>
  </si>
  <si>
    <t>Benoemt en bespreekt verwachtingen vanuit persoonlijke titel en/ of DiP belangen en neemt hierin het iniatief bij het vaststellen van samenwerking, scope, prioriteiten, doel, tijdslijnen, inhoud, etc.</t>
  </si>
  <si>
    <t>Stelt verwachtingen en stuurt er actief op aan dat belangen en verwachtingen van alle betrokkenen uitgesproken en zo ver als mogelijka afgestemt worden.</t>
  </si>
  <si>
    <t>Schriftelijke en mondelinge communicatie (presentatie, voorstel, resultaat, advies)</t>
  </si>
  <si>
    <t>Spreekt én schrijft begrijpelijk en correct Nederlands en Engels voor een zakelijke doelgroep. Is goed verstaanbaar in zowel volume als uitspraak.</t>
  </si>
  <si>
    <t>Stemt, naast bovengenoemde competenties, de spreek- en/ of schrijfstijl af op het beoogd doel of de doelgroep. Is daarin helder en to-the-point uit, zodat de boodschap goed begrepen wordt. Toetst of de boodschap op een juiste wijze is overgekomen.</t>
  </si>
  <si>
    <t>Is naast bovengenoemde competenties in staat complexe onderwerpen begrijpelijk te maken voor anderen en stelt daarin een samenwerkende houding aan de dag.</t>
  </si>
  <si>
    <t>Past naast bovengenoemde competenties situationele communicatie toe. Je geeft impliciete sturing aan de uitkomst van de mondelinge transactie (presentatie, bila, gesprek, advies, etc.)</t>
  </si>
  <si>
    <t>Past naast bovengenoemde competenties, situationeel leiderschap toe waarin impliciete sturing overgaat naar expliciete sturing. Ofwel leiderschap.</t>
  </si>
  <si>
    <t>Competentiegebied: Business competenties</t>
  </si>
  <si>
    <t>Organisatie- en managementidentificatie</t>
  </si>
  <si>
    <t>Heeft geen/ weinig kennis van de organisatiestructuur bij een klant.</t>
  </si>
  <si>
    <t>Heeft kennis van de organisatiestructuur bij een klant.</t>
  </si>
  <si>
    <t>Heeft gevoel voor verhoudingen binnen de organisatie. Onderkent belangen van stakeholders.</t>
  </si>
  <si>
    <t>Heeft gevoel voor verhoudingen binnen de organisatie. Onderkent belangen van stakeholders en overziet conquenties van aanpak en legt verbanden met andere stakeholders en/ of vraagstukken.</t>
  </si>
  <si>
    <t>Wordt als Business Analist ingezet</t>
  </si>
  <si>
    <t>Strategische conceptualisatie</t>
  </si>
  <si>
    <t>Is in staat operationele strategie en doelen te herkennen</t>
  </si>
  <si>
    <t>Is in staat operationele strategie en doelen aan elkaar te verbinden en te conceptualiseren</t>
  </si>
  <si>
    <t>Is in staat strategie en doelen van management- en operatie aan elkaar te verbinden en te conceptualiseren</t>
  </si>
  <si>
    <t>Is in staat strategie en doelen van directie-, management - en operatie aan elkaar te verbinden en te conceptualiseren</t>
  </si>
  <si>
    <t>Wordt als Strateeg ingezet</t>
  </si>
  <si>
    <t>Projectmanagement</t>
  </si>
  <si>
    <t>Heeft opdrachtgever en/ of stakeholders op de hoogte gehouden van voortgang op de eigen opdracht- of projectplanning</t>
  </si>
  <si>
    <t>Heeft opdrachtgever én stakeholders op de hoogte gehouden van voortgang op de project- of opdrachtplanning</t>
  </si>
  <si>
    <t>Heeft één of meerdere projecten gemanaged, zonder hierbij gebruik te maken van een methodische aanpak</t>
  </si>
  <si>
    <t>Heeft één of meerdere projecten gemanaged a.d.h.v. projectmanagement methodes als (Agile, Scrum, Kanban, Lean, Six Sigma, Prince2, etc.)</t>
  </si>
  <si>
    <t>Wordt als Projectmanager/ Productowner ingezet</t>
  </si>
  <si>
    <t>Verandermanagement (richting datagedreven werken)</t>
  </si>
  <si>
    <t>Heeft nog nooit een verandertraject richting datagedreven werken meegemaakt</t>
  </si>
  <si>
    <t>Heeft een actief meewerkende rol gespeeld bij één of meerdere verandertrajecten richting datagedreven werken</t>
  </si>
  <si>
    <t>Heeft één of meerdere verandertrajecten geleidt richting datagedreven werken, zonder hierbij gebruik te maken van een methodische aanpak</t>
  </si>
  <si>
    <t>Heeft één of meerdere verandertrajecten geleidt richting datagedreven werken en hierbij gebruik gemaakt van een methodische aanpak</t>
  </si>
  <si>
    <t>Wordt als Verandermanager ingezet</t>
  </si>
  <si>
    <t>Leidinggeven</t>
  </si>
  <si>
    <t>Heeft nooit (in)formeel leiding gegeven op het gebied van data</t>
  </si>
  <si>
    <t>Heeft meegewerkt aan opdrachten en/ of projecten op het gebied van data</t>
  </si>
  <si>
    <t>Herkent strategische kansen op het gebied van data en heeft hierin  actief meegewerkt als adviseur</t>
  </si>
  <si>
    <t>Toont leiderschap en heeft bij een of meerdere opdrachten als drijvende kracht achter strategische keuzes op het gebied van data geacteert</t>
  </si>
  <si>
    <t>Heeft vanuit een leidinggevende positie bij een of meerdere opdrachten als drijvende kracht achter strategische keuzes op het gebied van data geacteert</t>
  </si>
  <si>
    <t>Competentiegebied: Expert consultancy competenties</t>
  </si>
  <si>
    <t>Situationele communicatie</t>
  </si>
  <si>
    <t>Hanteert een communicatiestijl die het dichtste bij de eigen persoon past.</t>
  </si>
  <si>
    <t>Is zich bewust van de eigen communicatiestijl en het effect op gesprekspartners.</t>
  </si>
  <si>
    <t xml:space="preserve">Heeft naast bovengenoemde, kennis van de verschillende situaties en bijbehorende communicatiestijlen en gebruikt deze kennis actief omde eigen communicatie op af te stemmen. </t>
  </si>
  <si>
    <t>Gebruikt naast bovengenoemde de situationele communicatie, situationeel leiderschap om sturing aan te brengen..</t>
  </si>
  <si>
    <t>Gebruikt naast bovengenoemde , situationeel leiderschap bij het leidinggeven.</t>
  </si>
  <si>
    <t>Doelgerichte &amp; effectieve communicatie</t>
  </si>
  <si>
    <t>-</t>
  </si>
  <si>
    <t>Communiceert op gestructureerde wijze en vermijd vakjargon.</t>
  </si>
  <si>
    <t>Communiceert naast bovengenoemde op doelgerichte wijze, zodat vooraf en/ of snel voor (alle) gesprekspartners en/ of deelnemers binnen het project duidelijk is waar het over gaat en wat daarin van hen verwacht wordt.</t>
  </si>
  <si>
    <t xml:space="preserve">Gebruikt bovengenoemde competenties op afdelingsoverstijgend niveau. Weet daarin gesprekspartners in het beoogde doel mee te nemen d.m.v. pakkende voorbeelden, prikkelende stellingen en het schetsen van (implicatie) scenario's. </t>
  </si>
  <si>
    <t>Gebruikt bovengenoemde competenties op organisatie niveau.</t>
  </si>
  <si>
    <t>Besluitvaardigheid</t>
  </si>
  <si>
    <t>Zelfstandig, weloverwogen beslissingen genomen en daar verantwoording voor gedragen.</t>
  </si>
  <si>
    <t>Naast bovengenoemde, beslissingen genomen die moed en durf benodigde vanwege de moeilijke aard van de beslissing, binnen je project- of opdracht.</t>
  </si>
  <si>
    <t>Naast bovengenoemde setting, moeilijke beslissingen moeten nemen die project- of opdrachtoverstijgende impact hebben gehad.</t>
  </si>
  <si>
    <t>Naast bovengenoemde setting, moeilijke beslissingen moeten nemen die afdelingsoverstijgende impact hebben gehad.</t>
  </si>
  <si>
    <t>Naast bovengenoemde setting, moeilijke beslissingen moeten nemen die organisatiebrede impact hebben gehad.</t>
  </si>
  <si>
    <t>Overtuigen &amp; beinvloeden</t>
  </si>
  <si>
    <t>Heeft vertrouwen in eigen kunde en beoordelingsvermogen bij het uiteenzetten van bevindingen en adviezen.</t>
  </si>
  <si>
    <t>Acteert naast bovengenoemde competenties, met zelfvertrouwen bij het uiteenzetten van de (eigen) standpunten en adviezen. Luistert en zoekt aansluiting om een win-win situatie te creëeren.</t>
  </si>
  <si>
    <t>Maakt naast bovengenoemde competenties, bij het overtuigen en beinvloeden actief gebruik van prikkelende stellingen en illustraties om stellingname te bevorderen. Is in staat communicatie- en gedragsstijlen te herkennen en de eigen communicatie- en/ of gedragsstijl daarop aan te passen.</t>
  </si>
  <si>
    <t>Maakt van bovengenoemde competenties gebruik om effectief richting en leiding te geven in een bredere setting (team, afdeling, organisatie, etc.)</t>
  </si>
  <si>
    <t>Opbouwende (negatieve) feedback &amp; slecht nieuws gesprekken</t>
  </si>
  <si>
    <t>Heeft, indien gevraagd, opbouwende feedback gegeven.</t>
  </si>
  <si>
    <t>Heeft, naast bovengenoemde, ongevraagd opbouwende feedback gegeven bij een gelijke machtsverhouding (peers/ consultants).</t>
  </si>
  <si>
    <t>Heeft, naast bovengenoemde, ongevraagd opbouwende feedback gegeven in een ongelijke machtsverhouding (leidinggevende/ opdrachtgever) en deze om weten te buigen naar een toekomstbestendige situatie en/ of relatie.</t>
  </si>
  <si>
    <t>Heeft, naast bovengenoemde, slecht nieuws gesprek gevoerd vanuit de begeleidend consultant/ leidinggevende rol, daarin stellingname moeten nemen en om moeten buigen naar een toekomstbestendige situatie.</t>
  </si>
  <si>
    <t>Heeft, naast bovengenoemde, slecht nieuws gesprek gevoerd vanuit de begeleidend consultant/ leidinggevende rol, daarin stellingname moeten nemen en een negatieve beslissing moeten nemen.</t>
  </si>
  <si>
    <t>Digital Power Basic Skills</t>
  </si>
  <si>
    <t>Domein kennis</t>
  </si>
  <si>
    <t>Hardskills</t>
  </si>
  <si>
    <t>Basic Consultancy Skills</t>
  </si>
  <si>
    <t>Business Skills</t>
  </si>
  <si>
    <t>Expert Consultancy Skills</t>
  </si>
  <si>
    <t>Modelleren</t>
  </si>
  <si>
    <t>Domeinkennis</t>
  </si>
  <si>
    <t>Ethiek &amp; wetgeving</t>
  </si>
  <si>
    <t>Machine learning</t>
  </si>
  <si>
    <t>Verwachtings-management</t>
  </si>
  <si>
    <t>Schriftelijke en mondelinge communicatie</t>
  </si>
  <si>
    <t>Organisatie- en management-identificatie</t>
  </si>
  <si>
    <t>Verander-management</t>
  </si>
  <si>
    <t>Opbouwende feedback &amp; slecht nieuws gesprekken</t>
  </si>
  <si>
    <t>ID</t>
  </si>
  <si>
    <t>Naam</t>
  </si>
  <si>
    <t>Functie</t>
  </si>
  <si>
    <t>Specialisme</t>
  </si>
  <si>
    <t>Huidig</t>
  </si>
  <si>
    <t>Jijzelf (verplicht)</t>
  </si>
  <si>
    <t>Feedback gever 1 (optioneel)</t>
  </si>
  <si>
    <t>Feedback gever 2 (optioneel)</t>
  </si>
  <si>
    <t>Ambitie</t>
  </si>
  <si>
    <t>Score op huidig situatie</t>
  </si>
  <si>
    <t>Totaal Gem</t>
  </si>
  <si>
    <t>Score op ambitie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</si>
</sst>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2">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8"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6"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wrapText="1"/>
    </xf>
    <xf numFmtId="0" fontId="5" fillId="0" borderId="0" xfId="0" applyFont="1" applyAlignment="1">
      <alignment horizontal="center" vertical="center" wrapText="1"/>
    </xf>
    <xf numFmtId="0" fontId="9"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4" fillId="4" borderId="1" xfId="0" applyFont="1" applyFill="1" applyBorder="1" applyAlignment="1">
      <alignment vertical="center" wrapText="1"/>
    </xf>
    <xf numFmtId="0" fontId="13" fillId="2" borderId="1" xfId="0" applyFont="1" applyFill="1" applyBorder="1" applyAlignment="1">
      <alignment vertical="center" wrapText="1"/>
    </xf>
    <xf numFmtId="0" fontId="9" fillId="7" borderId="1" xfId="0" applyFont="1" applyFill="1" applyBorder="1" applyAlignment="1">
      <alignment vertical="center" wrapText="1"/>
    </xf>
    <xf numFmtId="0" fontId="7" fillId="0" borderId="0" xfId="0" applyFont="1" applyAlignment="1">
      <alignment vertical="center"/>
    </xf>
    <xf numFmtId="0" fontId="12" fillId="0" borderId="0" xfId="0" applyFont="1" applyAlignment="1">
      <alignment vertical="center" wrapText="1"/>
    </xf>
    <xf numFmtId="0" fontId="4" fillId="4"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1" xfId="0" quotePrefix="1" applyBorder="1" applyAlignment="1">
      <alignment vertical="center" wrapText="1"/>
    </xf>
    <xf numFmtId="0" fontId="14" fillId="2" borderId="1" xfId="0" applyFont="1" applyFill="1" applyBorder="1" applyAlignment="1">
      <alignment vertical="center" wrapText="1"/>
    </xf>
    <xf numFmtId="0" fontId="10" fillId="4" borderId="1" xfId="0" applyFont="1" applyFill="1" applyBorder="1" applyAlignment="1">
      <alignment vertical="center" wrapText="1"/>
    </xf>
    <xf numFmtId="0" fontId="11" fillId="7" borderId="1" xfId="0" applyFont="1" applyFill="1" applyBorder="1" applyAlignment="1">
      <alignment vertical="center" wrapText="1"/>
    </xf>
    <xf numFmtId="0" fontId="10" fillId="8" borderId="1" xfId="0" applyFont="1" applyFill="1" applyBorder="1" applyAlignment="1">
      <alignment vertical="center" wrapText="1"/>
    </xf>
    <xf numFmtId="0" fontId="10" fillId="9" borderId="1" xfId="0" applyFont="1" applyFill="1" applyBorder="1" applyAlignment="1">
      <alignment vertical="center" wrapText="1"/>
    </xf>
    <xf numFmtId="0" fontId="10" fillId="10" borderId="1" xfId="0" applyFont="1" applyFill="1" applyBorder="1" applyAlignment="1">
      <alignment vertical="center" wrapText="1"/>
    </xf>
    <xf numFmtId="0" fontId="11" fillId="11" borderId="1" xfId="0" applyFont="1" applyFill="1" applyBorder="1" applyAlignment="1">
      <alignment vertical="center" wrapText="1"/>
    </xf>
    <xf numFmtId="0" fontId="0" fillId="0" borderId="1" xfId="0" applyBorder="1" applyAlignment="1">
      <alignment wrapText="1"/>
    </xf>
    <xf numFmtId="0" fontId="0" fillId="0" borderId="1" xfId="0" applyBorder="1" applyAlignment="1">
      <alignment vertical="top" wrapText="1"/>
    </xf>
    <xf numFmtId="0" fontId="0" fillId="0" borderId="3" xfId="0" applyBorder="1" applyAlignment="1">
      <alignment horizontal="center" textRotation="90" wrapText="1"/>
    </xf>
    <xf numFmtId="0" fontId="0" fillId="0" borderId="3" xfId="0" applyBorder="1" applyAlignment="1">
      <alignment horizontal="center"/>
    </xf>
    <xf numFmtId="164" fontId="0" fillId="6" borderId="28" xfId="1" applyNumberFormat="1" applyFont="1" applyFill="1" applyBorder="1" applyAlignment="1">
      <alignment horizontal="center" wrapText="1"/>
    </xf>
    <xf numFmtId="0" fontId="0" fillId="6" borderId="36" xfId="0" applyFill="1" applyBorder="1" applyAlignment="1">
      <alignment horizontal="center" textRotation="90" wrapText="1"/>
    </xf>
    <xf numFmtId="0" fontId="0" fillId="6" borderId="37" xfId="0" applyFill="1" applyBorder="1" applyAlignment="1">
      <alignment horizontal="center" textRotation="90" wrapText="1"/>
    </xf>
    <xf numFmtId="0" fontId="0" fillId="6" borderId="37" xfId="0" applyFill="1" applyBorder="1" applyAlignment="1">
      <alignment horizontal="center" wrapText="1"/>
    </xf>
    <xf numFmtId="0" fontId="15" fillId="0" borderId="1" xfId="0" applyFont="1" applyBorder="1" applyAlignment="1">
      <alignment horizontal="center" vertical="center" wrapText="1"/>
    </xf>
    <xf numFmtId="0" fontId="14" fillId="2" borderId="2"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6" fillId="0" borderId="38" xfId="0" quotePrefix="1" applyFont="1" applyBorder="1" applyAlignment="1">
      <alignment horizontal="left" vertical="top" wrapText="1"/>
    </xf>
    <xf numFmtId="0" fontId="6" fillId="0" borderId="35" xfId="0" quotePrefix="1" applyFont="1" applyBorder="1" applyAlignment="1">
      <alignment horizontal="left" vertical="top" wrapText="1"/>
    </xf>
    <xf numFmtId="0" fontId="6" fillId="0" borderId="39" xfId="0" quotePrefix="1" applyFont="1" applyBorder="1" applyAlignment="1">
      <alignment horizontal="left" vertical="top" wrapText="1"/>
    </xf>
    <xf numFmtId="0" fontId="6" fillId="0" borderId="40" xfId="0" quotePrefix="1" applyFont="1" applyBorder="1" applyAlignment="1">
      <alignment horizontal="left" vertical="top" wrapText="1"/>
    </xf>
    <xf numFmtId="0" fontId="6" fillId="0" borderId="0" xfId="0" quotePrefix="1" applyFont="1" applyAlignment="1">
      <alignment horizontal="left" vertical="top" wrapText="1"/>
    </xf>
    <xf numFmtId="0" fontId="6" fillId="0" borderId="41" xfId="0" quotePrefix="1" applyFont="1" applyBorder="1" applyAlignment="1">
      <alignment horizontal="left" vertical="top" wrapText="1"/>
    </xf>
    <xf numFmtId="0" fontId="6" fillId="0" borderId="42" xfId="0" quotePrefix="1" applyFont="1" applyBorder="1" applyAlignment="1">
      <alignment horizontal="left" vertical="top" wrapText="1"/>
    </xf>
    <xf numFmtId="0" fontId="6" fillId="0" borderId="43" xfId="0" quotePrefix="1" applyFont="1" applyBorder="1" applyAlignment="1">
      <alignment horizontal="left" vertical="top" wrapText="1"/>
    </xf>
    <xf numFmtId="0" fontId="6" fillId="0" borderId="44" xfId="0" quotePrefix="1" applyFont="1" applyBorder="1" applyAlignment="1">
      <alignment horizontal="left" vertical="top" wrapText="1"/>
    </xf>
  </cellXfs>
  <cellStyles count="2">
    <cellStyle name="Procent" xfId="1" builtinId="5"/>
    <cellStyle name="Standaard" xfId="0" builtinId="0"/>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Huidige</a:t>
            </a:r>
            <a:r>
              <a:rPr lang="en-US" baseline="0"/>
              <a:t> skills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BEWERKEN!!)'!$B$1,'Uitwerking (NIET BEWERKEN!!)'!$H$1,'Uitwerking (NIET BEWERKEN!!)'!$M$1,'Uitwerking (NIET BEWERKEN!!)'!$S$1,'Uitwerking (NIET BEWERKEN!!)'!$X$1,'Uitwerking (NIET BEWERKEN!!)'!$AC$1)</c:f>
              <c:strCache>
                <c:ptCount val="6"/>
                <c:pt idx="0">
                  <c:v>Digital Power Basic Skills</c:v>
                </c:pt>
                <c:pt idx="1">
                  <c:v>Domein kennis</c:v>
                </c:pt>
                <c:pt idx="2">
                  <c:v>Domein kennis</c:v>
                </c:pt>
                <c:pt idx="3">
                  <c:v>Basic Consultancy Skills</c:v>
                </c:pt>
                <c:pt idx="4">
                  <c:v>Business Skills</c:v>
                </c:pt>
                <c:pt idx="5">
                  <c:v>Expert Consultancy Skills</c:v>
                </c:pt>
              </c:strCache>
            </c:strRef>
          </c:cat>
          <c:val>
            <c:numRef>
              <c:f>('Uitwerking (NIET BEWERKEN!!)'!$G$5,'Uitwerking (NIET BEWERKEN!!)'!$O$5,'Uitwerking (NIET BEWERKEN!!)'!$R$5,'Uitwerking (NIET BEWERKEN!!)'!$W$5,'Uitwerking (NIET BEWERKEN!!)'!$AB$5,'Uitwerking (NIET BEWERKEN!!)'!$AG$5)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('Uitwerking (NIET BEWERKEN!!)'!$B$1,'Uitwerking (NIET BEWERKEN!!)'!$H$1,'Uitwerking (NIET BEWERKEN!!)'!$M$1,'Uitwerking (NIET BEWERKEN!!)'!$S$1,'Uitwerking (NIET BEWERKEN!!)'!$X$1,'Uitwerking (NIET BEWERKEN!!)'!$AC$1)</c:f>
              <c:strCache>
                <c:ptCount val="6"/>
                <c:pt idx="0">
                  <c:v>Digital Power Basic Skills</c:v>
                </c:pt>
                <c:pt idx="1">
                  <c:v>Domein kennis</c:v>
                </c:pt>
                <c:pt idx="2">
                  <c:v>Domein kennis</c:v>
                </c:pt>
                <c:pt idx="3">
                  <c:v>Basic Consultancy Skills</c:v>
                </c:pt>
                <c:pt idx="4">
                  <c:v>Business Skills</c:v>
                </c:pt>
                <c:pt idx="5">
                  <c:v>Expert Consultancy Skills</c:v>
                </c:pt>
              </c:strCache>
            </c:strRef>
          </c:cat>
          <c:val>
            <c:numRef>
              <c:f>('Uitwerking (NIET BEWERKEN!!)'!$G$8,'Uitwerking (NIET BEWERKEN!!)'!$O$8,'Uitwerking (NIET BEWERKEN!!)'!$R$8,'Uitwerking (NIET BEWERKEN!!)'!$W$8,'Uitwerking (NIET BEWERKEN!!)'!$AB$8,'Uitwerking (NIET BEWERKEN!!)'!$AG$8)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Ambitie</c:v>
          </c:tx>
          <c:spPr>
            <a:ln w="28575" cap="rnd">
              <a:solidFill>
                <a:schemeClr val="accent5"/>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BEWERKEN!!)'!$H$2:$O$2</c:f>
              <c:strCache>
                <c:ptCount val="8"/>
                <c:pt idx="0">
                  <c:v>Datakwaliteit</c:v>
                </c:pt>
                <c:pt idx="1">
                  <c:v>Data exploratie</c:v>
                </c:pt>
                <c:pt idx="2">
                  <c:v>Analyse &amp; visualisatie</c:v>
                </c:pt>
                <c:pt idx="3">
                  <c:v>Modelleren</c:v>
                </c:pt>
                <c:pt idx="4">
                  <c:v>Statistiek &amp; wiskunde</c:v>
                </c:pt>
                <c:pt idx="5">
                  <c:v>Domeinkennis</c:v>
                </c:pt>
                <c:pt idx="6">
                  <c:v>Deployment</c:v>
                </c:pt>
                <c:pt idx="7">
                  <c:v>Ethiek &amp; wetgeving</c:v>
                </c:pt>
              </c:strCache>
            </c:strRef>
          </c:cat>
          <c:val>
            <c:numRef>
              <c:f>'Uitwerking (NIET BEWERKEN!!)'!$H$4:$O$4</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'Uitwerking (NIET BEWERKEN!!)'!$H$2:$O$2</c:f>
              <c:strCache>
                <c:ptCount val="8"/>
                <c:pt idx="0">
                  <c:v>Datakwaliteit</c:v>
                </c:pt>
                <c:pt idx="1">
                  <c:v>Data exploratie</c:v>
                </c:pt>
                <c:pt idx="2">
                  <c:v>Analyse &amp; visualisatie</c:v>
                </c:pt>
                <c:pt idx="3">
                  <c:v>Modelleren</c:v>
                </c:pt>
                <c:pt idx="4">
                  <c:v>Statistiek &amp; wiskunde</c:v>
                </c:pt>
                <c:pt idx="5">
                  <c:v>Domeinkennis</c:v>
                </c:pt>
                <c:pt idx="6">
                  <c:v>Deployment</c:v>
                </c:pt>
                <c:pt idx="7">
                  <c:v>Ethiek &amp; wetgeving</c:v>
                </c:pt>
              </c:strCache>
            </c:strRef>
          </c:cat>
          <c:val>
            <c:numRef>
              <c:f>'Uitwerking (NIET BEWERKEN!!)'!$H$7:$O$7</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extLst>
                <c:ext xmlns:c15="http://schemas.microsoft.com/office/drawing/2012/chart" uri="{02D57815-91ED-43cb-92C2-25804820EDAC}">
                  <c15:fullRef>
                    <c15:sqref>'Uitwerking (NIET BEWERKEN!!)'!$P$2:$R$2</c15:sqref>
                  </c15:fullRef>
                </c:ext>
              </c:extLst>
              <c:f>'Uitwerking (NIET BEWERKEN!!)'!$P$2:$R$2</c:f>
              <c:strCache>
                <c:ptCount val="3"/>
                <c:pt idx="0">
                  <c:v>Programmeren</c:v>
                </c:pt>
                <c:pt idx="1">
                  <c:v>Engineering</c:v>
                </c:pt>
                <c:pt idx="2">
                  <c:v>Machine learning</c:v>
                </c:pt>
              </c:strCache>
            </c:strRef>
          </c:cat>
          <c:val>
            <c:numRef>
              <c:extLst>
                <c:ext xmlns:c15="http://schemas.microsoft.com/office/drawing/2012/chart" uri="{02D57815-91ED-43cb-92C2-25804820EDAC}">
                  <c15:fullRef>
                    <c15:sqref>'Uitwerking (NIET BEWERKEN!!)'!$P$4:$S$4</c15:sqref>
                  </c15:fullRef>
                </c:ext>
              </c:extLst>
              <c:f>'Uitwerking (NIET BEWERKEN!!)'!$P$4:$R$4</c:f>
              <c:numCache>
                <c:formatCode>0.0</c:formatCode>
                <c:ptCount val="3"/>
                <c:pt idx="0">
                  <c:v>0</c:v>
                </c:pt>
                <c:pt idx="1">
                  <c:v>0</c:v>
                </c:pt>
                <c:pt idx="2">
                  <c:v>0</c:v>
                </c:pt>
              </c:numCache>
            </c:numRef>
          </c:val>
          <c:extLst>
            <c:ext xmlns:c16="http://schemas.microsoft.com/office/drawing/2014/chart" uri="{C3380CC4-5D6E-409C-BE32-E72D297353CC}">
              <c16:uniqueId val="{00000000-F4D2-4679-8459-1DD705E21CE1}"/>
            </c:ext>
          </c:extLst>
        </c:ser>
        <c:ser>
          <c:idx val="1"/>
          <c:order val="1"/>
          <c:tx>
            <c:v>Ambitie</c:v>
          </c:tx>
          <c:spPr>
            <a:ln w="28575" cap="rnd">
              <a:solidFill>
                <a:schemeClr val="accent5"/>
              </a:solidFill>
              <a:round/>
            </a:ln>
            <a:effectLst/>
          </c:spPr>
          <c:marker>
            <c:symbol val="none"/>
          </c:marker>
          <c:cat>
            <c:strRef>
              <c:extLst>
                <c:ext xmlns:c15="http://schemas.microsoft.com/office/drawing/2012/chart" uri="{02D57815-91ED-43cb-92C2-25804820EDAC}">
                  <c15:fullRef>
                    <c15:sqref>'Uitwerking (NIET BEWERKEN!!)'!$P$2:$R$2</c15:sqref>
                  </c15:fullRef>
                </c:ext>
              </c:extLst>
              <c:f>'Uitwerking (NIET BEWERKEN!!)'!$P$2:$R$2</c:f>
              <c:strCache>
                <c:ptCount val="3"/>
                <c:pt idx="0">
                  <c:v>Programmeren</c:v>
                </c:pt>
                <c:pt idx="1">
                  <c:v>Engineering</c:v>
                </c:pt>
                <c:pt idx="2">
                  <c:v>Machine learning</c:v>
                </c:pt>
              </c:strCache>
            </c:strRef>
          </c:cat>
          <c:val>
            <c:numRef>
              <c:extLst>
                <c:ext xmlns:c15="http://schemas.microsoft.com/office/drawing/2012/chart" uri="{02D57815-91ED-43cb-92C2-25804820EDAC}">
                  <c15:fullRef>
                    <c15:sqref>'Uitwerking (NIET BEWERKEN!!)'!$P$7:$R$7</c15:sqref>
                  </c15:fullRef>
                </c:ext>
              </c:extLst>
              <c:f>'Uitwerking (NIET BEWERKEN!!)'!$P$7:$R$7</c:f>
              <c:numCache>
                <c:formatCode>0.0</c:formatCode>
                <c:ptCount val="3"/>
                <c:pt idx="0">
                  <c:v>0</c:v>
                </c:pt>
                <c:pt idx="1">
                  <c:v>0</c:v>
                </c:pt>
                <c:pt idx="2">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BEWERKEN!!)'!$S$2:$W$2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BEWERKEN!!)'!$S$4:$W$4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Ambitie</c:v>
          </c:tx>
          <c:spPr>
            <a:ln w="28575" cap="rnd">
              <a:solidFill>
                <a:schemeClr val="accent5"/>
              </a:solidFill>
              <a:round/>
            </a:ln>
            <a:effectLst/>
          </c:spPr>
          <c:marker>
            <c:symbol val="none"/>
          </c:marker>
          <c:cat>
            <c:strRef>
              <c:f>'Uitwerking (NIET BEWERKEN!!)'!$S$2:$W$2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BEWERKEN!!)'!$S$7:$W$7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'Uitwerking (NIET BEWERKEN!!)'!$A$7</c:f>
              <c:strCache>
                <c:ptCount val="1"/>
                <c:pt idx="0">
                  <c:v>Score op ambitie</c:v>
                </c:pt>
              </c:strCache>
            </c:strRef>
          </c:tx>
          <c:spPr>
            <a:solidFill>
              <a:schemeClr val="accent6"/>
            </a:solidFill>
            <a:ln w="25400">
              <a:noFill/>
            </a:ln>
            <a:effectLst/>
          </c:spPr>
          <c:cat>
            <c:strRef>
              <c:f>'Uitwerking (NIET BEWERKEN!!)'!$B$2:$AG$2</c:f>
              <c:strCache>
                <c:ptCount val="32"/>
                <c:pt idx="0">
                  <c:v>Leren &amp; reflecteren</c:v>
                </c:pt>
                <c:pt idx="1">
                  <c:v>Ondersteunen &amp; samenwerken</c:v>
                </c:pt>
                <c:pt idx="2">
                  <c:v>Ondernemen &amp; resultaatgericht</c:v>
                </c:pt>
                <c:pt idx="3">
                  <c:v>Klantgericht</c:v>
                </c:pt>
                <c:pt idx="4">
                  <c:v>Kennisdeling</c:v>
                </c:pt>
                <c:pt idx="5">
                  <c:v>Coaching &amp; begeleiding</c:v>
                </c:pt>
                <c:pt idx="6">
                  <c:v>Datakwaliteit</c:v>
                </c:pt>
                <c:pt idx="7">
                  <c:v>Data exploratie</c:v>
                </c:pt>
                <c:pt idx="8">
                  <c:v>Analyse &amp; visualisatie</c:v>
                </c:pt>
                <c:pt idx="9">
                  <c:v>Modelleren</c:v>
                </c:pt>
                <c:pt idx="10">
                  <c:v>Statistiek &amp; wiskunde</c:v>
                </c:pt>
                <c:pt idx="11">
                  <c:v>Domeinkennis</c:v>
                </c:pt>
                <c:pt idx="12">
                  <c:v>Deployment</c:v>
                </c:pt>
                <c:pt idx="13">
                  <c:v>Ethiek &amp; wetgeving</c:v>
                </c:pt>
                <c:pt idx="14">
                  <c:v>Programmeren</c:v>
                </c:pt>
                <c:pt idx="15">
                  <c:v>Engineering</c:v>
                </c:pt>
                <c:pt idx="16">
                  <c:v>Machine learning</c:v>
                </c:pt>
                <c:pt idx="17">
                  <c:v>Adviseren</c:v>
                </c:pt>
                <c:pt idx="18">
                  <c:v>Doortastend &amp; probleemoplossend</c:v>
                </c:pt>
                <c:pt idx="19">
                  <c:v>Interpersoonlijk communicatie</c:v>
                </c:pt>
                <c:pt idx="20">
                  <c:v>Verwachtings-management</c:v>
                </c:pt>
                <c:pt idx="21">
                  <c:v>Schriftelijke en mondelinge communicatie</c:v>
                </c:pt>
                <c:pt idx="22">
                  <c:v>Organisatie- en management-identificatie</c:v>
                </c:pt>
                <c:pt idx="23">
                  <c:v>Strategische conceptualisatie</c:v>
                </c:pt>
                <c:pt idx="24">
                  <c:v>Projectmanagement</c:v>
                </c:pt>
                <c:pt idx="25">
                  <c:v>Verander-management</c:v>
                </c:pt>
                <c:pt idx="26">
                  <c:v>Leidinggeven</c:v>
                </c:pt>
                <c:pt idx="27">
                  <c:v>Situationele communicatie</c:v>
                </c:pt>
                <c:pt idx="28">
                  <c:v>Doelgerichte &amp; effectieve communicatie</c:v>
                </c:pt>
                <c:pt idx="29">
                  <c:v>Besluitvaardigheid</c:v>
                </c:pt>
                <c:pt idx="30">
                  <c:v>Overtuigen &amp; beinvloeden</c:v>
                </c:pt>
                <c:pt idx="31">
                  <c:v>Opbouwende feedback &amp; slecht nieuws gesprekken</c:v>
                </c:pt>
              </c:strCache>
            </c:strRef>
          </c:cat>
          <c:val>
            <c:numRef>
              <c:f>'Uitwerking (NIET BEWERKEN!!)'!$B$7:$AG$7</c:f>
              <c:numCache>
                <c:formatCode>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C510-45C6-AE4C-93012B94423C}"/>
            </c:ext>
          </c:extLst>
        </c:ser>
        <c:ser>
          <c:idx val="1"/>
          <c:order val="1"/>
          <c:tx>
            <c:strRef>
              <c:f>'Uitwerking (NIET BEWERKEN!!)'!$A$4</c:f>
              <c:strCache>
                <c:ptCount val="1"/>
                <c:pt idx="0">
                  <c:v>Score op huidig situatie</c:v>
                </c:pt>
              </c:strCache>
            </c:strRef>
          </c:tx>
          <c:spPr>
            <a:solidFill>
              <a:schemeClr val="accent5"/>
            </a:solidFill>
            <a:ln w="25400">
              <a:noFill/>
            </a:ln>
            <a:effectLst/>
          </c:spPr>
          <c:cat>
            <c:strRef>
              <c:f>'Uitwerking (NIET BEWERKEN!!)'!$B$2:$AG$2</c:f>
              <c:strCache>
                <c:ptCount val="32"/>
                <c:pt idx="0">
                  <c:v>Leren &amp; reflecteren</c:v>
                </c:pt>
                <c:pt idx="1">
                  <c:v>Ondersteunen &amp; samenwerken</c:v>
                </c:pt>
                <c:pt idx="2">
                  <c:v>Ondernemen &amp; resultaatgericht</c:v>
                </c:pt>
                <c:pt idx="3">
                  <c:v>Klantgericht</c:v>
                </c:pt>
                <c:pt idx="4">
                  <c:v>Kennisdeling</c:v>
                </c:pt>
                <c:pt idx="5">
                  <c:v>Coaching &amp; begeleiding</c:v>
                </c:pt>
                <c:pt idx="6">
                  <c:v>Datakwaliteit</c:v>
                </c:pt>
                <c:pt idx="7">
                  <c:v>Data exploratie</c:v>
                </c:pt>
                <c:pt idx="8">
                  <c:v>Analyse &amp; visualisatie</c:v>
                </c:pt>
                <c:pt idx="9">
                  <c:v>Modelleren</c:v>
                </c:pt>
                <c:pt idx="10">
                  <c:v>Statistiek &amp; wiskunde</c:v>
                </c:pt>
                <c:pt idx="11">
                  <c:v>Domeinkennis</c:v>
                </c:pt>
                <c:pt idx="12">
                  <c:v>Deployment</c:v>
                </c:pt>
                <c:pt idx="13">
                  <c:v>Ethiek &amp; wetgeving</c:v>
                </c:pt>
                <c:pt idx="14">
                  <c:v>Programmeren</c:v>
                </c:pt>
                <c:pt idx="15">
                  <c:v>Engineering</c:v>
                </c:pt>
                <c:pt idx="16">
                  <c:v>Machine learning</c:v>
                </c:pt>
                <c:pt idx="17">
                  <c:v>Adviseren</c:v>
                </c:pt>
                <c:pt idx="18">
                  <c:v>Doortastend &amp; probleemoplossend</c:v>
                </c:pt>
                <c:pt idx="19">
                  <c:v>Interpersoonlijk communicatie</c:v>
                </c:pt>
                <c:pt idx="20">
                  <c:v>Verwachtings-management</c:v>
                </c:pt>
                <c:pt idx="21">
                  <c:v>Schriftelijke en mondelinge communicatie</c:v>
                </c:pt>
                <c:pt idx="22">
                  <c:v>Organisatie- en management-identificatie</c:v>
                </c:pt>
                <c:pt idx="23">
                  <c:v>Strategische conceptualisatie</c:v>
                </c:pt>
                <c:pt idx="24">
                  <c:v>Projectmanagement</c:v>
                </c:pt>
                <c:pt idx="25">
                  <c:v>Verander-management</c:v>
                </c:pt>
                <c:pt idx="26">
                  <c:v>Leidinggeven</c:v>
                </c:pt>
                <c:pt idx="27">
                  <c:v>Situationele communicatie</c:v>
                </c:pt>
                <c:pt idx="28">
                  <c:v>Doelgerichte &amp; effectieve communicatie</c:v>
                </c:pt>
                <c:pt idx="29">
                  <c:v>Besluitvaardigheid</c:v>
                </c:pt>
                <c:pt idx="30">
                  <c:v>Overtuigen &amp; beinvloeden</c:v>
                </c:pt>
                <c:pt idx="31">
                  <c:v>Opbouwende feedback &amp; slecht nieuws gesprekken</c:v>
                </c:pt>
              </c:strCache>
            </c:strRef>
          </c:cat>
          <c:val>
            <c:numRef>
              <c:f>'Uitwerking (NIET BEWERKEN!!)'!$B$4:$AG$4</c:f>
              <c:numCache>
                <c:formatCode>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BEWERKEN!!)'!$X$2:$AB$2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BEWERKEN!!)'!$X$4:$AB$4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'Uitwerking (NIET BEWERKEN!!)'!$X$2:$AB$2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BEWERKEN!!)'!$X$7:$AB$7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Senioriteit per subcategorie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Totaal</c:v>
          </c:tx>
          <c:spPr>
            <a:solidFill>
              <a:schemeClr val="accent6"/>
            </a:solidFill>
            <a:ln>
              <a:noFill/>
            </a:ln>
            <a:effectLst/>
          </c:spPr>
          <c:invertIfNegative val="0"/>
          <c:cat>
            <c:strRef>
              <c:f>('Uitwerking (NIET BEWERKEN!!)'!$B$1,'Uitwerking (NIET BEWERKEN!!)'!$H$1,'Uitwerking (NIET BEWERKEN!!)'!$M$1,'Uitwerking (NIET BEWERKEN!!)'!$S$1,'Uitwerking (NIET BEWERKEN!!)'!$X$1)</c:f>
              <c:strCache>
                <c:ptCount val="5"/>
                <c:pt idx="0">
                  <c:v>Digital Power Basic Skills</c:v>
                </c:pt>
                <c:pt idx="1">
                  <c:v>Domein kennis</c:v>
                </c:pt>
                <c:pt idx="2">
                  <c:v>Domein kennis</c:v>
                </c:pt>
                <c:pt idx="3">
                  <c:v>Basic Consultancy Skills</c:v>
                </c:pt>
                <c:pt idx="4">
                  <c:v>Business Skills</c:v>
                </c:pt>
              </c:strCache>
            </c:strRef>
          </c:cat>
          <c:val>
            <c:numRef>
              <c:f>('Uitwerking (NIET BEWERKEN!!)'!$G$5,'Uitwerking (NIET BEWERKEN!!)'!$O$5,'Uitwerking (NIET BEWERKEN!!)'!$R$5,'Uitwerking (NIET BEWERKEN!!)'!$W$5,'Uitwerking (NIET BEWERKEN!!)'!$AB$5,'Uitwerking (NIET BEWERKEN!!)'!$AG$5)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BEWERKEN!!)'!$AC$2:$AG$2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BEWERKEN!!)'!$AC$4:$AG$4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Ambitie</c:v>
          </c:tx>
          <c:spPr>
            <a:ln w="28575" cap="rnd">
              <a:solidFill>
                <a:schemeClr val="accent5"/>
              </a:solidFill>
              <a:round/>
            </a:ln>
            <a:effectLst/>
          </c:spPr>
          <c:marker>
            <c:symbol val="none"/>
          </c:marker>
          <c:cat>
            <c:strRef>
              <c:f>'Uitwerking (NIET BEWERKEN!!)'!$AC$2:$AG$2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BEWERKEN!!)'!$AC$7:$AG$7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Datakwaliteit</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Data exploratie</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D38A169C-73FA-404F-BBC1-E58D54FDBE12}">
      <dgm:prSet phldrT="[Tekst]" custT="1"/>
      <dgm:spPr/>
      <dgm:t>
        <a:bodyPr/>
        <a:lstStyle/>
        <a:p>
          <a:r>
            <a:rPr lang="nl-NL" sz="900"/>
            <a:t>Programmeren</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25BD133E-26E3-4B5D-AB73-DF0AE396540A}">
      <dgm:prSet phldrT="[Tekst]" custT="1"/>
      <dgm:spPr/>
      <dgm:t>
        <a:bodyPr/>
        <a:lstStyle/>
        <a:p>
          <a:r>
            <a:rPr lang="nl-NL" sz="900"/>
            <a:t>Analyse &amp; visualisatie</a:t>
          </a:r>
        </a:p>
      </dgm:t>
    </dgm:pt>
    <dgm:pt modelId="{02EDB164-F36D-46FB-96AC-6ED75058390F}" type="parTrans" cxnId="{0D5CC86C-2EEA-49F8-9B57-7EFE5B677FFC}">
      <dgm:prSet/>
      <dgm:spPr/>
      <dgm:t>
        <a:bodyPr/>
        <a:lstStyle/>
        <a:p>
          <a:endParaRPr lang="nl-NL"/>
        </a:p>
      </dgm:t>
    </dgm:pt>
    <dgm:pt modelId="{694F62E6-4B92-44DC-8983-0F59A339343D}" type="sibTrans" cxnId="{0D5CC86C-2EEA-49F8-9B57-7EFE5B677FFC}">
      <dgm:prSet/>
      <dgm:spPr/>
      <dgm:t>
        <a:bodyPr/>
        <a:lstStyle/>
        <a:p>
          <a:endParaRPr lang="nl-NL"/>
        </a:p>
      </dgm:t>
    </dgm:pt>
    <dgm:pt modelId="{7469682A-6110-4718-B92C-90147D4C2DA6}">
      <dgm:prSet phldrT="[Tekst]" custT="1"/>
      <dgm:spPr/>
      <dgm:t>
        <a:bodyPr/>
        <a:lstStyle/>
        <a:p>
          <a:r>
            <a:rPr lang="nl-NL" sz="900"/>
            <a:t>Modelleren</a:t>
          </a:r>
        </a:p>
      </dgm:t>
    </dgm:pt>
    <dgm:pt modelId="{6D27C497-F84F-477A-B767-CE3E0CF150F6}" type="parTrans" cxnId="{0DD3C077-59B5-45EC-AC06-5D5C373255B6}">
      <dgm:prSet/>
      <dgm:spPr/>
      <dgm:t>
        <a:bodyPr/>
        <a:lstStyle/>
        <a:p>
          <a:endParaRPr lang="nl-NL"/>
        </a:p>
      </dgm:t>
    </dgm:pt>
    <dgm:pt modelId="{50C4F012-1386-4D67-941F-0B7E5D3EF162}" type="sibTrans" cxnId="{0DD3C077-59B5-45EC-AC06-5D5C373255B6}">
      <dgm:prSet/>
      <dgm:spPr/>
      <dgm:t>
        <a:bodyPr/>
        <a:lstStyle/>
        <a:p>
          <a:endParaRPr lang="nl-NL"/>
        </a:p>
      </dgm:t>
    </dgm:pt>
    <dgm:pt modelId="{1D27DB26-7722-4474-8DB2-5396EAC50736}">
      <dgm:prSet phldrT="[Tekst]" custT="1"/>
      <dgm:spPr/>
      <dgm:t>
        <a:bodyPr/>
        <a:lstStyle/>
        <a:p>
          <a:r>
            <a:rPr lang="nl-NL" sz="900"/>
            <a:t>Deployment</a:t>
          </a:r>
        </a:p>
      </dgm:t>
    </dgm:pt>
    <dgm:pt modelId="{21D7F464-592D-4E28-A424-A0D43788C208}" type="parTrans" cxnId="{9AAB57E0-9A9C-49B5-9F1E-B32FB33F8CB7}">
      <dgm:prSet/>
      <dgm:spPr/>
      <dgm:t>
        <a:bodyPr/>
        <a:lstStyle/>
        <a:p>
          <a:endParaRPr lang="nl-NL"/>
        </a:p>
      </dgm:t>
    </dgm:pt>
    <dgm:pt modelId="{8F180645-A45E-4E01-915B-B03D64E44E45}" type="sibTrans" cxnId="{9AAB57E0-9A9C-49B5-9F1E-B32FB33F8CB7}">
      <dgm:prSet/>
      <dgm:spPr/>
      <dgm:t>
        <a:bodyPr/>
        <a:lstStyle/>
        <a:p>
          <a:endParaRPr lang="nl-NL"/>
        </a:p>
      </dgm:t>
    </dgm:pt>
    <dgm:pt modelId="{24003E1A-7D7B-4B85-A7A6-1E530E765F26}">
      <dgm:prSet phldrT="[Tekst]" custT="1"/>
      <dgm:spPr/>
      <dgm:t>
        <a:bodyPr/>
        <a:lstStyle/>
        <a:p>
          <a:r>
            <a:rPr lang="nl-NL" sz="900"/>
            <a:t>Statistiek &amp; wiskunde</a:t>
          </a:r>
        </a:p>
      </dgm:t>
    </dgm:pt>
    <dgm:pt modelId="{7E8DB5F2-E139-4AFA-B83B-6F4A2E3BFE58}" type="parTrans" cxnId="{859E81B4-5498-4DB6-B00D-116168C892FE}">
      <dgm:prSet/>
      <dgm:spPr/>
      <dgm:t>
        <a:bodyPr/>
        <a:lstStyle/>
        <a:p>
          <a:endParaRPr lang="nl-NL"/>
        </a:p>
      </dgm:t>
    </dgm:pt>
    <dgm:pt modelId="{221B96BB-421C-4880-A6C1-50D96A048B72}" type="sibTrans" cxnId="{859E81B4-5498-4DB6-B00D-116168C892FE}">
      <dgm:prSet/>
      <dgm:spPr/>
      <dgm:t>
        <a:bodyPr/>
        <a:lstStyle/>
        <a:p>
          <a:endParaRPr lang="nl-NL"/>
        </a:p>
      </dgm:t>
    </dgm:pt>
    <dgm:pt modelId="{3796F5A3-BAEA-422F-A4E7-DFB4E0FEA7E0}">
      <dgm:prSet phldrT="[Tekst]" custT="1"/>
      <dgm:spPr/>
      <dgm:t>
        <a:bodyPr/>
        <a:lstStyle/>
        <a:p>
          <a:r>
            <a:rPr lang="nl-NL" sz="900"/>
            <a:t>Ethiek &amp; wetgeving</a:t>
          </a:r>
        </a:p>
      </dgm:t>
    </dgm:pt>
    <dgm:pt modelId="{1E60AC7B-C726-4929-8F4D-D839937A3E87}" type="parTrans" cxnId="{9CE03C17-69C0-471E-981E-FBE204CCBD38}">
      <dgm:prSet/>
      <dgm:spPr/>
      <dgm:t>
        <a:bodyPr/>
        <a:lstStyle/>
        <a:p>
          <a:endParaRPr lang="nl-NL"/>
        </a:p>
      </dgm:t>
    </dgm:pt>
    <dgm:pt modelId="{A5735654-9FD0-4A4F-822C-7ABD0EDB8142}" type="sibTrans" cxnId="{9CE03C17-69C0-471E-981E-FBE204CCBD38}">
      <dgm:prSet/>
      <dgm:spPr/>
      <dgm:t>
        <a:bodyPr/>
        <a:lstStyle/>
        <a:p>
          <a:endParaRPr lang="nl-NL"/>
        </a:p>
      </dgm:t>
    </dgm:pt>
    <dgm:pt modelId="{BBC5E5F3-0A8B-4DC0-883B-6A7C4301CF52}">
      <dgm:prSet phldrT="[Tekst]" custT="1"/>
      <dgm:spPr/>
      <dgm:t>
        <a:bodyPr/>
        <a:lstStyle/>
        <a:p>
          <a:r>
            <a:rPr lang="nl-NL" sz="900"/>
            <a:t>Engineering</a:t>
          </a:r>
        </a:p>
      </dgm:t>
    </dgm:pt>
    <dgm:pt modelId="{9F32A9D8-8256-4674-BDA5-661C941FB777}" type="parTrans" cxnId="{4BA1D6CA-FAA6-4B5A-8A5D-8ECBBAA1CF0A}">
      <dgm:prSet/>
      <dgm:spPr/>
      <dgm:t>
        <a:bodyPr/>
        <a:lstStyle/>
        <a:p>
          <a:endParaRPr lang="nl-NL"/>
        </a:p>
      </dgm:t>
    </dgm:pt>
    <dgm:pt modelId="{06CCC99C-4B88-4B6B-8298-0BA316731129}" type="sibTrans" cxnId="{4BA1D6CA-FAA6-4B5A-8A5D-8ECBBAA1CF0A}">
      <dgm:prSet/>
      <dgm:spPr/>
      <dgm:t>
        <a:bodyPr/>
        <a:lstStyle/>
        <a:p>
          <a:endParaRPr lang="nl-NL"/>
        </a:p>
      </dgm:t>
    </dgm:pt>
    <dgm:pt modelId="{572140DF-69E8-41A6-B5DB-1171856781F9}">
      <dgm:prSet phldrT="[Tekst]" custT="1"/>
      <dgm:spPr/>
      <dgm:t>
        <a:bodyPr/>
        <a:lstStyle/>
        <a:p>
          <a:r>
            <a:rPr lang="nl-NL" sz="900"/>
            <a:t>Machine learning</a:t>
          </a:r>
        </a:p>
      </dgm:t>
    </dgm:pt>
    <dgm:pt modelId="{C64AA8AF-1DC1-4AD2-B905-53F8506AD852}" type="parTrans" cxnId="{DFC86FBD-67A0-4057-89BE-420CA446F564}">
      <dgm:prSet/>
      <dgm:spPr/>
      <dgm:t>
        <a:bodyPr/>
        <a:lstStyle/>
        <a:p>
          <a:endParaRPr lang="nl-NL"/>
        </a:p>
      </dgm:t>
    </dgm:pt>
    <dgm:pt modelId="{F908CA9F-87D7-4A66-AEC1-E98696AB8F67}" type="sibTrans" cxnId="{DFC86FBD-67A0-4057-89BE-420CA446F564}">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1">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1">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1">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1">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1">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1">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1">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1">
        <dgm:presLayoutVars>
          <dgm:bulletEnabled val="1"/>
        </dgm:presLayoutVars>
      </dgm:prSet>
      <dgm:spPr/>
    </dgm:pt>
    <dgm:pt modelId="{D367107A-E0F3-4662-86D0-A24CFBAFCFBD}" type="pres">
      <dgm:prSet presAssocID="{D216417B-8724-4A89-97D4-DE24FD728663}" presName="aSpace2" presStyleCnt="0"/>
      <dgm:spPr/>
    </dgm:pt>
    <dgm:pt modelId="{CC2E3373-DA5B-4C6F-8D36-9B8401C426F1}" type="pres">
      <dgm:prSet presAssocID="{25BD133E-26E3-4B5D-AB73-DF0AE396540A}" presName="childNode" presStyleLbl="node1" presStyleIdx="8" presStyleCnt="31">
        <dgm:presLayoutVars>
          <dgm:bulletEnabled val="1"/>
        </dgm:presLayoutVars>
      </dgm:prSet>
      <dgm:spPr/>
    </dgm:pt>
    <dgm:pt modelId="{7D6D2806-2C57-4852-94CF-38E98AF88FEB}" type="pres">
      <dgm:prSet presAssocID="{25BD133E-26E3-4B5D-AB73-DF0AE396540A}" presName="aSpace2" presStyleCnt="0"/>
      <dgm:spPr/>
    </dgm:pt>
    <dgm:pt modelId="{AAE4CBD5-F872-46E5-88CC-B208AAF549C7}" type="pres">
      <dgm:prSet presAssocID="{7469682A-6110-4718-B92C-90147D4C2DA6}" presName="childNode" presStyleLbl="node1" presStyleIdx="9" presStyleCnt="31">
        <dgm:presLayoutVars>
          <dgm:bulletEnabled val="1"/>
        </dgm:presLayoutVars>
      </dgm:prSet>
      <dgm:spPr/>
    </dgm:pt>
    <dgm:pt modelId="{AE2D29CE-DE11-4833-8CD2-9EF24DD49649}" type="pres">
      <dgm:prSet presAssocID="{7469682A-6110-4718-B92C-90147D4C2DA6}" presName="aSpace2" presStyleCnt="0"/>
      <dgm:spPr/>
    </dgm:pt>
    <dgm:pt modelId="{AC0010BE-4C51-44B8-8068-1099CC536619}" type="pres">
      <dgm:prSet presAssocID="{1D27DB26-7722-4474-8DB2-5396EAC50736}" presName="childNode" presStyleLbl="node1" presStyleIdx="10" presStyleCnt="31">
        <dgm:presLayoutVars>
          <dgm:bulletEnabled val="1"/>
        </dgm:presLayoutVars>
      </dgm:prSet>
      <dgm:spPr/>
    </dgm:pt>
    <dgm:pt modelId="{77667934-EB54-4777-B42C-9331E664F2A6}" type="pres">
      <dgm:prSet presAssocID="{1D27DB26-7722-4474-8DB2-5396EAC50736}" presName="aSpace2" presStyleCnt="0"/>
      <dgm:spPr/>
    </dgm:pt>
    <dgm:pt modelId="{5824CF50-E671-4682-B30D-A50A577031CC}" type="pres">
      <dgm:prSet presAssocID="{24003E1A-7D7B-4B85-A7A6-1E530E765F26}" presName="childNode" presStyleLbl="node1" presStyleIdx="11" presStyleCnt="31">
        <dgm:presLayoutVars>
          <dgm:bulletEnabled val="1"/>
        </dgm:presLayoutVars>
      </dgm:prSet>
      <dgm:spPr/>
    </dgm:pt>
    <dgm:pt modelId="{E1E2D986-8719-4A2A-AFA7-F8D580D24E18}" type="pres">
      <dgm:prSet presAssocID="{24003E1A-7D7B-4B85-A7A6-1E530E765F26}" presName="aSpace2" presStyleCnt="0"/>
      <dgm:spPr/>
    </dgm:pt>
    <dgm:pt modelId="{DCF7D398-2740-46FC-B711-AFD0085CCA26}" type="pres">
      <dgm:prSet presAssocID="{3796F5A3-BAEA-422F-A4E7-DFB4E0FEA7E0}" presName="childNode" presStyleLbl="node1" presStyleIdx="12" presStyleCnt="31">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3" presStyleCnt="31">
        <dgm:presLayoutVars>
          <dgm:bulletEnabled val="1"/>
        </dgm:presLayoutVars>
      </dgm:prSet>
      <dgm:spPr/>
    </dgm:pt>
    <dgm:pt modelId="{DF1C0E16-9921-47F0-A6F2-1E91F143E5F6}" type="pres">
      <dgm:prSet presAssocID="{D38A169C-73FA-404F-BBC1-E58D54FDBE12}" presName="aSpace2" presStyleCnt="0"/>
      <dgm:spPr/>
    </dgm:pt>
    <dgm:pt modelId="{B9070CDF-6B88-466D-A57A-981B52E18A0C}" type="pres">
      <dgm:prSet presAssocID="{BBC5E5F3-0A8B-4DC0-883B-6A7C4301CF52}" presName="childNode" presStyleLbl="node1" presStyleIdx="14" presStyleCnt="31">
        <dgm:presLayoutVars>
          <dgm:bulletEnabled val="1"/>
        </dgm:presLayoutVars>
      </dgm:prSet>
      <dgm:spPr/>
    </dgm:pt>
    <dgm:pt modelId="{2B7473CA-50FA-400B-9738-AEA9945A8C79}" type="pres">
      <dgm:prSet presAssocID="{BBC5E5F3-0A8B-4DC0-883B-6A7C4301CF52}" presName="aSpace2" presStyleCnt="0"/>
      <dgm:spPr/>
    </dgm:pt>
    <dgm:pt modelId="{F046D5F2-55F2-44E0-9303-4BD081A907F5}" type="pres">
      <dgm:prSet presAssocID="{572140DF-69E8-41A6-B5DB-1171856781F9}" presName="childNode" presStyleLbl="node1" presStyleIdx="15" presStyleCnt="31">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6" presStyleCnt="31">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7" presStyleCnt="31">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18" presStyleCnt="31">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19" presStyleCnt="31">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0" presStyleCnt="31">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1" presStyleCnt="31">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2" presStyleCnt="31">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3" presStyleCnt="31">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4" presStyleCnt="31">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5" presStyleCnt="31">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6" presStyleCnt="31">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7" presStyleCnt="31">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28" presStyleCnt="31">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29" presStyleCnt="31">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0" presStyleCnt="31">
        <dgm:presLayoutVars>
          <dgm:bulletEnabled val="1"/>
        </dgm:presLayoutVars>
      </dgm:prSet>
      <dgm:spPr/>
    </dgm:pt>
  </dgm:ptLst>
  <dgm:cxnLst>
    <dgm:cxn modelId="{5A8A0D00-D94B-4E06-AF58-01235F5639C3}" type="presOf" srcId="{1D27DB26-7722-4474-8DB2-5396EAC50736}" destId="{AC0010BE-4C51-44B8-8068-1099CC536619}" srcOrd="0" destOrd="0" presId="urn:microsoft.com/office/officeart/2005/8/layout/lProcess2"/>
    <dgm:cxn modelId="{9AA6C102-B33A-45C3-AE7D-4BCB09515111}" srcId="{7ED69BD0-5C46-430C-BD11-1675B78445AF}" destId="{2E51DF25-B7C0-43DA-ADCE-0B6DAA3E9F7B}" srcOrd="3" destOrd="0" parTransId="{060E53C2-706B-40E2-B6B1-DC5694082B1A}" sibTransId="{54C986C0-7254-4D77-8EF8-B2E27153E9C6}"/>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87E5DC14-D8F4-4FF6-967E-E898B4A4AAFC}" type="presOf" srcId="{C134F88E-4C4C-4F83-B22D-C129B7E3477A}" destId="{7BE6FBB6-2C7F-4090-924E-AD3A157FFABE}" srcOrd="0" destOrd="0" presId="urn:microsoft.com/office/officeart/2005/8/layout/lProcess2"/>
    <dgm:cxn modelId="{9CE03C17-69C0-471E-981E-FBE204CCBD38}" srcId="{71C93146-8DBD-47BA-9B89-8D2FF25B6FDE}" destId="{3796F5A3-BAEA-422F-A4E7-DFB4E0FEA7E0}" srcOrd="6" destOrd="0" parTransId="{1E60AC7B-C726-4929-8F4D-D839937A3E87}" sibTransId="{A5735654-9FD0-4A4F-822C-7ABD0EDB814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79DAE12C-62CC-4628-8D32-E89216E2861F}" type="presOf" srcId="{3796F5A3-BAEA-422F-A4E7-DFB4E0FEA7E0}" destId="{DCF7D398-2740-46FC-B711-AFD0085CCA26}"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A3BC7C3F-ED7C-4478-974B-E9E998646BA6}" type="presOf" srcId="{24003E1A-7D7B-4B85-A7A6-1E530E765F26}" destId="{5824CF50-E671-4682-B30D-A50A577031CC}" srcOrd="0" destOrd="0" presId="urn:microsoft.com/office/officeart/2005/8/layout/lProcess2"/>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26F52E46-D179-4405-A7E6-7B242941C7C5}" type="presOf" srcId="{BBC5E5F3-0A8B-4DC0-883B-6A7C4301CF52}" destId="{B9070CDF-6B88-466D-A57A-981B52E18A0C}"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0D5CC86C-2EEA-49F8-9B57-7EFE5B677FFC}" srcId="{71C93146-8DBD-47BA-9B89-8D2FF25B6FDE}" destId="{25BD133E-26E3-4B5D-AB73-DF0AE396540A}" srcOrd="2" destOrd="0" parTransId="{02EDB164-F36D-46FB-96AC-6ED75058390F}" sibTransId="{694F62E6-4B92-44DC-8983-0F59A339343D}"/>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EA6FDD51-17DC-45DD-94EB-D04872699E7D}" type="presOf" srcId="{731B959C-F05A-4425-AA8A-A0CC576E0CD6}" destId="{788DE979-FF1A-4219-BF84-8A28593CCB94}" srcOrd="0" destOrd="0" presId="urn:microsoft.com/office/officeart/2005/8/layout/lProcess2"/>
    <dgm:cxn modelId="{5E8EE272-1E1D-4F39-A6DE-414AB9BDBE15}" type="presOf" srcId="{7469682A-6110-4718-B92C-90147D4C2DA6}" destId="{AAE4CBD5-F872-46E5-88CC-B208AAF549C7}"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0DD3C077-59B5-45EC-AC06-5D5C373255B6}" srcId="{71C93146-8DBD-47BA-9B89-8D2FF25B6FDE}" destId="{7469682A-6110-4718-B92C-90147D4C2DA6}" srcOrd="3" destOrd="0" parTransId="{6D27C497-F84F-477A-B767-CE3E0CF150F6}" sibTransId="{50C4F012-1386-4D67-941F-0B7E5D3EF16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859E81B4-5498-4DB6-B00D-116168C892FE}" srcId="{71C93146-8DBD-47BA-9B89-8D2FF25B6FDE}" destId="{24003E1A-7D7B-4B85-A7A6-1E530E765F26}" srcOrd="5" destOrd="0" parTransId="{7E8DB5F2-E139-4AFA-B83B-6F4A2E3BFE58}" sibTransId="{221B96BB-421C-4880-A6C1-50D96A048B72}"/>
    <dgm:cxn modelId="{816512B8-B791-4083-B49A-F17B35A4A282}" type="presOf" srcId="{33D15CE1-2AE0-443F-9467-251AED4D49CA}" destId="{23C873A2-9912-4FE4-BDE7-C88BA9B2ECB3}"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DFC86FBD-67A0-4057-89BE-420CA446F564}" srcId="{CB339438-8F81-4836-B0D6-39E445779B2D}" destId="{572140DF-69E8-41A6-B5DB-1171856781F9}" srcOrd="2" destOrd="0" parTransId="{C64AA8AF-1DC1-4AD2-B905-53F8506AD852}" sibTransId="{F908CA9F-87D7-4A66-AEC1-E98696AB8F67}"/>
    <dgm:cxn modelId="{F26BA3BD-6518-4730-94A7-3A202E2B4E03}" type="presOf" srcId="{572140DF-69E8-41A6-B5DB-1171856781F9}" destId="{F046D5F2-55F2-44E0-9303-4BD081A907F5}" srcOrd="0"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4BA1D6CA-FAA6-4B5A-8A5D-8ECBBAA1CF0A}" srcId="{CB339438-8F81-4836-B0D6-39E445779B2D}" destId="{BBC5E5F3-0A8B-4DC0-883B-6A7C4301CF52}" srcOrd="1" destOrd="0" parTransId="{9F32A9D8-8256-4674-BDA5-661C941FB777}" sibTransId="{06CCC99C-4B88-4B6B-8298-0BA316731129}"/>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78221ED5-5C18-4DA5-A9A1-554195C60870}" type="presOf" srcId="{25BD133E-26E3-4B5D-AB73-DF0AE396540A}" destId="{CC2E3373-DA5B-4C6F-8D36-9B8401C426F1}" srcOrd="0" destOrd="0" presId="urn:microsoft.com/office/officeart/2005/8/layout/lProcess2"/>
    <dgm:cxn modelId="{B9770FDA-37FF-43F8-A310-12FA30D16BC1}" srcId="{731B959C-F05A-4425-AA8A-A0CC576E0CD6}" destId="{E4529BFC-7FBA-401E-83DC-ED21706EC71E}" srcOrd="0" destOrd="0" parTransId="{75EC726F-0F1A-4A9A-AAA4-BA5A62E7EF13}" sibTransId="{2694060A-8504-46CC-B366-F826D32B0115}"/>
    <dgm:cxn modelId="{9AAB57E0-9A9C-49B5-9F1E-B32FB33F8CB7}" srcId="{71C93146-8DBD-47BA-9B89-8D2FF25B6FDE}" destId="{1D27DB26-7722-4474-8DB2-5396EAC50736}" srcOrd="4" destOrd="0" parTransId="{21D7F464-592D-4E28-A424-A0D43788C208}" sibTransId="{8F180645-A45E-4E01-915B-B03D64E44E4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F35C7AA0-19B1-49EB-869A-EE519E4FF317}" type="presParOf" srcId="{10201B17-1614-4D45-8D1F-E89E82CE147B}" destId="{CC2E3373-DA5B-4C6F-8D36-9B8401C426F1}" srcOrd="4" destOrd="0" presId="urn:microsoft.com/office/officeart/2005/8/layout/lProcess2"/>
    <dgm:cxn modelId="{9A5A98D8-F736-4C61-BEAF-BCF70D0BE3EC}" type="presParOf" srcId="{10201B17-1614-4D45-8D1F-E89E82CE147B}" destId="{7D6D2806-2C57-4852-94CF-38E98AF88FEB}" srcOrd="5" destOrd="0" presId="urn:microsoft.com/office/officeart/2005/8/layout/lProcess2"/>
    <dgm:cxn modelId="{E0BF4AF6-603C-47AC-BB96-E446C251F7C1}" type="presParOf" srcId="{10201B17-1614-4D45-8D1F-E89E82CE147B}" destId="{AAE4CBD5-F872-46E5-88CC-B208AAF549C7}" srcOrd="6" destOrd="0" presId="urn:microsoft.com/office/officeart/2005/8/layout/lProcess2"/>
    <dgm:cxn modelId="{5BEB4925-1825-47B6-960B-4099DAC9C1AD}" type="presParOf" srcId="{10201B17-1614-4D45-8D1F-E89E82CE147B}" destId="{AE2D29CE-DE11-4833-8CD2-9EF24DD49649}" srcOrd="7" destOrd="0" presId="urn:microsoft.com/office/officeart/2005/8/layout/lProcess2"/>
    <dgm:cxn modelId="{67A5DD11-11BE-4F2A-9185-5F35F5C804F9}" type="presParOf" srcId="{10201B17-1614-4D45-8D1F-E89E82CE147B}" destId="{AC0010BE-4C51-44B8-8068-1099CC536619}" srcOrd="8" destOrd="0" presId="urn:microsoft.com/office/officeart/2005/8/layout/lProcess2"/>
    <dgm:cxn modelId="{7400BEF8-14B2-4907-A004-16A66FB0DDFE}" type="presParOf" srcId="{10201B17-1614-4D45-8D1F-E89E82CE147B}" destId="{77667934-EB54-4777-B42C-9331E664F2A6}" srcOrd="9" destOrd="0" presId="urn:microsoft.com/office/officeart/2005/8/layout/lProcess2"/>
    <dgm:cxn modelId="{B6DBBC8A-6B23-46B3-BD24-60D93CE0E260}" type="presParOf" srcId="{10201B17-1614-4D45-8D1F-E89E82CE147B}" destId="{5824CF50-E671-4682-B30D-A50A577031CC}" srcOrd="10" destOrd="0" presId="urn:microsoft.com/office/officeart/2005/8/layout/lProcess2"/>
    <dgm:cxn modelId="{B21D8D94-BDEE-4A34-8D0E-68B174A4FE4D}" type="presParOf" srcId="{10201B17-1614-4D45-8D1F-E89E82CE147B}" destId="{E1E2D986-8719-4A2A-AFA7-F8D580D24E18}" srcOrd="11" destOrd="0" presId="urn:microsoft.com/office/officeart/2005/8/layout/lProcess2"/>
    <dgm:cxn modelId="{49D74EE0-0F65-443E-8D5A-617F9C098A18}" type="presParOf" srcId="{10201B17-1614-4D45-8D1F-E89E82CE147B}" destId="{DCF7D398-2740-46FC-B711-AFD0085CCA26}" srcOrd="12"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35C683B4-B037-4C87-A5B4-FB2FA44C72D6}" type="presParOf" srcId="{E3A1EC06-F8F1-47EA-A4C0-7BCCDF995841}" destId="{B9070CDF-6B88-466D-A57A-981B52E18A0C}" srcOrd="2" destOrd="0" presId="urn:microsoft.com/office/officeart/2005/8/layout/lProcess2"/>
    <dgm:cxn modelId="{8F78E91E-8BEB-4C55-98F2-0706A6931D93}" type="presParOf" srcId="{E3A1EC06-F8F1-47EA-A4C0-7BCCDF995841}" destId="{2B7473CA-50FA-400B-9738-AEA9945A8C79}" srcOrd="3" destOrd="0" presId="urn:microsoft.com/office/officeart/2005/8/layout/lProcess2"/>
    <dgm:cxn modelId="{9CF69617-AB90-4336-BC30-7B9ED3BE2DB3}" type="presParOf" srcId="{E3A1EC06-F8F1-47EA-A4C0-7BCCDF995841}" destId="{F046D5F2-55F2-44E0-9303-4BD081A907F5}" srcOrd="4"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8951"/>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Datakwaliteit</a:t>
          </a:r>
        </a:p>
      </dsp:txBody>
      <dsp:txXfrm>
        <a:off x="1565991" y="1410112"/>
        <a:ext cx="1034010" cy="358745"/>
      </dsp:txXfrm>
    </dsp:sp>
    <dsp:sp modelId="{ED72BB4B-3283-4FB6-8CED-112A7127815D}">
      <dsp:nvSpPr>
        <dsp:cNvPr id="0" name=""/>
        <dsp:cNvSpPr/>
      </dsp:nvSpPr>
      <dsp:spPr>
        <a:xfrm>
          <a:off x="1554830" y="1838644"/>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exploratie</a:t>
          </a:r>
        </a:p>
      </dsp:txBody>
      <dsp:txXfrm>
        <a:off x="1565991" y="1849805"/>
        <a:ext cx="1034010" cy="358745"/>
      </dsp:txXfrm>
    </dsp:sp>
    <dsp:sp modelId="{CC2E3373-DA5B-4C6F-8D36-9B8401C426F1}">
      <dsp:nvSpPr>
        <dsp:cNvPr id="0" name=""/>
        <dsp:cNvSpPr/>
      </dsp:nvSpPr>
      <dsp:spPr>
        <a:xfrm>
          <a:off x="1554830" y="2278338"/>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Analyse &amp; visualisatie</a:t>
          </a:r>
        </a:p>
      </dsp:txBody>
      <dsp:txXfrm>
        <a:off x="1565991" y="2289499"/>
        <a:ext cx="1034010" cy="358745"/>
      </dsp:txXfrm>
    </dsp:sp>
    <dsp:sp modelId="{AAE4CBD5-F872-46E5-88CC-B208AAF549C7}">
      <dsp:nvSpPr>
        <dsp:cNvPr id="0" name=""/>
        <dsp:cNvSpPr/>
      </dsp:nvSpPr>
      <dsp:spPr>
        <a:xfrm>
          <a:off x="1554830" y="2718031"/>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Modelleren</a:t>
          </a:r>
        </a:p>
      </dsp:txBody>
      <dsp:txXfrm>
        <a:off x="1565991" y="2729192"/>
        <a:ext cx="1034010" cy="358745"/>
      </dsp:txXfrm>
    </dsp:sp>
    <dsp:sp modelId="{AC0010BE-4C51-44B8-8068-1099CC536619}">
      <dsp:nvSpPr>
        <dsp:cNvPr id="0" name=""/>
        <dsp:cNvSpPr/>
      </dsp:nvSpPr>
      <dsp:spPr>
        <a:xfrm>
          <a:off x="1554830" y="3157724"/>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Deployment</a:t>
          </a:r>
        </a:p>
      </dsp:txBody>
      <dsp:txXfrm>
        <a:off x="1565991" y="3168885"/>
        <a:ext cx="1034010" cy="358745"/>
      </dsp:txXfrm>
    </dsp:sp>
    <dsp:sp modelId="{5824CF50-E671-4682-B30D-A50A577031CC}">
      <dsp:nvSpPr>
        <dsp:cNvPr id="0" name=""/>
        <dsp:cNvSpPr/>
      </dsp:nvSpPr>
      <dsp:spPr>
        <a:xfrm>
          <a:off x="1554830" y="3597417"/>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Statistiek &amp; wiskunde</a:t>
          </a:r>
        </a:p>
      </dsp:txBody>
      <dsp:txXfrm>
        <a:off x="1565991" y="3608578"/>
        <a:ext cx="1034010" cy="358745"/>
      </dsp:txXfrm>
    </dsp:sp>
    <dsp:sp modelId="{DCF7D398-2740-46FC-B711-AFD0085CCA26}">
      <dsp:nvSpPr>
        <dsp:cNvPr id="0" name=""/>
        <dsp:cNvSpPr/>
      </dsp:nvSpPr>
      <dsp:spPr>
        <a:xfrm>
          <a:off x="1554830" y="4037110"/>
          <a:ext cx="1056332" cy="38106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Ethiek &amp; wetgeving</a:t>
          </a:r>
        </a:p>
      </dsp:txBody>
      <dsp:txXfrm>
        <a:off x="1565991" y="4048271"/>
        <a:ext cx="1034010" cy="358745"/>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508"/>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Programmeren</a:t>
          </a:r>
        </a:p>
      </dsp:txBody>
      <dsp:txXfrm>
        <a:off x="3001054" y="1423286"/>
        <a:ext cx="1002776" cy="860710"/>
      </dsp:txXfrm>
    </dsp:sp>
    <dsp:sp modelId="{B9070CDF-6B88-466D-A57A-981B52E18A0C}">
      <dsp:nvSpPr>
        <dsp:cNvPr id="0" name=""/>
        <dsp:cNvSpPr/>
      </dsp:nvSpPr>
      <dsp:spPr>
        <a:xfrm>
          <a:off x="2974276" y="2451431"/>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Engineering</a:t>
          </a:r>
        </a:p>
      </dsp:txBody>
      <dsp:txXfrm>
        <a:off x="3001054" y="2478209"/>
        <a:ext cx="1002776" cy="860710"/>
      </dsp:txXfrm>
    </dsp:sp>
    <dsp:sp modelId="{F046D5F2-55F2-44E0-9303-4BD081A907F5}">
      <dsp:nvSpPr>
        <dsp:cNvPr id="0" name=""/>
        <dsp:cNvSpPr/>
      </dsp:nvSpPr>
      <dsp:spPr>
        <a:xfrm>
          <a:off x="2974276" y="3506354"/>
          <a:ext cx="1056332" cy="914266"/>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Machine learning</a:t>
          </a:r>
        </a:p>
      </dsp:txBody>
      <dsp:txXfrm>
        <a:off x="3001054" y="3533132"/>
        <a:ext cx="1002776" cy="860710"/>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0" y="815340"/>
          <a:ext cx="4496199" cy="3718210"/>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29766</xdr:colOff>
      <xdr:row>10</xdr:row>
      <xdr:rowOff>3571</xdr:rowOff>
    </xdr:from>
    <xdr:to>
      <xdr:col>9</xdr:col>
      <xdr:colOff>9526</xdr:colOff>
      <xdr:row>24</xdr:row>
      <xdr:rowOff>79771</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85725</xdr:colOff>
      <xdr:row>10</xdr:row>
      <xdr:rowOff>9525</xdr:rowOff>
    </xdr:from>
    <xdr:to>
      <xdr:col>20</xdr:col>
      <xdr:colOff>133351</xdr:colOff>
      <xdr:row>24</xdr:row>
      <xdr:rowOff>85725</xdr:rowOff>
    </xdr:to>
    <xdr:graphicFrame macro="">
      <xdr:nvGraphicFramePr>
        <xdr:cNvPr id="8" name="Grafiek 7">
          <a:extLst>
            <a:ext uri="{FF2B5EF4-FFF2-40B4-BE49-F238E27FC236}">
              <a16:creationId xmlns:a16="http://schemas.microsoft.com/office/drawing/2014/main" i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200024</xdr:colOff>
      <xdr:row>10</xdr:row>
      <xdr:rowOff>9525</xdr:rowOff>
    </xdr:from>
    <xdr:to>
      <xdr:col>31</xdr:col>
      <xdr:colOff>380999</xdr:colOff>
      <xdr:row>24</xdr:row>
      <xdr:rowOff>85725</xdr:rowOff>
    </xdr:to>
    <xdr:graphicFrame macro="">
      <xdr:nvGraphicFramePr>
        <xdr:cNvPr id="9" name="Grafiek 8">
          <a:extLst>
            <a:ext uri="{FF2B5EF4-FFF2-40B4-BE49-F238E27FC236}">
              <a16:creationId xmlns:a16="http://schemas.microsoft.com/office/drawing/2014/main" i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16670</xdr:colOff>
      <xdr:row>25</xdr:row>
      <xdr:rowOff>0</xdr:rowOff>
    </xdr:from>
    <xdr:to>
      <xdr:col>9</xdr:col>
      <xdr:colOff>9526</xdr:colOff>
      <xdr:row>39</xdr:row>
      <xdr:rowOff>76200</xdr:rowOff>
    </xdr:to>
    <xdr:graphicFrame macro="">
      <xdr:nvGraphicFramePr>
        <xdr:cNvPr id="10" name="Grafiek 9">
          <a:extLst>
            <a:ext uri="{FF2B5EF4-FFF2-40B4-BE49-F238E27FC236}">
              <a16:creationId xmlns:a16="http://schemas.microsoft.com/office/drawing/2014/main" i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xdr:colOff>
      <xdr:row>25</xdr:row>
      <xdr:rowOff>9525</xdr:rowOff>
    </xdr:from>
    <xdr:to>
      <xdr:col>20</xdr:col>
      <xdr:colOff>133350</xdr:colOff>
      <xdr:row>39</xdr:row>
      <xdr:rowOff>85725</xdr:rowOff>
    </xdr:to>
    <xdr:graphicFrame macro="">
      <xdr:nvGraphicFramePr>
        <xdr:cNvPr id="11" name="Grafiek 10">
          <a:extLst>
            <a:ext uri="{FF2B5EF4-FFF2-40B4-BE49-F238E27FC236}">
              <a16:creationId xmlns:a16="http://schemas.microsoft.com/office/drawing/2014/main" i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123825</xdr:colOff>
      <xdr:row>0</xdr:row>
      <xdr:rowOff>0</xdr:rowOff>
    </xdr:from>
    <xdr:to>
      <xdr:col>47</xdr:col>
      <xdr:colOff>45242</xdr:colOff>
      <xdr:row>9</xdr:row>
      <xdr:rowOff>0</xdr:rowOff>
    </xdr:to>
    <xdr:graphicFrame macro="">
      <xdr:nvGraphicFramePr>
        <xdr:cNvPr id="13" name="Grafiek 12">
          <a:extLst>
            <a:ext uri="{FF2B5EF4-FFF2-40B4-BE49-F238E27FC236}">
              <a16:creationId xmlns:a16="http://schemas.microsoft.com/office/drawing/2014/main" i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209550</xdr:colOff>
      <xdr:row>25</xdr:row>
      <xdr:rowOff>9525</xdr:rowOff>
    </xdr:from>
    <xdr:to>
      <xdr:col>31</xdr:col>
      <xdr:colOff>361950</xdr:colOff>
      <xdr:row>39</xdr:row>
      <xdr:rowOff>85725</xdr:rowOff>
    </xdr:to>
    <xdr:graphicFrame macro="">
      <xdr:nvGraphicFramePr>
        <xdr:cNvPr id="14" name="Grafiek 13">
          <a:extLst>
            <a:ext uri="{FF2B5EF4-FFF2-40B4-BE49-F238E27FC236}">
              <a16:creationId xmlns:a16="http://schemas.microsoft.com/office/drawing/2014/main" i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17859</xdr:colOff>
      <xdr:row>10</xdr:row>
      <xdr:rowOff>15478</xdr:rowOff>
    </xdr:from>
    <xdr:to>
      <xdr:col>40</xdr:col>
      <xdr:colOff>0</xdr:colOff>
      <xdr:row>24</xdr:row>
      <xdr:rowOff>91678</xdr:rowOff>
    </xdr:to>
    <xdr:graphicFrame macro="">
      <xdr:nvGraphicFramePr>
        <xdr:cNvPr id="3" name="Grafiek 2">
          <a:extLst>
            <a:ext uri="{FF2B5EF4-FFF2-40B4-BE49-F238E27FC236}">
              <a16:creationId xmlns:a16="http://schemas.microsoft.com/office/drawing/2014/main" id="{7885E01C-CEA6-43D1-9C48-4F8189248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0</xdr:colOff>
      <xdr:row>25</xdr:row>
      <xdr:rowOff>0</xdr:rowOff>
    </xdr:from>
    <xdr:to>
      <xdr:col>40</xdr:col>
      <xdr:colOff>0</xdr:colOff>
      <xdr:row>39</xdr:row>
      <xdr:rowOff>76200</xdr:rowOff>
    </xdr:to>
    <xdr:graphicFrame macro="">
      <xdr:nvGraphicFramePr>
        <xdr:cNvPr id="12" name="Grafiek 11">
          <a:extLst>
            <a:ext uri="{FF2B5EF4-FFF2-40B4-BE49-F238E27FC236}">
              <a16:creationId xmlns:a16="http://schemas.microsoft.com/office/drawing/2014/main" i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workbookViewId="0"/>
  </sheetViews>
  <sheetFormatPr defaultColWidth="8.7109375" defaultRowHeight="14.45"/>
  <cols>
    <col min="1" max="9" width="8.7109375" style="50"/>
    <col min="10" max="16" width="19.42578125" style="51" customWidth="1"/>
    <col min="17" max="16384" width="8.7109375" style="50"/>
  </cols>
  <sheetData>
    <row r="2" spans="1:10" ht="21">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39"/>
  <sheetViews>
    <sheetView showGridLines="0" tabSelected="1" zoomScale="80" zoomScaleNormal="80" workbookViewId="0">
      <selection activeCell="F4" sqref="F4:M22"/>
    </sheetView>
  </sheetViews>
  <sheetFormatPr defaultColWidth="8.7109375" defaultRowHeight="14.45"/>
  <cols>
    <col min="1" max="1" width="128.140625" style="86" customWidth="1"/>
    <col min="2" max="3" width="18.42578125" style="87" customWidth="1"/>
    <col min="4" max="4" width="13.7109375" style="94" customWidth="1"/>
    <col min="5" max="16384" width="8.7109375" style="86"/>
  </cols>
  <sheetData>
    <row r="1" spans="1:13" ht="25.9">
      <c r="A1" s="102" t="s">
        <v>2</v>
      </c>
    </row>
    <row r="2" spans="1:13" ht="14.65" customHeight="1"/>
    <row r="3" spans="1:13" ht="29.65" customHeight="1">
      <c r="A3" s="111" t="s">
        <v>3</v>
      </c>
      <c r="B3" s="130" t="s">
        <v>4</v>
      </c>
      <c r="C3" s="131"/>
      <c r="D3" s="132"/>
      <c r="F3" s="127" t="s">
        <v>5</v>
      </c>
      <c r="G3" s="128"/>
      <c r="H3" s="128"/>
      <c r="I3" s="128"/>
      <c r="J3" s="128"/>
      <c r="K3" s="128"/>
      <c r="L3" s="128"/>
      <c r="M3" s="129"/>
    </row>
    <row r="4" spans="1:13" ht="28.9" customHeight="1">
      <c r="A4" s="100" t="s">
        <v>6</v>
      </c>
      <c r="B4" s="89" t="s">
        <v>7</v>
      </c>
      <c r="C4" s="89" t="s">
        <v>8</v>
      </c>
      <c r="D4" s="89" t="s">
        <v>9</v>
      </c>
      <c r="F4" s="133" t="s">
        <v>10</v>
      </c>
      <c r="G4" s="134"/>
      <c r="H4" s="134"/>
      <c r="I4" s="134"/>
      <c r="J4" s="134"/>
      <c r="K4" s="134"/>
      <c r="L4" s="134"/>
      <c r="M4" s="135"/>
    </row>
    <row r="5" spans="1:13" ht="14.65" customHeight="1">
      <c r="A5" s="85" t="s">
        <v>11</v>
      </c>
      <c r="B5" s="93"/>
      <c r="C5" s="93"/>
      <c r="D5" s="90">
        <v>1</v>
      </c>
      <c r="F5" s="136"/>
      <c r="G5" s="137"/>
      <c r="H5" s="137"/>
      <c r="I5" s="137"/>
      <c r="J5" s="137"/>
      <c r="K5" s="137"/>
      <c r="L5" s="137"/>
      <c r="M5" s="138"/>
    </row>
    <row r="6" spans="1:13" ht="14.65" customHeight="1">
      <c r="A6" s="85" t="s">
        <v>12</v>
      </c>
      <c r="B6" s="126">
        <v>3</v>
      </c>
      <c r="C6" s="93"/>
      <c r="D6" s="90">
        <v>2</v>
      </c>
      <c r="F6" s="136"/>
      <c r="G6" s="137"/>
      <c r="H6" s="137"/>
      <c r="I6" s="137"/>
      <c r="J6" s="137"/>
      <c r="K6" s="137"/>
      <c r="L6" s="137"/>
      <c r="M6" s="138"/>
    </row>
    <row r="7" spans="1:13" ht="14.65" customHeight="1">
      <c r="A7" s="85" t="s">
        <v>13</v>
      </c>
      <c r="B7" s="93">
        <v>3</v>
      </c>
      <c r="C7" s="126">
        <v>5</v>
      </c>
      <c r="D7" s="90">
        <v>3</v>
      </c>
      <c r="F7" s="136"/>
      <c r="G7" s="137"/>
      <c r="H7" s="137"/>
      <c r="I7" s="137"/>
      <c r="J7" s="137"/>
      <c r="K7" s="137"/>
      <c r="L7" s="137"/>
      <c r="M7" s="138"/>
    </row>
    <row r="8" spans="1:13" ht="14.65" customHeight="1">
      <c r="A8" s="85" t="s">
        <v>14</v>
      </c>
      <c r="B8" s="93"/>
      <c r="C8" s="93">
        <v>4</v>
      </c>
      <c r="D8" s="90">
        <v>4</v>
      </c>
      <c r="F8" s="136"/>
      <c r="G8" s="137"/>
      <c r="H8" s="137"/>
      <c r="I8" s="137"/>
      <c r="J8" s="137"/>
      <c r="K8" s="137"/>
      <c r="L8" s="137"/>
      <c r="M8" s="138"/>
    </row>
    <row r="9" spans="1:13">
      <c r="A9" s="85" t="s">
        <v>15</v>
      </c>
      <c r="B9" s="93"/>
      <c r="C9" s="93"/>
      <c r="D9" s="90">
        <v>5</v>
      </c>
      <c r="F9" s="136"/>
      <c r="G9" s="137"/>
      <c r="H9" s="137"/>
      <c r="I9" s="137"/>
      <c r="J9" s="137"/>
      <c r="K9" s="137"/>
      <c r="L9" s="137"/>
      <c r="M9" s="138"/>
    </row>
    <row r="10" spans="1:13">
      <c r="A10" s="88"/>
      <c r="F10" s="136"/>
      <c r="G10" s="137"/>
      <c r="H10" s="137"/>
      <c r="I10" s="137"/>
      <c r="J10" s="137"/>
      <c r="K10" s="137"/>
      <c r="L10" s="137"/>
      <c r="M10" s="138"/>
    </row>
    <row r="11" spans="1:13" ht="23.45">
      <c r="A11" s="112" t="s">
        <v>16</v>
      </c>
      <c r="F11" s="136"/>
      <c r="G11" s="137"/>
      <c r="H11" s="137"/>
      <c r="I11" s="137"/>
      <c r="J11" s="137"/>
      <c r="K11" s="137"/>
      <c r="L11" s="137"/>
      <c r="M11" s="138"/>
    </row>
    <row r="12" spans="1:13" ht="28.9">
      <c r="A12" s="99" t="s">
        <v>17</v>
      </c>
      <c r="B12" s="104" t="s">
        <v>7</v>
      </c>
      <c r="C12" s="104" t="s">
        <v>8</v>
      </c>
      <c r="D12" s="89" t="s">
        <v>9</v>
      </c>
      <c r="F12" s="136"/>
      <c r="G12" s="137"/>
      <c r="H12" s="137"/>
      <c r="I12" s="137"/>
      <c r="J12" s="137"/>
      <c r="K12" s="137"/>
      <c r="L12" s="137"/>
      <c r="M12" s="138"/>
    </row>
    <row r="13" spans="1:13">
      <c r="A13" s="91" t="s">
        <v>18</v>
      </c>
      <c r="B13" s="92"/>
      <c r="C13" s="92"/>
      <c r="D13" s="90">
        <v>1</v>
      </c>
      <c r="F13" s="136"/>
      <c r="G13" s="137"/>
      <c r="H13" s="137"/>
      <c r="I13" s="137"/>
      <c r="J13" s="137"/>
      <c r="K13" s="137"/>
      <c r="L13" s="137"/>
      <c r="M13" s="138"/>
    </row>
    <row r="14" spans="1:13" ht="28.9">
      <c r="A14" s="91" t="s">
        <v>19</v>
      </c>
      <c r="B14" s="92"/>
      <c r="C14" s="92"/>
      <c r="D14" s="90">
        <v>2</v>
      </c>
      <c r="F14" s="136"/>
      <c r="G14" s="137"/>
      <c r="H14" s="137"/>
      <c r="I14" s="137"/>
      <c r="J14" s="137"/>
      <c r="K14" s="137"/>
      <c r="L14" s="137"/>
      <c r="M14" s="138"/>
    </row>
    <row r="15" spans="1:13" ht="28.9">
      <c r="A15" s="91" t="s">
        <v>20</v>
      </c>
      <c r="B15" s="92"/>
      <c r="C15" s="92"/>
      <c r="D15" s="90">
        <v>3</v>
      </c>
      <c r="F15" s="136"/>
      <c r="G15" s="137"/>
      <c r="H15" s="137"/>
      <c r="I15" s="137"/>
      <c r="J15" s="137"/>
      <c r="K15" s="137"/>
      <c r="L15" s="137"/>
      <c r="M15" s="138"/>
    </row>
    <row r="16" spans="1:13">
      <c r="A16" s="91" t="s">
        <v>21</v>
      </c>
      <c r="B16" s="92"/>
      <c r="C16" s="92"/>
      <c r="D16" s="90">
        <v>4</v>
      </c>
      <c r="F16" s="136"/>
      <c r="G16" s="137"/>
      <c r="H16" s="137"/>
      <c r="I16" s="137"/>
      <c r="J16" s="137"/>
      <c r="K16" s="137"/>
      <c r="L16" s="137"/>
      <c r="M16" s="138"/>
    </row>
    <row r="17" spans="1:13">
      <c r="A17" s="91" t="s">
        <v>22</v>
      </c>
      <c r="B17" s="92"/>
      <c r="C17" s="92"/>
      <c r="D17" s="90">
        <v>5</v>
      </c>
      <c r="F17" s="136"/>
      <c r="G17" s="137"/>
      <c r="H17" s="137"/>
      <c r="I17" s="137"/>
      <c r="J17" s="137"/>
      <c r="K17" s="137"/>
      <c r="L17" s="137"/>
      <c r="M17" s="138"/>
    </row>
    <row r="18" spans="1:13">
      <c r="A18" s="91"/>
      <c r="B18" s="92"/>
      <c r="C18" s="92"/>
      <c r="D18" s="90"/>
      <c r="F18" s="136"/>
      <c r="G18" s="137"/>
      <c r="H18" s="137"/>
      <c r="I18" s="137"/>
      <c r="J18" s="137"/>
      <c r="K18" s="137"/>
      <c r="L18" s="137"/>
      <c r="M18" s="138"/>
    </row>
    <row r="19" spans="1:13" ht="28.9">
      <c r="A19" s="99" t="s">
        <v>23</v>
      </c>
      <c r="B19" s="104" t="s">
        <v>7</v>
      </c>
      <c r="C19" s="104" t="s">
        <v>8</v>
      </c>
      <c r="D19" s="89" t="s">
        <v>9</v>
      </c>
      <c r="F19" s="136"/>
      <c r="G19" s="137"/>
      <c r="H19" s="137"/>
      <c r="I19" s="137"/>
      <c r="J19" s="137"/>
      <c r="K19" s="137"/>
      <c r="L19" s="137"/>
      <c r="M19" s="138"/>
    </row>
    <row r="20" spans="1:13">
      <c r="A20" s="91" t="s">
        <v>24</v>
      </c>
      <c r="B20" s="92"/>
      <c r="C20" s="92"/>
      <c r="D20" s="90">
        <v>1</v>
      </c>
      <c r="F20" s="136"/>
      <c r="G20" s="137"/>
      <c r="H20" s="137"/>
      <c r="I20" s="137"/>
      <c r="J20" s="137"/>
      <c r="K20" s="137"/>
      <c r="L20" s="137"/>
      <c r="M20" s="138"/>
    </row>
    <row r="21" spans="1:13">
      <c r="A21" s="91" t="s">
        <v>25</v>
      </c>
      <c r="B21" s="92"/>
      <c r="C21" s="92"/>
      <c r="D21" s="90">
        <v>2</v>
      </c>
      <c r="F21" s="136"/>
      <c r="G21" s="137"/>
      <c r="H21" s="137"/>
      <c r="I21" s="137"/>
      <c r="J21" s="137"/>
      <c r="K21" s="137"/>
      <c r="L21" s="137"/>
      <c r="M21" s="138"/>
    </row>
    <row r="22" spans="1:13">
      <c r="A22" s="91" t="s">
        <v>26</v>
      </c>
      <c r="B22" s="92"/>
      <c r="C22" s="92"/>
      <c r="D22" s="90">
        <v>3</v>
      </c>
      <c r="F22" s="139"/>
      <c r="G22" s="140"/>
      <c r="H22" s="140"/>
      <c r="I22" s="140"/>
      <c r="J22" s="140"/>
      <c r="K22" s="140"/>
      <c r="L22" s="140"/>
      <c r="M22" s="141"/>
    </row>
    <row r="23" spans="1:13" ht="28.9">
      <c r="A23" s="91" t="s">
        <v>27</v>
      </c>
      <c r="B23" s="92"/>
      <c r="C23" s="92"/>
      <c r="D23" s="90">
        <v>4</v>
      </c>
    </row>
    <row r="24" spans="1:13">
      <c r="A24" s="91" t="s">
        <v>28</v>
      </c>
      <c r="B24" s="92"/>
      <c r="C24" s="92"/>
      <c r="D24" s="90">
        <v>5</v>
      </c>
    </row>
    <row r="25" spans="1:13">
      <c r="A25" s="91"/>
      <c r="B25" s="92"/>
      <c r="C25" s="92"/>
      <c r="D25" s="90"/>
    </row>
    <row r="26" spans="1:13" ht="28.9">
      <c r="A26" s="99" t="s">
        <v>29</v>
      </c>
      <c r="B26" s="104" t="s">
        <v>7</v>
      </c>
      <c r="C26" s="104" t="s">
        <v>8</v>
      </c>
      <c r="D26" s="89" t="s">
        <v>9</v>
      </c>
    </row>
    <row r="27" spans="1:13">
      <c r="A27" s="91" t="s">
        <v>30</v>
      </c>
      <c r="B27" s="92"/>
      <c r="C27" s="92"/>
      <c r="D27" s="90">
        <v>1</v>
      </c>
    </row>
    <row r="28" spans="1:13">
      <c r="A28" s="91" t="s">
        <v>31</v>
      </c>
      <c r="B28" s="92"/>
      <c r="C28" s="92"/>
      <c r="D28" s="90">
        <v>2</v>
      </c>
    </row>
    <row r="29" spans="1:13" ht="28.9">
      <c r="A29" s="91" t="s">
        <v>32</v>
      </c>
      <c r="B29" s="92"/>
      <c r="C29" s="92"/>
      <c r="D29" s="90">
        <v>3</v>
      </c>
    </row>
    <row r="30" spans="1:13" ht="28.9">
      <c r="A30" s="91" t="s">
        <v>33</v>
      </c>
      <c r="B30" s="92"/>
      <c r="C30" s="92"/>
      <c r="D30" s="90">
        <v>4</v>
      </c>
    </row>
    <row r="31" spans="1:13" ht="28.9">
      <c r="A31" s="91" t="s">
        <v>34</v>
      </c>
      <c r="B31" s="92"/>
      <c r="C31" s="92"/>
      <c r="D31" s="90">
        <v>5</v>
      </c>
    </row>
    <row r="32" spans="1:13">
      <c r="A32" s="91"/>
      <c r="B32" s="92"/>
      <c r="C32" s="92"/>
      <c r="D32" s="90"/>
    </row>
    <row r="33" spans="1:4" ht="28.9">
      <c r="A33" s="99" t="s">
        <v>35</v>
      </c>
      <c r="B33" s="104" t="s">
        <v>7</v>
      </c>
      <c r="C33" s="104" t="s">
        <v>8</v>
      </c>
      <c r="D33" s="89" t="s">
        <v>9</v>
      </c>
    </row>
    <row r="34" spans="1:4">
      <c r="A34" s="91" t="s">
        <v>36</v>
      </c>
      <c r="B34" s="92"/>
      <c r="C34" s="92"/>
      <c r="D34" s="90">
        <v>1</v>
      </c>
    </row>
    <row r="35" spans="1:4">
      <c r="A35" s="91" t="s">
        <v>37</v>
      </c>
      <c r="B35" s="92"/>
      <c r="C35" s="92"/>
      <c r="D35" s="90">
        <v>2</v>
      </c>
    </row>
    <row r="36" spans="1:4" ht="28.9">
      <c r="A36" s="91" t="s">
        <v>38</v>
      </c>
      <c r="B36" s="92"/>
      <c r="C36" s="92"/>
      <c r="D36" s="90">
        <v>3</v>
      </c>
    </row>
    <row r="37" spans="1:4" ht="28.9">
      <c r="A37" s="91" t="s">
        <v>39</v>
      </c>
      <c r="B37" s="92"/>
      <c r="C37" s="92"/>
      <c r="D37" s="90">
        <v>4</v>
      </c>
    </row>
    <row r="38" spans="1:4" ht="28.9">
      <c r="A38" s="91" t="s">
        <v>40</v>
      </c>
      <c r="B38" s="92"/>
      <c r="C38" s="92"/>
      <c r="D38" s="90">
        <v>5</v>
      </c>
    </row>
    <row r="39" spans="1:4">
      <c r="A39" s="91"/>
      <c r="B39" s="92"/>
      <c r="C39" s="92"/>
      <c r="D39" s="90"/>
    </row>
    <row r="40" spans="1:4" ht="28.9">
      <c r="A40" s="99" t="s">
        <v>41</v>
      </c>
      <c r="B40" s="104" t="s">
        <v>7</v>
      </c>
      <c r="C40" s="104" t="s">
        <v>8</v>
      </c>
      <c r="D40" s="89" t="s">
        <v>9</v>
      </c>
    </row>
    <row r="41" spans="1:4">
      <c r="A41" s="91" t="s">
        <v>42</v>
      </c>
      <c r="B41" s="92"/>
      <c r="C41" s="92"/>
      <c r="D41" s="90">
        <v>1</v>
      </c>
    </row>
    <row r="42" spans="1:4">
      <c r="A42" s="91" t="s">
        <v>43</v>
      </c>
      <c r="B42" s="92"/>
      <c r="C42" s="92"/>
      <c r="D42" s="90">
        <v>2</v>
      </c>
    </row>
    <row r="43" spans="1:4" ht="28.9">
      <c r="A43" s="91" t="s">
        <v>44</v>
      </c>
      <c r="B43" s="92"/>
      <c r="C43" s="92"/>
      <c r="D43" s="90">
        <v>3</v>
      </c>
    </row>
    <row r="44" spans="1:4" ht="28.9">
      <c r="A44" s="91" t="s">
        <v>45</v>
      </c>
      <c r="B44" s="92"/>
      <c r="C44" s="92"/>
      <c r="D44" s="90">
        <v>4</v>
      </c>
    </row>
    <row r="45" spans="1:4" ht="28.9">
      <c r="A45" s="91" t="s">
        <v>46</v>
      </c>
      <c r="B45" s="92"/>
      <c r="C45" s="92"/>
      <c r="D45" s="90">
        <v>5</v>
      </c>
    </row>
    <row r="46" spans="1:4">
      <c r="A46" s="91"/>
      <c r="B46" s="92"/>
      <c r="C46" s="92"/>
      <c r="D46" s="90"/>
    </row>
    <row r="47" spans="1:4" ht="28.9">
      <c r="A47" s="99" t="s">
        <v>47</v>
      </c>
      <c r="B47" s="104" t="s">
        <v>7</v>
      </c>
      <c r="C47" s="104" t="s">
        <v>8</v>
      </c>
      <c r="D47" s="89" t="s">
        <v>9</v>
      </c>
    </row>
    <row r="48" spans="1:4">
      <c r="A48" s="91" t="s">
        <v>48</v>
      </c>
      <c r="B48" s="92"/>
      <c r="C48" s="92"/>
      <c r="D48" s="90">
        <v>1</v>
      </c>
    </row>
    <row r="49" spans="1:4">
      <c r="A49" s="91" t="s">
        <v>49</v>
      </c>
      <c r="B49" s="92"/>
      <c r="C49" s="92"/>
      <c r="D49" s="90">
        <v>2</v>
      </c>
    </row>
    <row r="50" spans="1:4">
      <c r="A50" s="91" t="s">
        <v>50</v>
      </c>
      <c r="B50" s="92"/>
      <c r="C50" s="92"/>
      <c r="D50" s="90">
        <v>3</v>
      </c>
    </row>
    <row r="51" spans="1:4">
      <c r="A51" s="91" t="s">
        <v>51</v>
      </c>
      <c r="B51" s="92"/>
      <c r="C51" s="92"/>
      <c r="D51" s="90">
        <v>4</v>
      </c>
    </row>
    <row r="52" spans="1:4">
      <c r="A52" s="91" t="s">
        <v>52</v>
      </c>
      <c r="B52" s="92"/>
      <c r="C52" s="92"/>
      <c r="D52" s="90">
        <v>5</v>
      </c>
    </row>
    <row r="54" spans="1:4" ht="23.45">
      <c r="A54" s="113" t="s">
        <v>53</v>
      </c>
    </row>
    <row r="55" spans="1:4" ht="28.9">
      <c r="A55" s="101" t="s">
        <v>54</v>
      </c>
      <c r="B55" s="105" t="s">
        <v>7</v>
      </c>
      <c r="C55" s="105" t="s">
        <v>8</v>
      </c>
      <c r="D55" s="89" t="s">
        <v>9</v>
      </c>
    </row>
    <row r="56" spans="1:4">
      <c r="A56" s="118" t="s">
        <v>55</v>
      </c>
      <c r="B56" s="92"/>
      <c r="C56" s="92"/>
      <c r="D56" s="90">
        <v>1</v>
      </c>
    </row>
    <row r="57" spans="1:4">
      <c r="A57" s="118" t="s">
        <v>56</v>
      </c>
      <c r="B57" s="92"/>
      <c r="C57" s="92"/>
      <c r="D57" s="90">
        <v>2</v>
      </c>
    </row>
    <row r="58" spans="1:4" ht="28.9">
      <c r="A58" s="119" t="s">
        <v>57</v>
      </c>
      <c r="B58" s="92"/>
      <c r="C58" s="92"/>
      <c r="D58" s="90">
        <v>3</v>
      </c>
    </row>
    <row r="59" spans="1:4">
      <c r="A59" s="118" t="s">
        <v>58</v>
      </c>
      <c r="B59" s="92"/>
      <c r="C59" s="92"/>
      <c r="D59" s="90">
        <v>4</v>
      </c>
    </row>
    <row r="60" spans="1:4">
      <c r="A60" s="118" t="s">
        <v>59</v>
      </c>
      <c r="B60" s="92"/>
      <c r="C60" s="92"/>
      <c r="D60" s="90">
        <v>5</v>
      </c>
    </row>
    <row r="61" spans="1:4">
      <c r="A61" s="91"/>
      <c r="B61" s="92"/>
      <c r="C61" s="92"/>
      <c r="D61" s="90"/>
    </row>
    <row r="62" spans="1:4" ht="28.9">
      <c r="A62" s="101" t="s">
        <v>60</v>
      </c>
      <c r="B62" s="105" t="s">
        <v>7</v>
      </c>
      <c r="C62" s="105" t="s">
        <v>8</v>
      </c>
      <c r="D62" s="89" t="s">
        <v>9</v>
      </c>
    </row>
    <row r="63" spans="1:4" ht="28.9">
      <c r="A63" s="119" t="s">
        <v>61</v>
      </c>
      <c r="B63" s="92"/>
      <c r="C63" s="92"/>
      <c r="D63" s="90">
        <v>1</v>
      </c>
    </row>
    <row r="64" spans="1:4" ht="28.9">
      <c r="A64" s="119" t="s">
        <v>62</v>
      </c>
      <c r="B64" s="92"/>
      <c r="C64" s="92"/>
      <c r="D64" s="90">
        <v>2</v>
      </c>
    </row>
    <row r="65" spans="1:4" ht="28.9">
      <c r="A65" s="119" t="s">
        <v>63</v>
      </c>
      <c r="B65" s="92"/>
      <c r="C65" s="92"/>
      <c r="D65" s="90">
        <v>3</v>
      </c>
    </row>
    <row r="66" spans="1:4" ht="28.9">
      <c r="A66" s="119" t="s">
        <v>64</v>
      </c>
      <c r="B66" s="92"/>
      <c r="C66" s="92"/>
      <c r="D66" s="90">
        <v>4</v>
      </c>
    </row>
    <row r="67" spans="1:4" ht="28.9">
      <c r="A67" s="119" t="s">
        <v>65</v>
      </c>
      <c r="B67" s="92"/>
      <c r="C67" s="92"/>
      <c r="D67" s="90">
        <v>5</v>
      </c>
    </row>
    <row r="68" spans="1:4">
      <c r="A68" s="91"/>
      <c r="B68" s="92"/>
      <c r="C68" s="92"/>
      <c r="D68" s="90"/>
    </row>
    <row r="69" spans="1:4" ht="28.9">
      <c r="A69" s="101" t="s">
        <v>66</v>
      </c>
      <c r="B69" s="105" t="s">
        <v>7</v>
      </c>
      <c r="C69" s="105" t="s">
        <v>8</v>
      </c>
      <c r="D69" s="89" t="s">
        <v>9</v>
      </c>
    </row>
    <row r="70" spans="1:4">
      <c r="A70" s="118" t="s">
        <v>67</v>
      </c>
      <c r="B70" s="92"/>
      <c r="C70" s="92"/>
      <c r="D70" s="90">
        <v>1</v>
      </c>
    </row>
    <row r="71" spans="1:4" ht="28.9">
      <c r="A71" s="118" t="s">
        <v>68</v>
      </c>
      <c r="B71" s="92"/>
      <c r="C71" s="92"/>
      <c r="D71" s="90">
        <v>2</v>
      </c>
    </row>
    <row r="72" spans="1:4" ht="43.15">
      <c r="A72" s="118" t="s">
        <v>69</v>
      </c>
      <c r="B72" s="92"/>
      <c r="C72" s="92"/>
      <c r="D72" s="90">
        <v>3</v>
      </c>
    </row>
    <row r="73" spans="1:4" ht="28.9">
      <c r="A73" s="118" t="s">
        <v>70</v>
      </c>
      <c r="B73" s="92"/>
      <c r="C73" s="92"/>
      <c r="D73" s="90">
        <v>4</v>
      </c>
    </row>
    <row r="74" spans="1:4" ht="28.9">
      <c r="A74" s="118" t="s">
        <v>71</v>
      </c>
      <c r="B74" s="92"/>
      <c r="C74" s="92"/>
      <c r="D74" s="90">
        <v>5</v>
      </c>
    </row>
    <row r="75" spans="1:4">
      <c r="A75" s="91"/>
      <c r="B75" s="92"/>
      <c r="C75" s="92"/>
      <c r="D75" s="90"/>
    </row>
    <row r="76" spans="1:4" ht="28.9">
      <c r="A76" s="101" t="s">
        <v>72</v>
      </c>
      <c r="B76" s="105" t="s">
        <v>7</v>
      </c>
      <c r="C76" s="105" t="s">
        <v>8</v>
      </c>
      <c r="D76" s="89" t="s">
        <v>9</v>
      </c>
    </row>
    <row r="77" spans="1:4">
      <c r="A77" s="118" t="s">
        <v>73</v>
      </c>
      <c r="B77" s="92"/>
      <c r="C77" s="92"/>
      <c r="D77" s="90">
        <v>1</v>
      </c>
    </row>
    <row r="78" spans="1:4" ht="28.9">
      <c r="A78" s="118" t="s">
        <v>74</v>
      </c>
      <c r="B78" s="92"/>
      <c r="C78" s="92"/>
      <c r="D78" s="90">
        <v>2</v>
      </c>
    </row>
    <row r="79" spans="1:4">
      <c r="A79" s="118" t="s">
        <v>75</v>
      </c>
      <c r="B79" s="92"/>
      <c r="C79" s="92"/>
      <c r="D79" s="90">
        <v>3</v>
      </c>
    </row>
    <row r="80" spans="1:4">
      <c r="A80" s="118" t="s">
        <v>76</v>
      </c>
      <c r="B80" s="92"/>
      <c r="C80" s="92"/>
      <c r="D80" s="90">
        <v>4</v>
      </c>
    </row>
    <row r="81" spans="1:4">
      <c r="A81" s="118" t="s">
        <v>77</v>
      </c>
      <c r="B81" s="92"/>
      <c r="C81" s="92"/>
      <c r="D81" s="90">
        <v>5</v>
      </c>
    </row>
    <row r="82" spans="1:4">
      <c r="A82" s="91"/>
      <c r="B82" s="92"/>
      <c r="C82" s="92"/>
      <c r="D82" s="90"/>
    </row>
    <row r="83" spans="1:4" ht="28.9">
      <c r="A83" s="101" t="s">
        <v>78</v>
      </c>
      <c r="B83" s="105" t="s">
        <v>7</v>
      </c>
      <c r="C83" s="105" t="s">
        <v>8</v>
      </c>
      <c r="D83" s="89" t="s">
        <v>9</v>
      </c>
    </row>
    <row r="84" spans="1:4">
      <c r="A84" s="118" t="s">
        <v>79</v>
      </c>
      <c r="B84" s="92"/>
      <c r="C84" s="92"/>
      <c r="D84" s="90">
        <v>1</v>
      </c>
    </row>
    <row r="85" spans="1:4">
      <c r="A85" s="118" t="s">
        <v>80</v>
      </c>
      <c r="B85" s="92"/>
      <c r="C85" s="92"/>
      <c r="D85" s="90">
        <v>2</v>
      </c>
    </row>
    <row r="86" spans="1:4">
      <c r="A86" s="118" t="s">
        <v>81</v>
      </c>
      <c r="B86" s="92"/>
      <c r="C86" s="92"/>
      <c r="D86" s="90">
        <v>3</v>
      </c>
    </row>
    <row r="87" spans="1:4">
      <c r="A87" s="118" t="s">
        <v>82</v>
      </c>
      <c r="B87" s="92"/>
      <c r="C87" s="92"/>
      <c r="D87" s="90">
        <v>4</v>
      </c>
    </row>
    <row r="88" spans="1:4">
      <c r="A88" s="118" t="s">
        <v>83</v>
      </c>
      <c r="B88" s="92"/>
      <c r="C88" s="92"/>
      <c r="D88" s="90">
        <v>5</v>
      </c>
    </row>
    <row r="89" spans="1:4">
      <c r="A89" s="118"/>
      <c r="B89" s="92"/>
      <c r="C89" s="92"/>
      <c r="D89" s="90"/>
    </row>
    <row r="90" spans="1:4" ht="28.9">
      <c r="A90" s="101" t="s">
        <v>84</v>
      </c>
      <c r="B90" s="105" t="s">
        <v>7</v>
      </c>
      <c r="C90" s="105" t="s">
        <v>8</v>
      </c>
      <c r="D90" s="89" t="s">
        <v>9</v>
      </c>
    </row>
    <row r="91" spans="1:4">
      <c r="A91" s="118" t="s">
        <v>85</v>
      </c>
      <c r="B91" s="92"/>
      <c r="C91" s="92"/>
      <c r="D91" s="90">
        <v>1</v>
      </c>
    </row>
    <row r="92" spans="1:4">
      <c r="A92" s="118" t="s">
        <v>86</v>
      </c>
      <c r="B92" s="92"/>
      <c r="C92" s="92"/>
      <c r="D92" s="90">
        <v>2</v>
      </c>
    </row>
    <row r="93" spans="1:4">
      <c r="A93" s="118" t="s">
        <v>87</v>
      </c>
      <c r="B93" s="92"/>
      <c r="C93" s="92"/>
      <c r="D93" s="90">
        <v>3</v>
      </c>
    </row>
    <row r="94" spans="1:4">
      <c r="A94" s="118" t="s">
        <v>88</v>
      </c>
      <c r="B94" s="92"/>
      <c r="C94" s="92"/>
      <c r="D94" s="90">
        <v>4</v>
      </c>
    </row>
    <row r="95" spans="1:4" ht="28.9">
      <c r="A95" s="118" t="s">
        <v>89</v>
      </c>
      <c r="B95" s="92"/>
      <c r="C95" s="92"/>
      <c r="D95" s="90">
        <v>5</v>
      </c>
    </row>
    <row r="96" spans="1:4">
      <c r="A96" s="118"/>
      <c r="B96" s="92"/>
      <c r="C96" s="92"/>
      <c r="D96" s="90"/>
    </row>
    <row r="97" spans="1:4" ht="28.9">
      <c r="A97" s="101" t="s">
        <v>90</v>
      </c>
      <c r="B97" s="105" t="s">
        <v>7</v>
      </c>
      <c r="C97" s="105" t="s">
        <v>8</v>
      </c>
      <c r="D97" s="89" t="s">
        <v>9</v>
      </c>
    </row>
    <row r="98" spans="1:4">
      <c r="A98" s="118" t="s">
        <v>91</v>
      </c>
      <c r="B98" s="92"/>
      <c r="C98" s="92"/>
      <c r="D98" s="90">
        <v>1</v>
      </c>
    </row>
    <row r="99" spans="1:4" ht="28.9">
      <c r="A99" s="118" t="s">
        <v>92</v>
      </c>
      <c r="B99" s="92"/>
      <c r="C99" s="92"/>
      <c r="D99" s="90">
        <v>2</v>
      </c>
    </row>
    <row r="100" spans="1:4">
      <c r="A100" s="118" t="s">
        <v>93</v>
      </c>
      <c r="B100" s="92"/>
      <c r="C100" s="92"/>
      <c r="D100" s="90">
        <v>3</v>
      </c>
    </row>
    <row r="101" spans="1:4" ht="28.9">
      <c r="A101" s="118" t="s">
        <v>94</v>
      </c>
      <c r="B101" s="92"/>
      <c r="C101" s="92"/>
      <c r="D101" s="90">
        <v>4</v>
      </c>
    </row>
    <row r="102" spans="1:4" ht="28.9">
      <c r="A102" s="118" t="s">
        <v>95</v>
      </c>
      <c r="B102" s="92"/>
      <c r="C102" s="92"/>
      <c r="D102" s="90">
        <v>5</v>
      </c>
    </row>
    <row r="103" spans="1:4">
      <c r="A103" s="118"/>
      <c r="B103" s="92"/>
      <c r="C103" s="92"/>
      <c r="D103" s="90"/>
    </row>
    <row r="104" spans="1:4" ht="28.9">
      <c r="A104" s="101" t="s">
        <v>96</v>
      </c>
      <c r="B104" s="105" t="s">
        <v>7</v>
      </c>
      <c r="C104" s="105" t="s">
        <v>8</v>
      </c>
      <c r="D104" s="89" t="s">
        <v>9</v>
      </c>
    </row>
    <row r="105" spans="1:4">
      <c r="A105" s="118" t="s">
        <v>97</v>
      </c>
      <c r="B105" s="92"/>
      <c r="C105" s="92"/>
      <c r="D105" s="90">
        <v>1</v>
      </c>
    </row>
    <row r="106" spans="1:4" ht="28.9">
      <c r="A106" s="118" t="s">
        <v>98</v>
      </c>
      <c r="B106" s="92"/>
      <c r="C106" s="92"/>
      <c r="D106" s="90">
        <v>2</v>
      </c>
    </row>
    <row r="107" spans="1:4">
      <c r="A107" s="118" t="s">
        <v>99</v>
      </c>
      <c r="B107" s="92"/>
      <c r="C107" s="92"/>
      <c r="D107" s="90">
        <v>3</v>
      </c>
    </row>
    <row r="108" spans="1:4" ht="28.9">
      <c r="A108" s="118" t="s">
        <v>100</v>
      </c>
      <c r="B108" s="92"/>
      <c r="C108" s="92"/>
      <c r="D108" s="90">
        <v>4</v>
      </c>
    </row>
    <row r="109" spans="1:4" ht="28.9">
      <c r="A109" s="118" t="s">
        <v>101</v>
      </c>
      <c r="B109" s="92"/>
      <c r="C109" s="92"/>
      <c r="D109" s="90">
        <v>5</v>
      </c>
    </row>
    <row r="111" spans="1:4" ht="23.45">
      <c r="A111" s="114" t="s">
        <v>102</v>
      </c>
    </row>
    <row r="112" spans="1:4" ht="28.9">
      <c r="A112" s="98" t="s">
        <v>103</v>
      </c>
      <c r="B112" s="106" t="s">
        <v>7</v>
      </c>
      <c r="C112" s="106" t="s">
        <v>8</v>
      </c>
      <c r="D112" s="89" t="s">
        <v>9</v>
      </c>
    </row>
    <row r="113" spans="1:4">
      <c r="A113" s="118" t="s">
        <v>104</v>
      </c>
      <c r="B113" s="92"/>
      <c r="C113" s="92"/>
      <c r="D113" s="90">
        <v>1</v>
      </c>
    </row>
    <row r="114" spans="1:4">
      <c r="A114" s="118" t="s">
        <v>105</v>
      </c>
      <c r="B114" s="92"/>
      <c r="C114" s="92"/>
      <c r="D114" s="90">
        <v>2</v>
      </c>
    </row>
    <row r="115" spans="1:4" ht="28.9">
      <c r="A115" s="118" t="s">
        <v>106</v>
      </c>
      <c r="B115" s="92"/>
      <c r="C115" s="92"/>
      <c r="D115" s="90">
        <v>3</v>
      </c>
    </row>
    <row r="116" spans="1:4" ht="28.9">
      <c r="A116" s="118" t="s">
        <v>107</v>
      </c>
      <c r="B116" s="92"/>
      <c r="C116" s="92"/>
      <c r="D116" s="90">
        <v>4</v>
      </c>
    </row>
    <row r="117" spans="1:4">
      <c r="A117" s="118" t="s">
        <v>108</v>
      </c>
      <c r="B117" s="92"/>
      <c r="C117" s="92"/>
      <c r="D117" s="90">
        <v>5</v>
      </c>
    </row>
    <row r="118" spans="1:4">
      <c r="A118" s="91"/>
      <c r="B118" s="92"/>
      <c r="C118" s="92"/>
      <c r="D118" s="90"/>
    </row>
    <row r="119" spans="1:4" ht="28.9">
      <c r="A119" s="98" t="s">
        <v>109</v>
      </c>
      <c r="B119" s="106" t="s">
        <v>7</v>
      </c>
      <c r="C119" s="106" t="s">
        <v>8</v>
      </c>
      <c r="D119" s="89" t="s">
        <v>9</v>
      </c>
    </row>
    <row r="120" spans="1:4">
      <c r="A120" s="118" t="s">
        <v>91</v>
      </c>
      <c r="B120" s="92"/>
      <c r="C120" s="92"/>
      <c r="D120" s="90">
        <v>1</v>
      </c>
    </row>
    <row r="121" spans="1:4">
      <c r="A121" s="118" t="s">
        <v>110</v>
      </c>
      <c r="B121" s="92"/>
      <c r="C121" s="92"/>
      <c r="D121" s="90">
        <v>2</v>
      </c>
    </row>
    <row r="122" spans="1:4" ht="28.9">
      <c r="A122" s="118" t="s">
        <v>111</v>
      </c>
      <c r="B122" s="92"/>
      <c r="C122" s="92"/>
      <c r="D122" s="90">
        <v>3</v>
      </c>
    </row>
    <row r="123" spans="1:4">
      <c r="A123" s="118" t="s">
        <v>112</v>
      </c>
      <c r="B123" s="92"/>
      <c r="C123" s="92"/>
      <c r="D123" s="90">
        <v>4</v>
      </c>
    </row>
    <row r="124" spans="1:4">
      <c r="A124" s="118" t="s">
        <v>113</v>
      </c>
      <c r="B124" s="92"/>
      <c r="C124" s="92"/>
      <c r="D124" s="90">
        <v>5</v>
      </c>
    </row>
    <row r="125" spans="1:4">
      <c r="A125" s="91"/>
      <c r="B125" s="92"/>
      <c r="C125" s="92"/>
      <c r="D125" s="90"/>
    </row>
    <row r="126" spans="1:4" ht="28.9">
      <c r="A126" s="98" t="s">
        <v>114</v>
      </c>
      <c r="B126" s="106" t="s">
        <v>7</v>
      </c>
      <c r="C126" s="106" t="s">
        <v>8</v>
      </c>
      <c r="D126" s="89" t="s">
        <v>9</v>
      </c>
    </row>
    <row r="127" spans="1:4">
      <c r="A127" s="118" t="s">
        <v>115</v>
      </c>
      <c r="B127" s="92"/>
      <c r="C127" s="92"/>
      <c r="D127" s="90">
        <v>1</v>
      </c>
    </row>
    <row r="128" spans="1:4" ht="28.9">
      <c r="A128" s="118" t="s">
        <v>116</v>
      </c>
      <c r="B128" s="92"/>
      <c r="C128" s="92"/>
      <c r="D128" s="90">
        <v>2</v>
      </c>
    </row>
    <row r="129" spans="1:4" ht="28.9">
      <c r="A129" s="118" t="s">
        <v>117</v>
      </c>
      <c r="B129" s="92"/>
      <c r="C129" s="92"/>
      <c r="D129" s="90">
        <v>3</v>
      </c>
    </row>
    <row r="130" spans="1:4" ht="28.9">
      <c r="A130" s="118" t="s">
        <v>118</v>
      </c>
      <c r="B130" s="92"/>
      <c r="C130" s="92"/>
      <c r="D130" s="90">
        <v>4</v>
      </c>
    </row>
    <row r="131" spans="1:4">
      <c r="A131" s="118" t="s">
        <v>119</v>
      </c>
      <c r="B131" s="92"/>
      <c r="C131" s="92"/>
      <c r="D131" s="90">
        <v>5</v>
      </c>
    </row>
    <row r="133" spans="1:4" ht="23.45">
      <c r="A133" s="115" t="s">
        <v>120</v>
      </c>
    </row>
    <row r="134" spans="1:4" ht="28.9">
      <c r="A134" s="97" t="s">
        <v>121</v>
      </c>
      <c r="B134" s="107" t="s">
        <v>7</v>
      </c>
      <c r="C134" s="107" t="s">
        <v>8</v>
      </c>
      <c r="D134" s="89" t="s">
        <v>9</v>
      </c>
    </row>
    <row r="135" spans="1:4">
      <c r="A135" s="91"/>
      <c r="B135" s="92"/>
      <c r="C135" s="92"/>
      <c r="D135" s="90">
        <v>1</v>
      </c>
    </row>
    <row r="136" spans="1:4">
      <c r="A136" s="91" t="s">
        <v>122</v>
      </c>
      <c r="B136" s="92"/>
      <c r="C136" s="92"/>
      <c r="D136" s="90">
        <v>2</v>
      </c>
    </row>
    <row r="137" spans="1:4" ht="28.9">
      <c r="A137" s="91" t="s">
        <v>123</v>
      </c>
      <c r="B137" s="92"/>
      <c r="C137" s="92"/>
      <c r="D137" s="90">
        <v>3</v>
      </c>
    </row>
    <row r="138" spans="1:4">
      <c r="A138" s="91" t="s">
        <v>124</v>
      </c>
      <c r="B138" s="92"/>
      <c r="C138" s="92"/>
      <c r="D138" s="90">
        <v>4</v>
      </c>
    </row>
    <row r="139" spans="1:4">
      <c r="A139" s="91" t="s">
        <v>125</v>
      </c>
      <c r="B139" s="92"/>
      <c r="C139" s="92"/>
      <c r="D139" s="90">
        <v>5</v>
      </c>
    </row>
    <row r="140" spans="1:4">
      <c r="A140" s="91"/>
      <c r="B140" s="92"/>
      <c r="C140" s="92"/>
      <c r="D140" s="90"/>
    </row>
    <row r="141" spans="1:4" ht="28.9">
      <c r="A141" s="97" t="s">
        <v>126</v>
      </c>
      <c r="B141" s="107" t="s">
        <v>7</v>
      </c>
      <c r="C141" s="107" t="s">
        <v>8</v>
      </c>
      <c r="D141" s="89" t="s">
        <v>9</v>
      </c>
    </row>
    <row r="142" spans="1:4">
      <c r="A142" s="91" t="s">
        <v>127</v>
      </c>
      <c r="B142" s="92"/>
      <c r="C142" s="92"/>
      <c r="D142" s="90">
        <v>1</v>
      </c>
    </row>
    <row r="143" spans="1:4">
      <c r="A143" s="91" t="s">
        <v>128</v>
      </c>
      <c r="B143" s="92"/>
      <c r="C143" s="92"/>
      <c r="D143" s="90">
        <v>2</v>
      </c>
    </row>
    <row r="144" spans="1:4" ht="28.9">
      <c r="A144" s="91" t="s">
        <v>129</v>
      </c>
      <c r="B144" s="92"/>
      <c r="C144" s="92"/>
      <c r="D144" s="90">
        <v>3</v>
      </c>
    </row>
    <row r="145" spans="1:4">
      <c r="A145" s="91" t="s">
        <v>130</v>
      </c>
      <c r="B145" s="92"/>
      <c r="C145" s="92"/>
      <c r="D145" s="90">
        <v>4</v>
      </c>
    </row>
    <row r="146" spans="1:4" ht="28.9">
      <c r="A146" s="91" t="s">
        <v>131</v>
      </c>
      <c r="B146" s="92"/>
      <c r="C146" s="92"/>
      <c r="D146" s="90">
        <v>5</v>
      </c>
    </row>
    <row r="147" spans="1:4">
      <c r="A147" s="91"/>
      <c r="B147" s="92"/>
      <c r="C147" s="92"/>
      <c r="D147" s="90"/>
    </row>
    <row r="148" spans="1:4" ht="28.9">
      <c r="A148" s="97" t="s">
        <v>132</v>
      </c>
      <c r="B148" s="107" t="s">
        <v>7</v>
      </c>
      <c r="C148" s="107" t="s">
        <v>8</v>
      </c>
      <c r="D148" s="89" t="s">
        <v>9</v>
      </c>
    </row>
    <row r="149" spans="1:4">
      <c r="A149" s="91" t="s">
        <v>133</v>
      </c>
      <c r="B149" s="92"/>
      <c r="C149" s="92"/>
      <c r="D149" s="90">
        <v>1</v>
      </c>
    </row>
    <row r="150" spans="1:4">
      <c r="A150" s="91" t="s">
        <v>134</v>
      </c>
      <c r="B150" s="92"/>
      <c r="C150" s="92"/>
      <c r="D150" s="90">
        <v>2</v>
      </c>
    </row>
    <row r="151" spans="1:4" ht="28.9">
      <c r="A151" s="91" t="s">
        <v>135</v>
      </c>
      <c r="B151" s="92"/>
      <c r="C151" s="92"/>
      <c r="D151" s="90">
        <v>3</v>
      </c>
    </row>
    <row r="152" spans="1:4" ht="28.9">
      <c r="A152" s="91" t="s">
        <v>136</v>
      </c>
      <c r="B152" s="92"/>
      <c r="C152" s="92"/>
      <c r="D152" s="90">
        <v>4</v>
      </c>
    </row>
    <row r="153" spans="1:4" ht="28.9">
      <c r="A153" s="91" t="s">
        <v>137</v>
      </c>
      <c r="B153" s="92"/>
      <c r="C153" s="92"/>
      <c r="D153" s="90">
        <v>5</v>
      </c>
    </row>
    <row r="154" spans="1:4">
      <c r="A154" s="91"/>
      <c r="B154" s="92"/>
      <c r="C154" s="92"/>
      <c r="D154" s="90"/>
    </row>
    <row r="155" spans="1:4" ht="28.9">
      <c r="A155" s="97" t="s">
        <v>138</v>
      </c>
      <c r="B155" s="107" t="s">
        <v>7</v>
      </c>
      <c r="C155" s="107" t="s">
        <v>8</v>
      </c>
      <c r="D155" s="89" t="s">
        <v>9</v>
      </c>
    </row>
    <row r="156" spans="1:4">
      <c r="A156" s="91"/>
      <c r="B156" s="92"/>
      <c r="C156" s="92"/>
      <c r="D156" s="90">
        <v>1</v>
      </c>
    </row>
    <row r="157" spans="1:4">
      <c r="A157" s="91" t="s">
        <v>139</v>
      </c>
      <c r="B157" s="92"/>
      <c r="C157" s="92"/>
      <c r="D157" s="90">
        <v>2</v>
      </c>
    </row>
    <row r="158" spans="1:4" ht="28.9">
      <c r="A158" s="91" t="s">
        <v>140</v>
      </c>
      <c r="B158" s="92"/>
      <c r="C158" s="92"/>
      <c r="D158" s="90">
        <v>3</v>
      </c>
    </row>
    <row r="159" spans="1:4" ht="28.9">
      <c r="A159" s="91" t="s">
        <v>141</v>
      </c>
      <c r="B159" s="92"/>
      <c r="C159" s="92"/>
      <c r="D159" s="90">
        <v>4</v>
      </c>
    </row>
    <row r="160" spans="1:4" ht="28.9">
      <c r="A160" s="91" t="s">
        <v>142</v>
      </c>
      <c r="B160" s="92"/>
      <c r="C160" s="92"/>
      <c r="D160" s="90">
        <v>5</v>
      </c>
    </row>
    <row r="161" spans="1:4">
      <c r="A161" s="91"/>
      <c r="B161" s="92"/>
      <c r="C161" s="92"/>
      <c r="D161" s="90"/>
    </row>
    <row r="162" spans="1:4" ht="28.9">
      <c r="A162" s="97" t="s">
        <v>143</v>
      </c>
      <c r="B162" s="107" t="s">
        <v>7</v>
      </c>
      <c r="C162" s="107" t="s">
        <v>8</v>
      </c>
      <c r="D162" s="89" t="s">
        <v>9</v>
      </c>
    </row>
    <row r="163" spans="1:4">
      <c r="A163" s="91" t="s">
        <v>144</v>
      </c>
      <c r="B163" s="92"/>
      <c r="C163" s="92"/>
      <c r="D163" s="90">
        <v>1</v>
      </c>
    </row>
    <row r="164" spans="1:4" ht="28.9">
      <c r="A164" s="91" t="s">
        <v>145</v>
      </c>
      <c r="B164" s="92"/>
      <c r="C164" s="92"/>
      <c r="D164" s="90">
        <v>2</v>
      </c>
    </row>
    <row r="165" spans="1:4" ht="28.9">
      <c r="A165" s="91" t="s">
        <v>146</v>
      </c>
      <c r="B165" s="92"/>
      <c r="C165" s="92"/>
      <c r="D165" s="90">
        <v>3</v>
      </c>
    </row>
    <row r="166" spans="1:4" ht="28.9">
      <c r="A166" s="91" t="s">
        <v>147</v>
      </c>
      <c r="B166" s="92"/>
      <c r="C166" s="92"/>
      <c r="D166" s="90">
        <v>4</v>
      </c>
    </row>
    <row r="167" spans="1:4">
      <c r="A167" s="91" t="s">
        <v>148</v>
      </c>
      <c r="B167" s="92"/>
      <c r="C167" s="92"/>
      <c r="D167" s="90">
        <v>5</v>
      </c>
    </row>
    <row r="169" spans="1:4" ht="23.45">
      <c r="A169" s="116" t="s">
        <v>149</v>
      </c>
    </row>
    <row r="170" spans="1:4" ht="28.9">
      <c r="A170" s="96" t="s">
        <v>150</v>
      </c>
      <c r="B170" s="108" t="s">
        <v>7</v>
      </c>
      <c r="C170" s="108" t="s">
        <v>8</v>
      </c>
      <c r="D170" s="89" t="s">
        <v>9</v>
      </c>
    </row>
    <row r="171" spans="1:4">
      <c r="A171" s="91" t="s">
        <v>151</v>
      </c>
      <c r="B171" s="92"/>
      <c r="C171" s="92"/>
      <c r="D171" s="90">
        <v>1</v>
      </c>
    </row>
    <row r="172" spans="1:4">
      <c r="A172" s="91" t="s">
        <v>152</v>
      </c>
      <c r="B172" s="92"/>
      <c r="C172" s="92"/>
      <c r="D172" s="90">
        <v>2</v>
      </c>
    </row>
    <row r="173" spans="1:4">
      <c r="A173" s="91" t="s">
        <v>153</v>
      </c>
      <c r="B173" s="92"/>
      <c r="C173" s="92"/>
      <c r="D173" s="90">
        <v>3</v>
      </c>
    </row>
    <row r="174" spans="1:4" ht="28.9">
      <c r="A174" s="91" t="s">
        <v>154</v>
      </c>
      <c r="B174" s="92"/>
      <c r="C174" s="92"/>
      <c r="D174" s="90">
        <v>4</v>
      </c>
    </row>
    <row r="175" spans="1:4">
      <c r="A175" s="91" t="s">
        <v>155</v>
      </c>
      <c r="B175" s="92"/>
      <c r="C175" s="92"/>
      <c r="D175" s="90">
        <v>5</v>
      </c>
    </row>
    <row r="176" spans="1:4">
      <c r="A176" s="91"/>
      <c r="B176" s="92"/>
      <c r="C176" s="92"/>
      <c r="D176" s="90"/>
    </row>
    <row r="177" spans="1:4" ht="28.9">
      <c r="A177" s="96" t="s">
        <v>156</v>
      </c>
      <c r="B177" s="108" t="s">
        <v>7</v>
      </c>
      <c r="C177" s="108" t="s">
        <v>8</v>
      </c>
      <c r="D177" s="89" t="s">
        <v>9</v>
      </c>
    </row>
    <row r="178" spans="1:4">
      <c r="A178" s="91" t="s">
        <v>157</v>
      </c>
      <c r="B178" s="92"/>
      <c r="C178" s="92"/>
      <c r="D178" s="90">
        <v>1</v>
      </c>
    </row>
    <row r="179" spans="1:4">
      <c r="A179" s="91" t="s">
        <v>158</v>
      </c>
      <c r="B179" s="92"/>
      <c r="C179" s="92"/>
      <c r="D179" s="90">
        <v>2</v>
      </c>
    </row>
    <row r="180" spans="1:4">
      <c r="A180" s="91" t="s">
        <v>159</v>
      </c>
      <c r="B180" s="92"/>
      <c r="C180" s="92"/>
      <c r="D180" s="90">
        <v>3</v>
      </c>
    </row>
    <row r="181" spans="1:4">
      <c r="A181" s="91" t="s">
        <v>160</v>
      </c>
      <c r="B181" s="92"/>
      <c r="C181" s="92"/>
      <c r="D181" s="90">
        <v>4</v>
      </c>
    </row>
    <row r="182" spans="1:4">
      <c r="A182" s="91" t="s">
        <v>161</v>
      </c>
      <c r="B182" s="92"/>
      <c r="C182" s="92"/>
      <c r="D182" s="90">
        <v>5</v>
      </c>
    </row>
    <row r="183" spans="1:4">
      <c r="A183" s="91"/>
      <c r="B183" s="92"/>
      <c r="C183" s="92"/>
      <c r="D183" s="90"/>
    </row>
    <row r="184" spans="1:4" ht="28.9">
      <c r="A184" s="96" t="s">
        <v>162</v>
      </c>
      <c r="B184" s="108" t="s">
        <v>7</v>
      </c>
      <c r="C184" s="108" t="s">
        <v>8</v>
      </c>
      <c r="D184" s="90" t="s">
        <v>9</v>
      </c>
    </row>
    <row r="185" spans="1:4">
      <c r="A185" s="91" t="s">
        <v>163</v>
      </c>
      <c r="B185" s="92"/>
      <c r="C185" s="92"/>
      <c r="D185" s="90">
        <v>1</v>
      </c>
    </row>
    <row r="186" spans="1:4">
      <c r="A186" s="91" t="s">
        <v>164</v>
      </c>
      <c r="B186" s="92"/>
      <c r="C186" s="92"/>
      <c r="D186" s="90">
        <v>2</v>
      </c>
    </row>
    <row r="187" spans="1:4">
      <c r="A187" s="91" t="s">
        <v>165</v>
      </c>
      <c r="B187" s="92"/>
      <c r="C187" s="92"/>
      <c r="D187" s="90">
        <v>3</v>
      </c>
    </row>
    <row r="188" spans="1:4">
      <c r="A188" s="91" t="s">
        <v>166</v>
      </c>
      <c r="B188" s="92"/>
      <c r="C188" s="92"/>
      <c r="D188" s="90">
        <v>4</v>
      </c>
    </row>
    <row r="189" spans="1:4">
      <c r="A189" s="91" t="s">
        <v>167</v>
      </c>
      <c r="B189" s="92"/>
      <c r="C189" s="92"/>
      <c r="D189" s="90">
        <v>5</v>
      </c>
    </row>
    <row r="190" spans="1:4">
      <c r="A190" s="91"/>
      <c r="B190" s="92"/>
      <c r="C190" s="92"/>
      <c r="D190" s="90"/>
    </row>
    <row r="191" spans="1:4" ht="28.9">
      <c r="A191" s="96" t="s">
        <v>168</v>
      </c>
      <c r="B191" s="108" t="s">
        <v>7</v>
      </c>
      <c r="C191" s="108" t="s">
        <v>8</v>
      </c>
      <c r="D191" s="89" t="s">
        <v>9</v>
      </c>
    </row>
    <row r="192" spans="1:4">
      <c r="A192" s="91" t="s">
        <v>169</v>
      </c>
      <c r="B192" s="92"/>
      <c r="C192" s="92"/>
      <c r="D192" s="90">
        <v>1</v>
      </c>
    </row>
    <row r="193" spans="1:4">
      <c r="A193" s="91" t="s">
        <v>170</v>
      </c>
      <c r="B193" s="92"/>
      <c r="C193" s="92"/>
      <c r="D193" s="90">
        <v>2</v>
      </c>
    </row>
    <row r="194" spans="1:4">
      <c r="A194" s="91" t="s">
        <v>171</v>
      </c>
      <c r="B194" s="92"/>
      <c r="C194" s="92"/>
      <c r="D194" s="90">
        <v>3</v>
      </c>
    </row>
    <row r="195" spans="1:4">
      <c r="A195" s="91" t="s">
        <v>172</v>
      </c>
      <c r="B195" s="92"/>
      <c r="C195" s="92"/>
      <c r="D195" s="90">
        <v>4</v>
      </c>
    </row>
    <row r="196" spans="1:4">
      <c r="A196" s="91" t="s">
        <v>173</v>
      </c>
      <c r="B196" s="92"/>
      <c r="C196" s="92"/>
      <c r="D196" s="90">
        <v>5</v>
      </c>
    </row>
    <row r="197" spans="1:4">
      <c r="A197" s="91"/>
      <c r="B197" s="92"/>
      <c r="C197" s="92"/>
      <c r="D197" s="90"/>
    </row>
    <row r="198" spans="1:4" ht="28.9">
      <c r="A198" s="96" t="s">
        <v>174</v>
      </c>
      <c r="B198" s="108" t="s">
        <v>7</v>
      </c>
      <c r="C198" s="108" t="s">
        <v>8</v>
      </c>
      <c r="D198" s="89" t="s">
        <v>9</v>
      </c>
    </row>
    <row r="199" spans="1:4">
      <c r="A199" s="91" t="s">
        <v>175</v>
      </c>
      <c r="B199" s="92"/>
      <c r="C199" s="92"/>
      <c r="D199" s="90">
        <v>1</v>
      </c>
    </row>
    <row r="200" spans="1:4">
      <c r="A200" s="91" t="s">
        <v>176</v>
      </c>
      <c r="B200" s="92"/>
      <c r="C200" s="92"/>
      <c r="D200" s="90">
        <v>2</v>
      </c>
    </row>
    <row r="201" spans="1:4">
      <c r="A201" s="91" t="s">
        <v>177</v>
      </c>
      <c r="B201" s="92"/>
      <c r="C201" s="92"/>
      <c r="D201" s="90">
        <v>3</v>
      </c>
    </row>
    <row r="202" spans="1:4">
      <c r="A202" s="91" t="s">
        <v>178</v>
      </c>
      <c r="B202" s="92"/>
      <c r="C202" s="92"/>
      <c r="D202" s="90">
        <v>4</v>
      </c>
    </row>
    <row r="203" spans="1:4">
      <c r="A203" s="91" t="s">
        <v>179</v>
      </c>
      <c r="B203" s="92"/>
      <c r="C203" s="92"/>
      <c r="D203" s="90">
        <v>5</v>
      </c>
    </row>
    <row r="205" spans="1:4" ht="23.45">
      <c r="A205" s="117" t="s">
        <v>180</v>
      </c>
    </row>
    <row r="206" spans="1:4" ht="28.9">
      <c r="A206" s="95" t="s">
        <v>181</v>
      </c>
      <c r="B206" s="109" t="s">
        <v>7</v>
      </c>
      <c r="C206" s="109" t="s">
        <v>8</v>
      </c>
      <c r="D206" s="89" t="s">
        <v>9</v>
      </c>
    </row>
    <row r="207" spans="1:4">
      <c r="A207" s="91" t="s">
        <v>182</v>
      </c>
      <c r="B207" s="92"/>
      <c r="C207" s="92"/>
      <c r="D207" s="90">
        <v>1</v>
      </c>
    </row>
    <row r="208" spans="1:4">
      <c r="A208" s="91" t="s">
        <v>183</v>
      </c>
      <c r="B208" s="92"/>
      <c r="C208" s="92"/>
      <c r="D208" s="90">
        <v>2</v>
      </c>
    </row>
    <row r="209" spans="1:4" ht="28.9">
      <c r="A209" s="91" t="s">
        <v>184</v>
      </c>
      <c r="B209" s="92"/>
      <c r="C209" s="92"/>
      <c r="D209" s="90">
        <v>3</v>
      </c>
    </row>
    <row r="210" spans="1:4">
      <c r="A210" s="91" t="s">
        <v>185</v>
      </c>
      <c r="B210" s="92"/>
      <c r="C210" s="92"/>
      <c r="D210" s="90">
        <v>4</v>
      </c>
    </row>
    <row r="211" spans="1:4">
      <c r="A211" s="91" t="s">
        <v>186</v>
      </c>
      <c r="B211" s="92"/>
      <c r="C211" s="92"/>
      <c r="D211" s="90">
        <v>5</v>
      </c>
    </row>
    <row r="212" spans="1:4">
      <c r="A212" s="91"/>
      <c r="B212" s="92"/>
      <c r="C212" s="92"/>
      <c r="D212" s="90"/>
    </row>
    <row r="213" spans="1:4" ht="28.9">
      <c r="A213" s="95" t="s">
        <v>187</v>
      </c>
      <c r="B213" s="109" t="s">
        <v>7</v>
      </c>
      <c r="C213" s="109" t="s">
        <v>8</v>
      </c>
      <c r="D213" s="89" t="s">
        <v>9</v>
      </c>
    </row>
    <row r="214" spans="1:4">
      <c r="A214" s="91" t="s">
        <v>188</v>
      </c>
      <c r="B214" s="92"/>
      <c r="C214" s="92"/>
      <c r="D214" s="90">
        <v>1</v>
      </c>
    </row>
    <row r="215" spans="1:4">
      <c r="A215" s="91" t="s">
        <v>189</v>
      </c>
      <c r="B215" s="92"/>
      <c r="C215" s="92"/>
      <c r="D215" s="90">
        <v>2</v>
      </c>
    </row>
    <row r="216" spans="1:4" ht="28.9">
      <c r="A216" s="91" t="s">
        <v>190</v>
      </c>
      <c r="B216" s="92"/>
      <c r="C216" s="92"/>
      <c r="D216" s="90">
        <v>3</v>
      </c>
    </row>
    <row r="217" spans="1:4" ht="28.9">
      <c r="A217" s="91" t="s">
        <v>191</v>
      </c>
      <c r="B217" s="92"/>
      <c r="C217" s="92"/>
      <c r="D217" s="90">
        <v>4</v>
      </c>
    </row>
    <row r="218" spans="1:4">
      <c r="A218" s="91" t="s">
        <v>192</v>
      </c>
      <c r="B218" s="92"/>
      <c r="C218" s="92"/>
      <c r="D218" s="90">
        <v>5</v>
      </c>
    </row>
    <row r="219" spans="1:4">
      <c r="A219" s="91"/>
      <c r="B219" s="92"/>
      <c r="C219" s="92"/>
      <c r="D219" s="90"/>
    </row>
    <row r="220" spans="1:4" ht="28.9">
      <c r="A220" s="95" t="s">
        <v>193</v>
      </c>
      <c r="B220" s="109" t="s">
        <v>7</v>
      </c>
      <c r="C220" s="109" t="s">
        <v>8</v>
      </c>
      <c r="D220" s="89" t="s">
        <v>9</v>
      </c>
    </row>
    <row r="221" spans="1:4">
      <c r="A221" s="91" t="s">
        <v>194</v>
      </c>
      <c r="B221" s="92"/>
      <c r="C221" s="92"/>
      <c r="D221" s="90">
        <v>1</v>
      </c>
    </row>
    <row r="222" spans="1:4">
      <c r="A222" s="91" t="s">
        <v>195</v>
      </c>
      <c r="B222" s="92"/>
      <c r="C222" s="92"/>
      <c r="D222" s="90">
        <v>2</v>
      </c>
    </row>
    <row r="223" spans="1:4">
      <c r="A223" s="91" t="s">
        <v>196</v>
      </c>
      <c r="B223" s="92"/>
      <c r="C223" s="92"/>
      <c r="D223" s="90">
        <v>3</v>
      </c>
    </row>
    <row r="224" spans="1:4">
      <c r="A224" s="91" t="s">
        <v>197</v>
      </c>
      <c r="B224" s="92"/>
      <c r="C224" s="92"/>
      <c r="D224" s="90">
        <v>4</v>
      </c>
    </row>
    <row r="225" spans="1:9">
      <c r="A225" s="91" t="s">
        <v>198</v>
      </c>
      <c r="B225" s="92"/>
      <c r="C225" s="92"/>
      <c r="D225" s="90">
        <v>5</v>
      </c>
    </row>
    <row r="226" spans="1:9">
      <c r="A226" s="91"/>
      <c r="B226" s="92"/>
      <c r="C226" s="92"/>
      <c r="D226" s="90"/>
    </row>
    <row r="227" spans="1:9" ht="28.9">
      <c r="A227" s="95" t="s">
        <v>199</v>
      </c>
      <c r="B227" s="109" t="s">
        <v>7</v>
      </c>
      <c r="C227" s="109" t="s">
        <v>8</v>
      </c>
      <c r="D227" s="89" t="s">
        <v>9</v>
      </c>
    </row>
    <row r="228" spans="1:9">
      <c r="A228" s="110" t="s">
        <v>188</v>
      </c>
      <c r="B228" s="92"/>
      <c r="C228" s="92"/>
      <c r="D228" s="90">
        <v>1</v>
      </c>
    </row>
    <row r="229" spans="1:9">
      <c r="A229" s="91" t="s">
        <v>200</v>
      </c>
      <c r="B229" s="92"/>
      <c r="C229" s="92"/>
      <c r="D229" s="90">
        <v>2</v>
      </c>
    </row>
    <row r="230" spans="1:9" ht="28.9">
      <c r="A230" s="91" t="s">
        <v>201</v>
      </c>
      <c r="B230" s="92"/>
      <c r="C230" s="92"/>
      <c r="D230" s="90">
        <v>3</v>
      </c>
    </row>
    <row r="231" spans="1:9" ht="28.9">
      <c r="A231" s="91" t="s">
        <v>202</v>
      </c>
      <c r="B231" s="92"/>
      <c r="C231" s="92"/>
      <c r="D231" s="90">
        <v>4</v>
      </c>
      <c r="I231" s="103"/>
    </row>
    <row r="232" spans="1:9">
      <c r="A232" s="91" t="s">
        <v>203</v>
      </c>
      <c r="B232" s="92"/>
      <c r="C232" s="92"/>
      <c r="D232" s="90">
        <v>5</v>
      </c>
    </row>
    <row r="233" spans="1:9">
      <c r="A233" s="91"/>
      <c r="B233" s="92"/>
      <c r="C233" s="92"/>
      <c r="D233" s="90"/>
    </row>
    <row r="234" spans="1:9" ht="28.9">
      <c r="A234" s="95" t="s">
        <v>204</v>
      </c>
      <c r="B234" s="109" t="s">
        <v>7</v>
      </c>
      <c r="C234" s="109" t="s">
        <v>8</v>
      </c>
      <c r="D234" s="89" t="s">
        <v>9</v>
      </c>
    </row>
    <row r="235" spans="1:9">
      <c r="A235" s="91" t="s">
        <v>205</v>
      </c>
      <c r="B235" s="92"/>
      <c r="C235" s="92"/>
      <c r="D235" s="90">
        <v>1</v>
      </c>
    </row>
    <row r="236" spans="1:9">
      <c r="A236" s="91" t="s">
        <v>206</v>
      </c>
      <c r="B236" s="92"/>
      <c r="C236" s="92"/>
      <c r="D236" s="90">
        <v>2</v>
      </c>
    </row>
    <row r="237" spans="1:9" ht="28.9">
      <c r="A237" s="91" t="s">
        <v>207</v>
      </c>
      <c r="B237" s="92"/>
      <c r="C237" s="92"/>
      <c r="D237" s="90">
        <v>3</v>
      </c>
    </row>
    <row r="238" spans="1:9" ht="28.9">
      <c r="A238" s="91" t="s">
        <v>208</v>
      </c>
      <c r="B238" s="92"/>
      <c r="C238" s="92"/>
      <c r="D238" s="90">
        <v>4</v>
      </c>
    </row>
    <row r="239" spans="1:9" ht="28.9">
      <c r="A239" s="91" t="s">
        <v>209</v>
      </c>
      <c r="B239" s="92"/>
      <c r="C239" s="92"/>
      <c r="D239"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J27"/>
  <sheetViews>
    <sheetView showGridLines="0" zoomScale="80" zoomScaleNormal="80" workbookViewId="0"/>
  </sheetViews>
  <sheetFormatPr defaultColWidth="8.7109375" defaultRowHeight="14.45"/>
  <cols>
    <col min="1" max="1" width="8.7109375" bestFit="1" customWidth="1"/>
    <col min="2" max="4" width="25.7109375" customWidth="1"/>
    <col min="5" max="36" width="6.42578125" style="27" customWidth="1"/>
  </cols>
  <sheetData>
    <row r="1" spans="1:36" s="1" customFormat="1" ht="100.9" customHeight="1">
      <c r="A1" s="36"/>
      <c r="B1" s="37"/>
      <c r="C1" s="37"/>
      <c r="D1" s="38"/>
      <c r="E1" s="39" t="s">
        <v>210</v>
      </c>
      <c r="F1" s="40" t="s">
        <v>210</v>
      </c>
      <c r="G1" s="40" t="s">
        <v>210</v>
      </c>
      <c r="H1" s="40" t="s">
        <v>210</v>
      </c>
      <c r="I1" s="41" t="s">
        <v>210</v>
      </c>
      <c r="J1" s="42" t="s">
        <v>210</v>
      </c>
      <c r="K1" s="39" t="s">
        <v>211</v>
      </c>
      <c r="L1" s="40" t="s">
        <v>211</v>
      </c>
      <c r="M1" s="40" t="s">
        <v>211</v>
      </c>
      <c r="N1" s="40" t="s">
        <v>211</v>
      </c>
      <c r="O1" s="41" t="s">
        <v>211</v>
      </c>
      <c r="P1" s="43" t="s">
        <v>211</v>
      </c>
      <c r="Q1" s="40" t="s">
        <v>211</v>
      </c>
      <c r="R1" s="40" t="s">
        <v>211</v>
      </c>
      <c r="S1" s="40" t="s">
        <v>212</v>
      </c>
      <c r="T1" s="40" t="s">
        <v>212</v>
      </c>
      <c r="U1" s="43" t="s">
        <v>212</v>
      </c>
      <c r="V1" s="39" t="s">
        <v>213</v>
      </c>
      <c r="W1" s="40" t="s">
        <v>213</v>
      </c>
      <c r="X1" s="40" t="s">
        <v>213</v>
      </c>
      <c r="Y1" s="40" t="s">
        <v>213</v>
      </c>
      <c r="Z1" s="40" t="s">
        <v>213</v>
      </c>
      <c r="AA1" s="43" t="s">
        <v>214</v>
      </c>
      <c r="AB1" s="40" t="s">
        <v>214</v>
      </c>
      <c r="AC1" s="40" t="s">
        <v>214</v>
      </c>
      <c r="AD1" s="40" t="s">
        <v>214</v>
      </c>
      <c r="AE1" s="42" t="s">
        <v>214</v>
      </c>
      <c r="AF1" s="43" t="s">
        <v>215</v>
      </c>
      <c r="AG1" s="40" t="s">
        <v>215</v>
      </c>
      <c r="AH1" s="40" t="s">
        <v>215</v>
      </c>
      <c r="AI1" s="40" t="s">
        <v>215</v>
      </c>
      <c r="AJ1" s="42" t="s">
        <v>215</v>
      </c>
    </row>
    <row r="2" spans="1:36" s="1" customFormat="1" ht="150.4" customHeight="1">
      <c r="A2" s="8"/>
      <c r="B2" s="9"/>
      <c r="C2" s="9"/>
      <c r="D2" s="10"/>
      <c r="E2" s="11" t="s">
        <v>17</v>
      </c>
      <c r="F2" s="12" t="s">
        <v>23</v>
      </c>
      <c r="G2" s="12" t="s">
        <v>29</v>
      </c>
      <c r="H2" s="12" t="s">
        <v>35</v>
      </c>
      <c r="I2" s="15" t="s">
        <v>41</v>
      </c>
      <c r="J2" s="13" t="s">
        <v>47</v>
      </c>
      <c r="K2" s="11" t="s">
        <v>54</v>
      </c>
      <c r="L2" s="12" t="s">
        <v>60</v>
      </c>
      <c r="M2" s="12" t="s">
        <v>66</v>
      </c>
      <c r="N2" s="12" t="s">
        <v>216</v>
      </c>
      <c r="O2" s="15" t="s">
        <v>78</v>
      </c>
      <c r="P2" s="14" t="s">
        <v>217</v>
      </c>
      <c r="Q2" s="12" t="s">
        <v>90</v>
      </c>
      <c r="R2" s="12" t="s">
        <v>218</v>
      </c>
      <c r="S2" s="12" t="s">
        <v>103</v>
      </c>
      <c r="T2" s="15" t="s">
        <v>109</v>
      </c>
      <c r="U2" s="120" t="s">
        <v>219</v>
      </c>
      <c r="V2" s="11" t="s">
        <v>121</v>
      </c>
      <c r="W2" s="12" t="s">
        <v>126</v>
      </c>
      <c r="X2" s="12" t="s">
        <v>132</v>
      </c>
      <c r="Y2" s="12" t="s">
        <v>220</v>
      </c>
      <c r="Z2" s="12" t="s">
        <v>221</v>
      </c>
      <c r="AA2" s="14" t="s">
        <v>222</v>
      </c>
      <c r="AB2" s="12" t="s">
        <v>156</v>
      </c>
      <c r="AC2" s="12" t="s">
        <v>162</v>
      </c>
      <c r="AD2" s="12" t="s">
        <v>223</v>
      </c>
      <c r="AE2" s="13" t="s">
        <v>174</v>
      </c>
      <c r="AF2" s="14" t="s">
        <v>181</v>
      </c>
      <c r="AG2" s="12" t="s">
        <v>187</v>
      </c>
      <c r="AH2" s="12" t="s">
        <v>193</v>
      </c>
      <c r="AI2" s="12" t="s">
        <v>199</v>
      </c>
      <c r="AJ2" s="13" t="s">
        <v>224</v>
      </c>
    </row>
    <row r="3" spans="1:36">
      <c r="A3" s="6" t="s">
        <v>225</v>
      </c>
      <c r="B3" s="2" t="s">
        <v>226</v>
      </c>
      <c r="C3" s="2" t="s">
        <v>227</v>
      </c>
      <c r="D3" s="3" t="s">
        <v>228</v>
      </c>
      <c r="E3" s="16">
        <v>1</v>
      </c>
      <c r="F3" s="17">
        <v>2</v>
      </c>
      <c r="G3" s="17">
        <v>3</v>
      </c>
      <c r="H3" s="17">
        <v>4</v>
      </c>
      <c r="I3" s="20">
        <v>5</v>
      </c>
      <c r="J3" s="18">
        <v>6</v>
      </c>
      <c r="K3" s="16">
        <v>1</v>
      </c>
      <c r="L3" s="17">
        <v>2</v>
      </c>
      <c r="M3" s="17">
        <v>3</v>
      </c>
      <c r="N3" s="17">
        <v>4</v>
      </c>
      <c r="O3" s="20">
        <v>5</v>
      </c>
      <c r="P3" s="19">
        <v>6</v>
      </c>
      <c r="Q3" s="17">
        <v>7</v>
      </c>
      <c r="R3" s="17">
        <v>8</v>
      </c>
      <c r="S3" s="17">
        <v>1</v>
      </c>
      <c r="T3" s="20">
        <v>2</v>
      </c>
      <c r="U3" s="121">
        <v>3</v>
      </c>
      <c r="V3" s="16">
        <v>1</v>
      </c>
      <c r="W3" s="17">
        <v>2</v>
      </c>
      <c r="X3" s="17">
        <v>3</v>
      </c>
      <c r="Y3" s="17">
        <v>4</v>
      </c>
      <c r="Z3" s="17">
        <v>5</v>
      </c>
      <c r="AA3" s="19">
        <v>1</v>
      </c>
      <c r="AB3" s="17">
        <v>2</v>
      </c>
      <c r="AC3" s="17">
        <v>3</v>
      </c>
      <c r="AD3" s="17">
        <v>4</v>
      </c>
      <c r="AE3" s="18">
        <v>5</v>
      </c>
      <c r="AF3" s="19">
        <v>1</v>
      </c>
      <c r="AG3" s="17">
        <v>2</v>
      </c>
      <c r="AH3" s="17">
        <v>3</v>
      </c>
      <c r="AI3" s="17">
        <v>4</v>
      </c>
      <c r="AJ3" s="18">
        <v>5</v>
      </c>
    </row>
    <row r="4" spans="1:36">
      <c r="A4" s="33" t="s">
        <v>229</v>
      </c>
      <c r="B4" s="5"/>
      <c r="C4" s="5"/>
      <c r="D4" s="5"/>
      <c r="E4" s="21"/>
      <c r="F4" s="22"/>
      <c r="G4" s="22"/>
      <c r="H4" s="22"/>
      <c r="I4" s="22"/>
      <c r="J4" s="23"/>
      <c r="K4" s="21"/>
      <c r="L4" s="22"/>
      <c r="M4" s="22"/>
      <c r="N4" s="22"/>
      <c r="O4" s="22"/>
      <c r="P4" s="22"/>
      <c r="Q4" s="22"/>
      <c r="R4" s="22"/>
      <c r="S4" s="22"/>
      <c r="T4" s="22"/>
      <c r="U4" s="22"/>
      <c r="V4" s="21"/>
      <c r="W4" s="22"/>
      <c r="X4" s="22"/>
      <c r="Y4" s="22"/>
      <c r="Z4" s="22"/>
      <c r="AA4" s="22"/>
      <c r="AB4" s="22"/>
      <c r="AC4" s="22"/>
      <c r="AD4" s="22"/>
      <c r="AE4" s="23"/>
      <c r="AF4" s="22"/>
      <c r="AG4" s="22"/>
      <c r="AH4" s="22"/>
      <c r="AI4" s="22"/>
      <c r="AJ4" s="23"/>
    </row>
    <row r="5" spans="1:36">
      <c r="A5" s="6">
        <v>1</v>
      </c>
      <c r="B5" s="34" t="s">
        <v>230</v>
      </c>
      <c r="C5" s="2"/>
      <c r="D5" s="3"/>
      <c r="E5" s="44" t="e">
        <f>SUM(Vragenlijst!$B13:$B17)/COUNT(Vragenlijst!$B13:$B17)</f>
        <v>#DIV/0!</v>
      </c>
      <c r="F5" s="45" t="e">
        <f>SUM(Vragenlijst!$B20:$B24)/COUNT(Vragenlijst!$B20:$B24)</f>
        <v>#DIV/0!</v>
      </c>
      <c r="G5" s="45" t="e">
        <f>SUM(Vragenlijst!$B27:$B31)/COUNT(Vragenlijst!$B27:$B31)</f>
        <v>#DIV/0!</v>
      </c>
      <c r="H5" s="45" t="e">
        <f>SUM(Vragenlijst!$B34:$B38)/COUNT(Vragenlijst!$B34:$B38)</f>
        <v>#DIV/0!</v>
      </c>
      <c r="I5" s="45" t="e">
        <f>SUM(Vragenlijst!$B41:$B45)/COUNT(Vragenlijst!$B41:$B45)</f>
        <v>#DIV/0!</v>
      </c>
      <c r="J5" s="46" t="e">
        <f>SUM(Vragenlijst!$B48:$B52)/COUNT(Vragenlijst!$B48:$B52)</f>
        <v>#DIV/0!</v>
      </c>
      <c r="K5" s="44" t="e">
        <f>SUM(Vragenlijst!$B56:$B60)/COUNT(Vragenlijst!$B56:$B60)</f>
        <v>#DIV/0!</v>
      </c>
      <c r="L5" s="45" t="e">
        <f>SUM(Vragenlijst!$B63:$B67)/COUNT(Vragenlijst!$B63:$B67)</f>
        <v>#DIV/0!</v>
      </c>
      <c r="M5" s="47" t="e">
        <f>SUM(Vragenlijst!$B70:$B74)/COUNT(Vragenlijst!$B70:$B74)</f>
        <v>#DIV/0!</v>
      </c>
      <c r="N5" s="45" t="e">
        <f>SUM(Vragenlijst!$B77:$B81)/COUNT(Vragenlijst!$B77:$B81)</f>
        <v>#DIV/0!</v>
      </c>
      <c r="O5" s="48" t="e">
        <f>SUM(Vragenlijst!$B84:$B88)/COUNT(Vragenlijst!$B84:$B88)</f>
        <v>#DIV/0!</v>
      </c>
      <c r="P5" s="48" t="e">
        <f>SUM(Vragenlijst!$B91:$B95)/COUNT(Vragenlijst!$B91:$B95)</f>
        <v>#DIV/0!</v>
      </c>
      <c r="Q5" s="48" t="e">
        <f>SUM(Vragenlijst!$B98:$B102)/COUNT(Vragenlijst!$B98:$B102)</f>
        <v>#DIV/0!</v>
      </c>
      <c r="R5" s="48" t="e">
        <f>SUM(Vragenlijst!$B105:$B109)/COUNT(Vragenlijst!$B105:$B109)</f>
        <v>#DIV/0!</v>
      </c>
      <c r="S5" s="45" t="e">
        <f>SUM(Vragenlijst!$B113:$B117)/COUNT(Vragenlijst!$B113:$B117)</f>
        <v>#DIV/0!</v>
      </c>
      <c r="T5" s="45" t="e">
        <f>SUM(Vragenlijst!$B120:$B124)/COUNT(Vragenlijst!$B120:$B124)</f>
        <v>#DIV/0!</v>
      </c>
      <c r="U5" s="46" t="e">
        <f>SUM(Vragenlijst!$B127:$B131)/COUNT(Vragenlijst!$B127:$B131)</f>
        <v>#DIV/0!</v>
      </c>
      <c r="V5" s="44" t="e">
        <f>SUM(Vragenlijst!$B135:$B139)/COUNT(Vragenlijst!$B135:$B139)</f>
        <v>#DIV/0!</v>
      </c>
      <c r="W5" s="45" t="e">
        <f>SUM(Vragenlijst!$B142:$B146)/COUNT(Vragenlijst!$B142:$B146)</f>
        <v>#DIV/0!</v>
      </c>
      <c r="X5" s="45" t="e">
        <f>SUM(Vragenlijst!$B149:$B153)/COUNT(Vragenlijst!$B149:$B153)</f>
        <v>#DIV/0!</v>
      </c>
      <c r="Y5" s="45" t="e">
        <f>SUM(Vragenlijst!$B156:$B160)/COUNT(Vragenlijst!$B156:$B160)</f>
        <v>#DIV/0!</v>
      </c>
      <c r="Z5" s="45" t="e">
        <f>SUM(Vragenlijst!$B163:$B167)/COUNT(Vragenlijst!$B163:$B167)</f>
        <v>#DIV/0!</v>
      </c>
      <c r="AA5" s="44" t="e">
        <f>SUM(Vragenlijst!$B171:$B175)/COUNT(Vragenlijst!$B171:$B175)</f>
        <v>#DIV/0!</v>
      </c>
      <c r="AB5" s="45" t="e">
        <f>SUM(Vragenlijst!$B178:$B182)/COUNT(Vragenlijst!$B178:$B182)</f>
        <v>#DIV/0!</v>
      </c>
      <c r="AC5" s="45" t="e">
        <f>SUM(Vragenlijst!$B185:$B189)/COUNT(Vragenlijst!$B185:$B189)</f>
        <v>#DIV/0!</v>
      </c>
      <c r="AD5" s="45" t="e">
        <f>SUM(Vragenlijst!$B192:$B196)/COUNT(Vragenlijst!$B192:$B196)</f>
        <v>#DIV/0!</v>
      </c>
      <c r="AE5" s="46" t="e">
        <f>SUM(Vragenlijst!$B199:$B203)/COUNT(Vragenlijst!$B199:$B203)</f>
        <v>#DIV/0!</v>
      </c>
      <c r="AF5" s="44" t="e">
        <f>SUM(Vragenlijst!$B207:$B211)/COUNT(Vragenlijst!$B207:$B211)</f>
        <v>#DIV/0!</v>
      </c>
      <c r="AG5" s="45" t="e">
        <f>SUM(Vragenlijst!$B214:$B218)/COUNT(Vragenlijst!$B214:$B218)</f>
        <v>#DIV/0!</v>
      </c>
      <c r="AH5" s="45" t="e">
        <f>SUM(Vragenlijst!$B221:$B225)/COUNT(Vragenlijst!$B221:$B225)</f>
        <v>#DIV/0!</v>
      </c>
      <c r="AI5" s="45" t="e">
        <f>SUM(Vragenlijst!$B228:$B232)/COUNT(Vragenlijst!$B228:$B232)</f>
        <v>#DIV/0!</v>
      </c>
      <c r="AJ5" s="46" t="e">
        <f>SUM(Vragenlijst!$B235:$B239)/COUNT(Vragenlijst!$B235:$B239)</f>
        <v>#DIV/0!</v>
      </c>
    </row>
    <row r="6" spans="1:36">
      <c r="A6" s="6">
        <v>2</v>
      </c>
      <c r="B6" s="28" t="s">
        <v>231</v>
      </c>
      <c r="C6" s="2"/>
      <c r="D6" s="3"/>
      <c r="E6" s="24"/>
      <c r="F6" s="25"/>
      <c r="G6" s="25"/>
      <c r="H6" s="25"/>
      <c r="I6" s="29"/>
      <c r="J6" s="26"/>
      <c r="K6" s="24"/>
      <c r="L6" s="29"/>
      <c r="M6" s="32"/>
      <c r="N6" s="30"/>
      <c r="O6" s="35"/>
      <c r="P6" s="25"/>
      <c r="Q6" s="25"/>
      <c r="R6" s="26"/>
      <c r="S6" s="30"/>
      <c r="T6" s="29"/>
      <c r="U6" s="35"/>
      <c r="V6" s="24"/>
      <c r="W6" s="25"/>
      <c r="X6" s="25"/>
      <c r="Y6" s="25"/>
      <c r="Z6" s="25"/>
      <c r="AA6" s="24"/>
      <c r="AB6" s="25"/>
      <c r="AC6" s="25"/>
      <c r="AD6" s="25"/>
      <c r="AE6" s="26"/>
      <c r="AF6" s="24"/>
      <c r="AG6" s="25"/>
      <c r="AH6" s="25"/>
      <c r="AI6" s="25"/>
      <c r="AJ6" s="26"/>
    </row>
    <row r="7" spans="1:36">
      <c r="A7" s="6">
        <v>3</v>
      </c>
      <c r="B7" s="28" t="s">
        <v>232</v>
      </c>
      <c r="C7" s="2"/>
      <c r="D7" s="3"/>
      <c r="E7" s="24"/>
      <c r="F7" s="25"/>
      <c r="G7" s="25"/>
      <c r="H7" s="25"/>
      <c r="I7" s="29"/>
      <c r="J7" s="26"/>
      <c r="K7" s="24"/>
      <c r="L7" s="25"/>
      <c r="M7" s="32"/>
      <c r="N7" s="25"/>
      <c r="O7" s="29"/>
      <c r="P7" s="25"/>
      <c r="Q7" s="25"/>
      <c r="R7" s="26"/>
      <c r="S7" s="30"/>
      <c r="T7" s="29"/>
      <c r="U7" s="35"/>
      <c r="V7" s="24"/>
      <c r="W7" s="25"/>
      <c r="X7" s="25"/>
      <c r="Y7" s="25"/>
      <c r="Z7" s="25"/>
      <c r="AA7" s="24"/>
      <c r="AB7" s="25"/>
      <c r="AC7" s="25"/>
      <c r="AD7" s="25"/>
      <c r="AE7" s="26"/>
      <c r="AF7" s="24"/>
      <c r="AG7" s="25"/>
      <c r="AH7" s="25"/>
      <c r="AI7" s="25"/>
      <c r="AJ7" s="26"/>
    </row>
    <row r="8" spans="1:36">
      <c r="A8" s="6">
        <v>4</v>
      </c>
      <c r="B8" s="2"/>
      <c r="C8" s="2"/>
      <c r="D8" s="3"/>
      <c r="E8" s="24"/>
      <c r="F8" s="25"/>
      <c r="G8" s="25"/>
      <c r="H8" s="25"/>
      <c r="I8" s="29"/>
      <c r="J8" s="31"/>
      <c r="K8" s="24"/>
      <c r="L8" s="25"/>
      <c r="M8" s="32"/>
      <c r="N8" s="25"/>
      <c r="O8" s="29"/>
      <c r="P8" s="25"/>
      <c r="Q8" s="25"/>
      <c r="R8" s="26"/>
      <c r="S8" s="30"/>
      <c r="T8" s="29"/>
      <c r="U8" s="35"/>
      <c r="V8" s="24"/>
      <c r="W8" s="25"/>
      <c r="X8" s="25"/>
      <c r="Y8" s="25"/>
      <c r="Z8" s="25"/>
      <c r="AA8" s="24"/>
      <c r="AB8" s="25"/>
      <c r="AC8" s="25"/>
      <c r="AD8" s="25"/>
      <c r="AE8" s="26"/>
      <c r="AF8" s="24"/>
      <c r="AG8" s="25"/>
      <c r="AH8" s="25"/>
      <c r="AI8" s="25"/>
      <c r="AJ8" s="26"/>
    </row>
    <row r="9" spans="1:36">
      <c r="A9" s="6">
        <v>5</v>
      </c>
      <c r="B9" s="3"/>
      <c r="C9" s="3"/>
      <c r="D9" s="3"/>
      <c r="E9" s="24"/>
      <c r="F9" s="25"/>
      <c r="G9" s="25"/>
      <c r="H9" s="25"/>
      <c r="I9" s="29"/>
      <c r="J9" s="26"/>
      <c r="K9" s="24"/>
      <c r="L9" s="25"/>
      <c r="M9" s="32"/>
      <c r="N9" s="25"/>
      <c r="O9" s="29"/>
      <c r="P9" s="25"/>
      <c r="Q9" s="25"/>
      <c r="R9" s="26"/>
      <c r="S9" s="30"/>
      <c r="T9" s="29"/>
      <c r="U9" s="35"/>
      <c r="V9" s="24"/>
      <c r="W9" s="25"/>
      <c r="X9" s="25"/>
      <c r="Y9" s="25"/>
      <c r="Z9" s="25"/>
      <c r="AA9" s="24"/>
      <c r="AB9" s="25"/>
      <c r="AC9" s="25"/>
      <c r="AD9" s="25"/>
      <c r="AE9" s="26"/>
      <c r="AF9" s="24"/>
      <c r="AG9" s="25"/>
      <c r="AH9" s="25"/>
      <c r="AI9" s="25"/>
      <c r="AJ9" s="26"/>
    </row>
    <row r="10" spans="1:36">
      <c r="A10" s="6">
        <v>6</v>
      </c>
      <c r="B10" s="2"/>
      <c r="C10" s="2"/>
      <c r="D10" s="3"/>
      <c r="E10" s="24"/>
      <c r="F10" s="25"/>
      <c r="G10" s="25"/>
      <c r="J10" s="26"/>
      <c r="K10" s="24"/>
      <c r="L10" s="25"/>
      <c r="M10" s="32"/>
      <c r="N10" s="25"/>
      <c r="O10" s="29"/>
      <c r="P10" s="25"/>
      <c r="Q10" s="25"/>
      <c r="R10" s="26"/>
      <c r="S10" s="30"/>
      <c r="T10" s="29"/>
      <c r="U10" s="35"/>
      <c r="V10" s="24"/>
      <c r="W10" s="25"/>
      <c r="X10" s="25"/>
      <c r="Y10" s="25"/>
      <c r="Z10" s="25"/>
      <c r="AA10" s="24"/>
      <c r="AB10" s="25"/>
      <c r="AC10" s="25"/>
      <c r="AD10" s="25"/>
      <c r="AE10" s="26"/>
      <c r="AF10" s="24"/>
      <c r="AG10" s="25"/>
      <c r="AH10" s="25"/>
      <c r="AI10" s="25"/>
      <c r="AJ10" s="26"/>
    </row>
    <row r="11" spans="1:36">
      <c r="A11" s="6">
        <v>7</v>
      </c>
      <c r="B11" s="2"/>
      <c r="C11" s="2"/>
      <c r="D11" s="3"/>
      <c r="E11" s="24"/>
      <c r="F11" s="25"/>
      <c r="G11" s="25"/>
      <c r="H11" s="25"/>
      <c r="I11" s="29"/>
      <c r="J11" s="26"/>
      <c r="K11" s="24"/>
      <c r="L11" s="25"/>
      <c r="M11" s="32"/>
      <c r="N11" s="25"/>
      <c r="O11" s="29"/>
      <c r="P11" s="25"/>
      <c r="Q11" s="25"/>
      <c r="R11" s="26"/>
      <c r="S11" s="30"/>
      <c r="T11" s="29"/>
      <c r="U11" s="35"/>
      <c r="V11" s="24"/>
      <c r="W11" s="25"/>
      <c r="X11" s="25"/>
      <c r="Y11" s="25"/>
      <c r="Z11" s="25"/>
      <c r="AA11" s="24"/>
      <c r="AB11" s="25"/>
      <c r="AC11" s="25"/>
      <c r="AD11" s="25"/>
      <c r="AE11" s="26"/>
      <c r="AF11" s="24"/>
      <c r="AG11" s="25"/>
      <c r="AH11" s="25"/>
      <c r="AI11" s="25"/>
      <c r="AJ11" s="26"/>
    </row>
    <row r="12" spans="1:36">
      <c r="A12" s="6">
        <v>8</v>
      </c>
      <c r="B12" s="2"/>
      <c r="C12" s="2"/>
      <c r="D12" s="3"/>
      <c r="E12" s="24"/>
      <c r="F12" s="25"/>
      <c r="G12" s="25"/>
      <c r="H12" s="25"/>
      <c r="I12" s="29"/>
      <c r="J12" s="26"/>
      <c r="K12" s="24"/>
      <c r="L12" s="25"/>
      <c r="M12" s="32"/>
      <c r="N12" s="25"/>
      <c r="O12" s="29"/>
      <c r="P12" s="25"/>
      <c r="Q12" s="25"/>
      <c r="R12" s="26"/>
      <c r="S12" s="30"/>
      <c r="T12" s="29"/>
      <c r="U12" s="35"/>
      <c r="V12" s="24"/>
      <c r="W12" s="25"/>
      <c r="X12" s="25"/>
      <c r="Y12" s="25"/>
      <c r="Z12" s="25"/>
      <c r="AA12" s="24"/>
      <c r="AB12" s="25"/>
      <c r="AC12" s="25"/>
      <c r="AD12" s="32"/>
      <c r="AE12" s="26"/>
      <c r="AF12" s="24"/>
      <c r="AG12" s="25"/>
      <c r="AH12" s="25"/>
      <c r="AI12" s="32"/>
      <c r="AJ12" s="26"/>
    </row>
    <row r="13" spans="1:36">
      <c r="A13" s="6">
        <v>9</v>
      </c>
      <c r="B13" s="2"/>
      <c r="C13" s="2"/>
      <c r="D13" s="3"/>
      <c r="E13" s="24"/>
      <c r="F13" s="25"/>
      <c r="G13" s="25"/>
      <c r="H13" s="25"/>
      <c r="I13" s="29"/>
      <c r="J13" s="26"/>
      <c r="K13" s="24"/>
      <c r="L13" s="25"/>
      <c r="M13" s="32"/>
      <c r="N13" s="25"/>
      <c r="O13" s="29"/>
      <c r="P13" s="25"/>
      <c r="Q13" s="25"/>
      <c r="R13" s="26"/>
      <c r="S13" s="30"/>
      <c r="T13" s="29"/>
      <c r="U13" s="35"/>
      <c r="V13" s="24"/>
      <c r="W13" s="25"/>
      <c r="X13" s="25"/>
      <c r="Y13" s="25"/>
      <c r="Z13" s="25"/>
      <c r="AA13" s="24"/>
      <c r="AB13" s="25"/>
      <c r="AC13" s="25"/>
      <c r="AD13" s="25"/>
      <c r="AE13" s="26"/>
      <c r="AF13" s="24"/>
      <c r="AG13" s="25"/>
      <c r="AH13" s="25"/>
      <c r="AI13" s="25"/>
      <c r="AJ13" s="26"/>
    </row>
    <row r="14" spans="1:36">
      <c r="A14" s="6">
        <v>10</v>
      </c>
      <c r="B14" s="2"/>
      <c r="C14" s="2"/>
      <c r="D14" s="3"/>
      <c r="E14" s="24"/>
      <c r="F14" s="25"/>
      <c r="G14" s="25"/>
      <c r="H14" s="25"/>
      <c r="I14" s="29"/>
      <c r="J14" s="26"/>
      <c r="K14" s="24"/>
      <c r="L14" s="25"/>
      <c r="M14" s="32"/>
      <c r="N14" s="25"/>
      <c r="O14" s="29"/>
      <c r="P14" s="25"/>
      <c r="Q14" s="25"/>
      <c r="R14" s="26"/>
      <c r="S14" s="30"/>
      <c r="T14" s="29"/>
      <c r="U14" s="35"/>
      <c r="V14" s="24"/>
      <c r="W14" s="25"/>
      <c r="X14" s="25"/>
      <c r="Y14" s="25"/>
      <c r="Z14" s="25"/>
      <c r="AA14" s="24"/>
      <c r="AB14" s="25"/>
      <c r="AC14" s="25"/>
      <c r="AD14" s="25"/>
      <c r="AE14" s="26"/>
      <c r="AF14" s="24"/>
      <c r="AG14" s="25"/>
      <c r="AH14" s="25"/>
      <c r="AI14" s="25"/>
      <c r="AJ14" s="26"/>
    </row>
    <row r="15" spans="1:36">
      <c r="A15" s="7"/>
      <c r="C15" s="4"/>
    </row>
    <row r="16" spans="1:36">
      <c r="A16" s="33" t="s">
        <v>233</v>
      </c>
      <c r="B16" s="5"/>
      <c r="C16" s="5"/>
      <c r="D16" s="5"/>
      <c r="E16" s="21"/>
      <c r="F16" s="22"/>
      <c r="G16" s="22"/>
      <c r="H16" s="22"/>
      <c r="I16" s="22"/>
      <c r="J16" s="23"/>
      <c r="K16" s="21"/>
      <c r="L16" s="22"/>
      <c r="M16" s="22"/>
      <c r="N16" s="22"/>
      <c r="O16" s="22"/>
      <c r="P16" s="22"/>
      <c r="Q16" s="22"/>
      <c r="R16" s="22"/>
      <c r="S16" s="22"/>
      <c r="T16" s="22"/>
      <c r="U16" s="22"/>
      <c r="V16" s="21"/>
      <c r="W16" s="22"/>
      <c r="X16" s="22"/>
      <c r="Y16" s="22"/>
      <c r="Z16" s="22"/>
      <c r="AA16" s="22"/>
      <c r="AB16" s="22"/>
      <c r="AC16" s="22"/>
      <c r="AD16" s="22"/>
      <c r="AE16" s="23"/>
      <c r="AF16" s="22"/>
      <c r="AG16" s="22"/>
      <c r="AH16" s="22"/>
      <c r="AI16" s="22"/>
      <c r="AJ16" s="23"/>
    </row>
    <row r="17" spans="1:36">
      <c r="A17" s="6" t="s">
        <v>225</v>
      </c>
      <c r="B17" s="2" t="s">
        <v>226</v>
      </c>
      <c r="C17" s="2" t="s">
        <v>227</v>
      </c>
      <c r="D17" s="3" t="s">
        <v>228</v>
      </c>
      <c r="E17" s="16">
        <v>1</v>
      </c>
      <c r="F17" s="17">
        <v>2</v>
      </c>
      <c r="G17" s="17">
        <v>3</v>
      </c>
      <c r="H17" s="17">
        <v>4</v>
      </c>
      <c r="I17" s="20">
        <v>5</v>
      </c>
      <c r="J17" s="18">
        <v>6</v>
      </c>
      <c r="K17" s="16">
        <v>1</v>
      </c>
      <c r="L17" s="17">
        <v>2</v>
      </c>
      <c r="M17" s="17">
        <v>3</v>
      </c>
      <c r="N17" s="17">
        <v>4</v>
      </c>
      <c r="O17" s="20">
        <v>5</v>
      </c>
      <c r="P17" s="19">
        <v>6</v>
      </c>
      <c r="Q17" s="17">
        <v>7</v>
      </c>
      <c r="R17" s="17">
        <v>8</v>
      </c>
      <c r="S17" s="17">
        <v>1</v>
      </c>
      <c r="T17" s="20">
        <v>2</v>
      </c>
      <c r="U17" s="121">
        <v>3</v>
      </c>
      <c r="V17" s="16">
        <v>1</v>
      </c>
      <c r="W17" s="17">
        <v>2</v>
      </c>
      <c r="X17" s="17">
        <v>3</v>
      </c>
      <c r="Y17" s="17">
        <v>4</v>
      </c>
      <c r="Z17" s="17">
        <v>5</v>
      </c>
      <c r="AA17" s="19">
        <v>1</v>
      </c>
      <c r="AB17" s="17">
        <v>2</v>
      </c>
      <c r="AC17" s="17">
        <v>3</v>
      </c>
      <c r="AD17" s="17">
        <v>4</v>
      </c>
      <c r="AE17" s="18">
        <v>5</v>
      </c>
      <c r="AF17" s="19">
        <v>1</v>
      </c>
      <c r="AG17" s="17">
        <v>2</v>
      </c>
      <c r="AH17" s="17">
        <v>3</v>
      </c>
      <c r="AI17" s="17">
        <v>4</v>
      </c>
      <c r="AJ17" s="18">
        <v>5</v>
      </c>
    </row>
    <row r="18" spans="1:36">
      <c r="A18" s="6">
        <f t="shared" ref="A18:D27" si="0">A5</f>
        <v>1</v>
      </c>
      <c r="B18" s="34" t="str">
        <f t="shared" si="0"/>
        <v>Jijzelf (verplicht)</v>
      </c>
      <c r="C18" s="2">
        <f t="shared" si="0"/>
        <v>0</v>
      </c>
      <c r="D18" s="2">
        <f t="shared" si="0"/>
        <v>0</v>
      </c>
      <c r="E18" s="44" t="e">
        <f>SUM(Vragenlijst!$C13:$C17)/COUNT(Vragenlijst!$C13:$C17)</f>
        <v>#DIV/0!</v>
      </c>
      <c r="F18" s="45" t="e">
        <f>SUM(Vragenlijst!$C20:$C24)/COUNT(Vragenlijst!$C20:$C24)</f>
        <v>#DIV/0!</v>
      </c>
      <c r="G18" s="45" t="e">
        <f>SUM(Vragenlijst!$C27:$C31)/COUNT(Vragenlijst!$C27:$C31)</f>
        <v>#DIV/0!</v>
      </c>
      <c r="H18" s="45" t="e">
        <f>SUM(Vragenlijst!$C34:$C38)/COUNT(Vragenlijst!$C34:$C38)</f>
        <v>#DIV/0!</v>
      </c>
      <c r="I18" s="45" t="e">
        <f>SUM(Vragenlijst!$C41:$C45)/COUNT(Vragenlijst!$C41:$C45)</f>
        <v>#DIV/0!</v>
      </c>
      <c r="J18" s="46" t="e">
        <f>SUM(Vragenlijst!$C48:$C52)/COUNT(Vragenlijst!$C48:$C52)</f>
        <v>#DIV/0!</v>
      </c>
      <c r="K18" s="44" t="e">
        <f>SUM(Vragenlijst!$C56:$C60)/COUNT(Vragenlijst!$C56:$C60)</f>
        <v>#DIV/0!</v>
      </c>
      <c r="L18" s="45" t="e">
        <f>SUM(Vragenlijst!$C63:$C67)/COUNT(Vragenlijst!$C63:$C67)</f>
        <v>#DIV/0!</v>
      </c>
      <c r="M18" s="47" t="e">
        <f>SUM(Vragenlijst!$C70:$C74)/COUNT(Vragenlijst!$C70:$C74)</f>
        <v>#DIV/0!</v>
      </c>
      <c r="N18" s="45" t="e">
        <f>SUM(Vragenlijst!$C77:$C81)/COUNT(Vragenlijst!$C77:$C81)</f>
        <v>#DIV/0!</v>
      </c>
      <c r="O18" s="48" t="e">
        <f>SUM(Vragenlijst!$C84:$C88)/COUNT(Vragenlijst!$C84:$C88)</f>
        <v>#DIV/0!</v>
      </c>
      <c r="P18" s="48" t="e">
        <f>SUM(Vragenlijst!$C91:$C95)/COUNT(Vragenlijst!$C91:$C95)</f>
        <v>#DIV/0!</v>
      </c>
      <c r="Q18" s="48" t="e">
        <f>SUM(Vragenlijst!$C98:$C102)/COUNT(Vragenlijst!$C98:$C102)</f>
        <v>#DIV/0!</v>
      </c>
      <c r="R18" s="48" t="e">
        <f>SUM(Vragenlijst!$C105:$C109)/COUNT(Vragenlijst!$C105:$C109)</f>
        <v>#DIV/0!</v>
      </c>
      <c r="S18" s="45" t="e">
        <f>SUM(Vragenlijst!$C113:$C117)/COUNT(Vragenlijst!$C113:$C117)</f>
        <v>#DIV/0!</v>
      </c>
      <c r="T18" s="45" t="e">
        <f>SUM(Vragenlijst!$C120:$C124)/COUNT(Vragenlijst!$C120:$C124)</f>
        <v>#DIV/0!</v>
      </c>
      <c r="U18" s="46" t="e">
        <f>SUM(Vragenlijst!$C127:$C131)/COUNT(Vragenlijst!$C127:$C131)</f>
        <v>#DIV/0!</v>
      </c>
      <c r="V18" s="44" t="e">
        <f>SUM(Vragenlijst!$C135:$C139)/COUNT(Vragenlijst!$C135:$C139)</f>
        <v>#DIV/0!</v>
      </c>
      <c r="W18" s="45" t="e">
        <f>SUM(Vragenlijst!$C142:$C146)/COUNT(Vragenlijst!$C142:$C146)</f>
        <v>#DIV/0!</v>
      </c>
      <c r="X18" s="45" t="e">
        <f>SUM(Vragenlijst!$C149:$C153)/COUNT(Vragenlijst!$C149:$C153)</f>
        <v>#DIV/0!</v>
      </c>
      <c r="Y18" s="45" t="e">
        <f>SUM(Vragenlijst!$C156:$C160)/COUNT(Vragenlijst!$C156:$C160)</f>
        <v>#DIV/0!</v>
      </c>
      <c r="Z18" s="45" t="e">
        <f>SUM(Vragenlijst!$C163:$C167)/COUNT(Vragenlijst!$C163:$C167)</f>
        <v>#DIV/0!</v>
      </c>
      <c r="AA18" s="44" t="e">
        <f>SUM(Vragenlijst!$C171:$C175)/COUNT(Vragenlijst!$C171:$C175)</f>
        <v>#DIV/0!</v>
      </c>
      <c r="AB18" s="45" t="e">
        <f>SUM(Vragenlijst!$C178:$C182)/COUNT(Vragenlijst!$C178:$C182)</f>
        <v>#DIV/0!</v>
      </c>
      <c r="AC18" s="45" t="e">
        <f>SUM(Vragenlijst!$C185:$C189)/COUNT(Vragenlijst!$C185:$C189)</f>
        <v>#DIV/0!</v>
      </c>
      <c r="AD18" s="45" t="e">
        <f>SUM(Vragenlijst!$C192:$C196)/COUNT(Vragenlijst!$C192:$C196)</f>
        <v>#DIV/0!</v>
      </c>
      <c r="AE18" s="46" t="e">
        <f>SUM(Vragenlijst!$C199:$C203)/COUNT(Vragenlijst!$C199:$C203)</f>
        <v>#DIV/0!</v>
      </c>
      <c r="AF18" s="44" t="e">
        <f>SUM(Vragenlijst!$C207:$C211)/COUNT(Vragenlijst!$C207:$C211)</f>
        <v>#DIV/0!</v>
      </c>
      <c r="AG18" s="45" t="e">
        <f>SUM(Vragenlijst!$C214:$C218)/COUNT(Vragenlijst!$C214:$C218)</f>
        <v>#DIV/0!</v>
      </c>
      <c r="AH18" s="45" t="e">
        <f>SUM(Vragenlijst!$C221:$C225)/COUNT(Vragenlijst!$C221:$C225)</f>
        <v>#DIV/0!</v>
      </c>
      <c r="AI18" s="45" t="e">
        <f>SUM(Vragenlijst!$C228:$C232)/COUNT(Vragenlijst!$C228:$C232)</f>
        <v>#DIV/0!</v>
      </c>
      <c r="AJ18" s="46" t="e">
        <f>SUM(Vragenlijst!$C235:$C239)/COUNT(Vragenlijst!$C235:$C239)</f>
        <v>#DIV/0!</v>
      </c>
    </row>
    <row r="19" spans="1:36">
      <c r="A19" s="6">
        <f t="shared" si="0"/>
        <v>2</v>
      </c>
      <c r="B19" s="28" t="str">
        <f t="shared" si="0"/>
        <v>Feedback gever 1 (optioneel)</v>
      </c>
      <c r="C19" s="2">
        <f t="shared" si="0"/>
        <v>0</v>
      </c>
      <c r="D19" s="2">
        <f t="shared" si="0"/>
        <v>0</v>
      </c>
      <c r="E19" s="24"/>
      <c r="F19" s="25"/>
      <c r="G19" s="25"/>
      <c r="H19" s="25"/>
      <c r="I19" s="29"/>
      <c r="J19" s="26"/>
      <c r="K19" s="24"/>
      <c r="L19" s="25"/>
      <c r="M19" s="25"/>
      <c r="N19" s="25"/>
      <c r="O19" s="29"/>
      <c r="P19" s="25"/>
      <c r="Q19" s="25"/>
      <c r="R19" s="26"/>
      <c r="S19" s="30"/>
      <c r="T19" s="29"/>
      <c r="U19" s="35"/>
      <c r="V19" s="24"/>
      <c r="W19" s="25"/>
      <c r="X19" s="25"/>
      <c r="Y19" s="25"/>
      <c r="Z19" s="25"/>
      <c r="AA19" s="24"/>
      <c r="AB19" s="25"/>
      <c r="AC19" s="25"/>
      <c r="AD19" s="25"/>
      <c r="AE19" s="26"/>
      <c r="AF19" s="24"/>
      <c r="AG19" s="25"/>
      <c r="AH19" s="25"/>
      <c r="AI19" s="25"/>
      <c r="AJ19" s="26"/>
    </row>
    <row r="20" spans="1:36">
      <c r="A20" s="6">
        <f t="shared" si="0"/>
        <v>3</v>
      </c>
      <c r="B20" s="28" t="str">
        <f t="shared" si="0"/>
        <v>Feedback gever 2 (optioneel)</v>
      </c>
      <c r="C20" s="2">
        <f t="shared" si="0"/>
        <v>0</v>
      </c>
      <c r="D20" s="2">
        <f t="shared" si="0"/>
        <v>0</v>
      </c>
      <c r="E20" s="24"/>
      <c r="F20" s="25"/>
      <c r="G20" s="25"/>
      <c r="H20" s="25"/>
      <c r="I20" s="29"/>
      <c r="J20" s="26"/>
      <c r="K20" s="24"/>
      <c r="L20" s="25"/>
      <c r="M20" s="25"/>
      <c r="N20" s="25"/>
      <c r="O20" s="29"/>
      <c r="P20" s="25"/>
      <c r="Q20" s="25"/>
      <c r="R20" s="26"/>
      <c r="S20" s="30"/>
      <c r="T20" s="29"/>
      <c r="U20" s="35"/>
      <c r="V20" s="24"/>
      <c r="W20" s="25"/>
      <c r="X20" s="25"/>
      <c r="Y20" s="25"/>
      <c r="Z20" s="25"/>
      <c r="AA20" s="24"/>
      <c r="AB20" s="25"/>
      <c r="AC20" s="25"/>
      <c r="AD20" s="25"/>
      <c r="AE20" s="26"/>
      <c r="AF20" s="24"/>
      <c r="AG20" s="25"/>
      <c r="AH20" s="25"/>
      <c r="AI20" s="25"/>
      <c r="AJ20" s="26"/>
    </row>
    <row r="21" spans="1:36">
      <c r="A21" s="6">
        <f t="shared" si="0"/>
        <v>4</v>
      </c>
      <c r="B21" s="2">
        <f t="shared" si="0"/>
        <v>0</v>
      </c>
      <c r="C21" s="2">
        <f t="shared" si="0"/>
        <v>0</v>
      </c>
      <c r="D21" s="2">
        <f t="shared" si="0"/>
        <v>0</v>
      </c>
      <c r="E21" s="24"/>
      <c r="F21" s="25"/>
      <c r="G21" s="25"/>
      <c r="H21" s="25"/>
      <c r="I21" s="29"/>
      <c r="J21" s="26"/>
      <c r="K21" s="24"/>
      <c r="L21" s="25"/>
      <c r="M21" s="25"/>
      <c r="N21" s="25"/>
      <c r="O21" s="29"/>
      <c r="P21" s="25"/>
      <c r="Q21" s="25"/>
      <c r="R21" s="26"/>
      <c r="S21" s="30"/>
      <c r="T21" s="29"/>
      <c r="U21" s="35"/>
      <c r="V21" s="24"/>
      <c r="W21" s="25"/>
      <c r="X21" s="25"/>
      <c r="Y21" s="25"/>
      <c r="Z21" s="25"/>
      <c r="AA21" s="24"/>
      <c r="AB21" s="25"/>
      <c r="AC21" s="25"/>
      <c r="AD21" s="25"/>
      <c r="AE21" s="26"/>
      <c r="AF21" s="24"/>
      <c r="AG21" s="25"/>
      <c r="AH21" s="25"/>
      <c r="AI21" s="25"/>
      <c r="AJ21" s="26"/>
    </row>
    <row r="22" spans="1:36">
      <c r="A22" s="6">
        <f t="shared" si="0"/>
        <v>5</v>
      </c>
      <c r="B22" s="2">
        <f t="shared" si="0"/>
        <v>0</v>
      </c>
      <c r="C22" s="2">
        <f t="shared" si="0"/>
        <v>0</v>
      </c>
      <c r="D22" s="2">
        <f t="shared" si="0"/>
        <v>0</v>
      </c>
      <c r="E22" s="24"/>
      <c r="F22" s="25"/>
      <c r="G22" s="25"/>
      <c r="H22" s="25"/>
      <c r="I22" s="29"/>
      <c r="J22" s="26"/>
      <c r="K22" s="24"/>
      <c r="L22" s="25"/>
      <c r="M22" s="25"/>
      <c r="N22" s="25"/>
      <c r="O22" s="29"/>
      <c r="P22" s="25"/>
      <c r="Q22" s="25"/>
      <c r="R22" s="26"/>
      <c r="S22" s="30"/>
      <c r="T22" s="29"/>
      <c r="U22" s="35"/>
      <c r="V22" s="24"/>
      <c r="W22" s="25"/>
      <c r="X22" s="25"/>
      <c r="Y22" s="25"/>
      <c r="Z22" s="25"/>
      <c r="AA22" s="24"/>
      <c r="AB22" s="25"/>
      <c r="AC22" s="25"/>
      <c r="AD22" s="25"/>
      <c r="AE22" s="26"/>
      <c r="AF22" s="24"/>
      <c r="AG22" s="25"/>
      <c r="AH22" s="25"/>
      <c r="AI22" s="25"/>
      <c r="AJ22" s="26"/>
    </row>
    <row r="23" spans="1:36">
      <c r="A23" s="6">
        <f t="shared" si="0"/>
        <v>6</v>
      </c>
      <c r="B23" s="2">
        <f t="shared" si="0"/>
        <v>0</v>
      </c>
      <c r="C23" s="2">
        <f t="shared" si="0"/>
        <v>0</v>
      </c>
      <c r="D23" s="2">
        <f t="shared" si="0"/>
        <v>0</v>
      </c>
      <c r="E23" s="24"/>
      <c r="F23" s="25"/>
      <c r="G23" s="25"/>
      <c r="H23" s="25"/>
      <c r="I23" s="29"/>
      <c r="J23" s="26"/>
      <c r="K23" s="24"/>
      <c r="L23" s="25"/>
      <c r="M23" s="25"/>
      <c r="N23" s="25"/>
      <c r="O23" s="29"/>
      <c r="P23" s="25"/>
      <c r="Q23" s="25"/>
      <c r="R23" s="26"/>
      <c r="S23" s="30"/>
      <c r="T23" s="29"/>
      <c r="U23" s="35"/>
      <c r="V23" s="24"/>
      <c r="W23" s="25"/>
      <c r="X23" s="25"/>
      <c r="Y23" s="25"/>
      <c r="Z23" s="25"/>
      <c r="AA23" s="24"/>
      <c r="AB23" s="25"/>
      <c r="AC23" s="25"/>
      <c r="AD23" s="25"/>
      <c r="AE23" s="26"/>
      <c r="AF23" s="24"/>
      <c r="AG23" s="25"/>
      <c r="AH23" s="25"/>
      <c r="AI23" s="25"/>
      <c r="AJ23" s="26"/>
    </row>
    <row r="24" spans="1:36">
      <c r="A24" s="6">
        <f t="shared" si="0"/>
        <v>7</v>
      </c>
      <c r="B24" s="2">
        <f t="shared" si="0"/>
        <v>0</v>
      </c>
      <c r="C24" s="2">
        <f t="shared" si="0"/>
        <v>0</v>
      </c>
      <c r="D24" s="2">
        <f t="shared" si="0"/>
        <v>0</v>
      </c>
      <c r="E24" s="24"/>
      <c r="F24" s="25"/>
      <c r="G24" s="25"/>
      <c r="H24" s="25"/>
      <c r="I24" s="29"/>
      <c r="J24" s="26"/>
      <c r="K24" s="24"/>
      <c r="L24" s="25"/>
      <c r="M24" s="25"/>
      <c r="N24" s="25"/>
      <c r="O24" s="29"/>
      <c r="P24" s="25"/>
      <c r="Q24" s="25"/>
      <c r="R24" s="26"/>
      <c r="S24" s="30"/>
      <c r="T24" s="29"/>
      <c r="U24" s="35"/>
      <c r="V24" s="24"/>
      <c r="W24" s="25"/>
      <c r="X24" s="25"/>
      <c r="Y24" s="25"/>
      <c r="Z24" s="25"/>
      <c r="AA24" s="24"/>
      <c r="AB24" s="25"/>
      <c r="AC24" s="25"/>
      <c r="AD24" s="25"/>
      <c r="AE24" s="26"/>
      <c r="AF24" s="24"/>
      <c r="AG24" s="25"/>
      <c r="AH24" s="25"/>
      <c r="AI24" s="25"/>
      <c r="AJ24" s="26"/>
    </row>
    <row r="25" spans="1:36">
      <c r="A25" s="6">
        <f t="shared" si="0"/>
        <v>8</v>
      </c>
      <c r="B25" s="2">
        <f t="shared" si="0"/>
        <v>0</v>
      </c>
      <c r="C25" s="2">
        <f t="shared" si="0"/>
        <v>0</v>
      </c>
      <c r="D25" s="2">
        <f t="shared" si="0"/>
        <v>0</v>
      </c>
      <c r="E25" s="24"/>
      <c r="F25" s="25"/>
      <c r="G25" s="25"/>
      <c r="H25" s="25"/>
      <c r="I25" s="29"/>
      <c r="J25" s="26"/>
      <c r="K25" s="24"/>
      <c r="L25" s="25"/>
      <c r="M25" s="25"/>
      <c r="N25" s="25"/>
      <c r="O25" s="29"/>
      <c r="P25" s="25"/>
      <c r="Q25" s="25"/>
      <c r="R25" s="26"/>
      <c r="S25" s="30"/>
      <c r="T25" s="29"/>
      <c r="U25" s="35"/>
      <c r="V25" s="24"/>
      <c r="W25" s="25"/>
      <c r="X25" s="25"/>
      <c r="Y25" s="25"/>
      <c r="Z25" s="25"/>
      <c r="AA25" s="24"/>
      <c r="AB25" s="25"/>
      <c r="AC25" s="25"/>
      <c r="AD25" s="25"/>
      <c r="AE25" s="26"/>
      <c r="AF25" s="24"/>
      <c r="AG25" s="25"/>
      <c r="AH25" s="25"/>
      <c r="AI25" s="25"/>
      <c r="AJ25" s="26"/>
    </row>
    <row r="26" spans="1:36">
      <c r="A26" s="6">
        <f t="shared" si="0"/>
        <v>9</v>
      </c>
      <c r="B26" s="2">
        <f t="shared" si="0"/>
        <v>0</v>
      </c>
      <c r="C26" s="2">
        <f t="shared" si="0"/>
        <v>0</v>
      </c>
      <c r="D26" s="2">
        <f t="shared" si="0"/>
        <v>0</v>
      </c>
      <c r="E26" s="24"/>
      <c r="F26" s="25"/>
      <c r="G26" s="25"/>
      <c r="H26" s="25"/>
      <c r="I26" s="29"/>
      <c r="J26" s="26"/>
      <c r="K26" s="24"/>
      <c r="L26" s="25"/>
      <c r="M26" s="25"/>
      <c r="N26" s="25"/>
      <c r="O26" s="29"/>
      <c r="P26" s="25"/>
      <c r="Q26" s="25"/>
      <c r="R26" s="26"/>
      <c r="S26" s="30"/>
      <c r="T26" s="29"/>
      <c r="U26" s="35"/>
      <c r="V26" s="24"/>
      <c r="W26" s="25"/>
      <c r="X26" s="25"/>
      <c r="Y26" s="25"/>
      <c r="Z26" s="25"/>
      <c r="AA26" s="24"/>
      <c r="AB26" s="25"/>
      <c r="AC26" s="25"/>
      <c r="AD26" s="25"/>
      <c r="AE26" s="26"/>
      <c r="AF26" s="24"/>
      <c r="AG26" s="25"/>
      <c r="AH26" s="25"/>
      <c r="AI26" s="25"/>
      <c r="AJ26" s="26"/>
    </row>
    <row r="27" spans="1:36">
      <c r="A27" s="6">
        <f t="shared" si="0"/>
        <v>10</v>
      </c>
      <c r="B27" s="2">
        <f t="shared" si="0"/>
        <v>0</v>
      </c>
      <c r="C27" s="2">
        <f t="shared" si="0"/>
        <v>0</v>
      </c>
      <c r="D27" s="2">
        <f t="shared" si="0"/>
        <v>0</v>
      </c>
      <c r="E27" s="24"/>
      <c r="F27" s="25"/>
      <c r="G27" s="25"/>
      <c r="H27" s="25"/>
      <c r="I27" s="29"/>
      <c r="J27" s="26"/>
      <c r="K27" s="24"/>
      <c r="L27" s="25"/>
      <c r="M27" s="25"/>
      <c r="N27" s="25"/>
      <c r="O27" s="29"/>
      <c r="P27" s="25"/>
      <c r="Q27" s="25"/>
      <c r="R27" s="26"/>
      <c r="S27" s="30"/>
      <c r="T27" s="29"/>
      <c r="U27" s="35"/>
      <c r="V27" s="24"/>
      <c r="W27" s="25"/>
      <c r="X27" s="25"/>
      <c r="Y27" s="25"/>
      <c r="Z27" s="25"/>
      <c r="AA27" s="24"/>
      <c r="AB27" s="25"/>
      <c r="AC27" s="25"/>
      <c r="AD27" s="25"/>
      <c r="AE27" s="26"/>
      <c r="AF27" s="24"/>
      <c r="AG27" s="25"/>
      <c r="AH27" s="25"/>
      <c r="AI27" s="25"/>
      <c r="AJ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G8"/>
  <sheetViews>
    <sheetView showGridLines="0" zoomScale="80" zoomScaleNormal="80" workbookViewId="0"/>
  </sheetViews>
  <sheetFormatPr defaultColWidth="8.7109375" defaultRowHeight="14.45"/>
  <cols>
    <col min="1" max="1" width="25" style="50" bestFit="1" customWidth="1"/>
    <col min="2" max="32" width="6.28515625" style="84" customWidth="1"/>
    <col min="33" max="16384" width="8.7109375" style="50"/>
  </cols>
  <sheetData>
    <row r="1" spans="1:33" ht="93">
      <c r="A1" s="52"/>
      <c r="B1" s="53" t="str">
        <f>'Data (NIET BEWERKEN!!)'!E1</f>
        <v>Digital Power Basic Skills</v>
      </c>
      <c r="C1" s="54" t="str">
        <f>'Data (NIET BEWERKEN!!)'!F1</f>
        <v>Digital Power Basic Skills</v>
      </c>
      <c r="D1" s="54" t="str">
        <f>'Data (NIET BEWERKEN!!)'!G1</f>
        <v>Digital Power Basic Skills</v>
      </c>
      <c r="E1" s="54" t="str">
        <f>'Data (NIET BEWERKEN!!)'!H1</f>
        <v>Digital Power Basic Skills</v>
      </c>
      <c r="F1" s="55" t="str">
        <f>'Data (NIET BEWERKEN!!)'!I1</f>
        <v>Digital Power Basic Skills</v>
      </c>
      <c r="G1" s="56" t="str">
        <f>'Data (NIET BEWERKEN!!)'!J1</f>
        <v>Digital Power Basic Skills</v>
      </c>
      <c r="H1" s="53" t="str">
        <f>'Data (NIET BEWERKEN!!)'!K1</f>
        <v>Domein kennis</v>
      </c>
      <c r="I1" s="54" t="str">
        <f>'Data (NIET BEWERKEN!!)'!L1</f>
        <v>Domein kennis</v>
      </c>
      <c r="J1" s="54" t="str">
        <f>'Data (NIET BEWERKEN!!)'!M1</f>
        <v>Domein kennis</v>
      </c>
      <c r="K1" s="54" t="str">
        <f>'Data (NIET BEWERKEN!!)'!N1</f>
        <v>Domein kennis</v>
      </c>
      <c r="L1" s="55" t="str">
        <f>'Data (NIET BEWERKEN!!)'!O1</f>
        <v>Domein kennis</v>
      </c>
      <c r="M1" s="123" t="str">
        <f>'Data (NIET BEWERKEN!!)'!P1</f>
        <v>Domein kennis</v>
      </c>
      <c r="N1" s="54" t="str">
        <f>'Data (NIET BEWERKEN!!)'!Q1</f>
        <v>Domein kennis</v>
      </c>
      <c r="O1" s="56" t="str">
        <f>'Data (NIET BEWERKEN!!)'!R1</f>
        <v>Domein kennis</v>
      </c>
      <c r="P1" s="57" t="str">
        <f>'Data (NIET BEWERKEN!!)'!S1</f>
        <v>Hardskills</v>
      </c>
      <c r="Q1" s="54" t="str">
        <f>'Data (NIET BEWERKEN!!)'!T1</f>
        <v>Hardskills</v>
      </c>
      <c r="R1" s="54" t="str">
        <f>'Data (NIET BEWERKEN!!)'!U1</f>
        <v>Hardskills</v>
      </c>
      <c r="S1" s="53" t="str">
        <f>'Data (NIET BEWERKEN!!)'!V1</f>
        <v>Basic Consultancy Skills</v>
      </c>
      <c r="T1" s="54" t="str">
        <f>'Data (NIET BEWERKEN!!)'!W1</f>
        <v>Basic Consultancy Skills</v>
      </c>
      <c r="U1" s="54" t="str">
        <f>'Data (NIET BEWERKEN!!)'!X1</f>
        <v>Basic Consultancy Skills</v>
      </c>
      <c r="V1" s="54" t="str">
        <f>'Data (NIET BEWERKEN!!)'!Y1</f>
        <v>Basic Consultancy Skills</v>
      </c>
      <c r="W1" s="55" t="str">
        <f>'Data (NIET BEWERKEN!!)'!Z1</f>
        <v>Basic Consultancy Skills</v>
      </c>
      <c r="X1" s="53" t="str">
        <f>'Data (NIET BEWERKEN!!)'!AA1</f>
        <v>Business Skills</v>
      </c>
      <c r="Y1" s="54" t="str">
        <f>'Data (NIET BEWERKEN!!)'!AB1</f>
        <v>Business Skills</v>
      </c>
      <c r="Z1" s="54" t="str">
        <f>'Data (NIET BEWERKEN!!)'!AC1</f>
        <v>Business Skills</v>
      </c>
      <c r="AA1" s="54" t="str">
        <f>'Data (NIET BEWERKEN!!)'!AD1</f>
        <v>Business Skills</v>
      </c>
      <c r="AB1" s="56" t="str">
        <f>'Data (NIET BEWERKEN!!)'!AE1</f>
        <v>Business Skills</v>
      </c>
      <c r="AC1" s="57" t="str">
        <f>'Data (NIET BEWERKEN!!)'!AF1</f>
        <v>Expert Consultancy Skills</v>
      </c>
      <c r="AD1" s="54" t="str">
        <f>'Data (NIET BEWERKEN!!)'!AG1</f>
        <v>Expert Consultancy Skills</v>
      </c>
      <c r="AE1" s="54" t="str">
        <f>'Data (NIET BEWERKEN!!)'!AH1</f>
        <v>Expert Consultancy Skills</v>
      </c>
      <c r="AF1" s="54" t="str">
        <f>'Data (NIET BEWERKEN!!)'!AI1</f>
        <v>Expert Consultancy Skills</v>
      </c>
      <c r="AG1" s="56" t="str">
        <f>'Data (NIET BEWERKEN!!)'!AJ1</f>
        <v>Expert Consultancy Skills</v>
      </c>
    </row>
    <row r="2" spans="1:33" ht="130.9" customHeight="1">
      <c r="A2" s="58"/>
      <c r="B2" s="59" t="str">
        <f>'Data (NIET BEWERKEN!!)'!E2</f>
        <v>Leren &amp; reflecteren</v>
      </c>
      <c r="C2" s="60" t="str">
        <f>'Data (NIET BEWERKEN!!)'!F2</f>
        <v>Ondersteunen &amp; samenwerken</v>
      </c>
      <c r="D2" s="60" t="str">
        <f>'Data (NIET BEWERKEN!!)'!G2</f>
        <v>Ondernemen &amp; resultaatgericht</v>
      </c>
      <c r="E2" s="60" t="str">
        <f>'Data (NIET BEWERKEN!!)'!H2</f>
        <v>Klantgericht</v>
      </c>
      <c r="F2" s="61" t="str">
        <f>'Data (NIET BEWERKEN!!)'!I2</f>
        <v>Kennisdeling</v>
      </c>
      <c r="G2" s="62" t="str">
        <f>'Data (NIET BEWERKEN!!)'!J2</f>
        <v>Coaching &amp; begeleiding</v>
      </c>
      <c r="H2" s="59" t="str">
        <f>'Data (NIET BEWERKEN!!)'!K2</f>
        <v>Datakwaliteit</v>
      </c>
      <c r="I2" s="60" t="str">
        <f>'Data (NIET BEWERKEN!!)'!L2</f>
        <v>Data exploratie</v>
      </c>
      <c r="J2" s="60" t="str">
        <f>'Data (NIET BEWERKEN!!)'!M2</f>
        <v>Analyse &amp; visualisatie</v>
      </c>
      <c r="K2" s="60" t="str">
        <f>'Data (NIET BEWERKEN!!)'!N2</f>
        <v>Modelleren</v>
      </c>
      <c r="L2" s="61" t="str">
        <f>'Data (NIET BEWERKEN!!)'!O2</f>
        <v>Statistiek &amp; wiskunde</v>
      </c>
      <c r="M2" s="124" t="str">
        <f>'Data (NIET BEWERKEN!!)'!P2</f>
        <v>Domeinkennis</v>
      </c>
      <c r="N2" s="60" t="str">
        <f>'Data (NIET BEWERKEN!!)'!Q2</f>
        <v>Deployment</v>
      </c>
      <c r="O2" s="62" t="str">
        <f>'Data (NIET BEWERKEN!!)'!R2</f>
        <v>Ethiek &amp; wetgeving</v>
      </c>
      <c r="P2" s="63" t="str">
        <f>'Data (NIET BEWERKEN!!)'!S2</f>
        <v>Programmeren</v>
      </c>
      <c r="Q2" s="60" t="str">
        <f>'Data (NIET BEWERKEN!!)'!T2</f>
        <v>Engineering</v>
      </c>
      <c r="R2" s="60" t="str">
        <f>'Data (NIET BEWERKEN!!)'!U2</f>
        <v>Machine learning</v>
      </c>
      <c r="S2" s="59" t="str">
        <f>'Data (NIET BEWERKEN!!)'!V2</f>
        <v>Adviseren</v>
      </c>
      <c r="T2" s="60" t="str">
        <f>'Data (NIET BEWERKEN!!)'!W2</f>
        <v>Doortastend &amp; probleemoplossend</v>
      </c>
      <c r="U2" s="60" t="str">
        <f>'Data (NIET BEWERKEN!!)'!X2</f>
        <v>Interpersoonlijk communicatie</v>
      </c>
      <c r="V2" s="60" t="str">
        <f>'Data (NIET BEWERKEN!!)'!Y2</f>
        <v>Verwachtings-management</v>
      </c>
      <c r="W2" s="61" t="str">
        <f>'Data (NIET BEWERKEN!!)'!Z2</f>
        <v>Schriftelijke en mondelinge communicatie</v>
      </c>
      <c r="X2" s="59" t="str">
        <f>'Data (NIET BEWERKEN!!)'!AA2</f>
        <v>Organisatie- en management-identificatie</v>
      </c>
      <c r="Y2" s="60" t="str">
        <f>'Data (NIET BEWERKEN!!)'!AB2</f>
        <v>Strategische conceptualisatie</v>
      </c>
      <c r="Z2" s="60" t="str">
        <f>'Data (NIET BEWERKEN!!)'!AC2</f>
        <v>Projectmanagement</v>
      </c>
      <c r="AA2" s="60" t="str">
        <f>'Data (NIET BEWERKEN!!)'!AD2</f>
        <v>Verander-management</v>
      </c>
      <c r="AB2" s="62" t="str">
        <f>'Data (NIET BEWERKEN!!)'!AE2</f>
        <v>Leidinggeven</v>
      </c>
      <c r="AC2" s="63" t="str">
        <f>'Data (NIET BEWERKEN!!)'!AF2</f>
        <v>Situationele communicatie</v>
      </c>
      <c r="AD2" s="60" t="str">
        <f>'Data (NIET BEWERKEN!!)'!AG2</f>
        <v>Doelgerichte &amp; effectieve communicatie</v>
      </c>
      <c r="AE2" s="60" t="str">
        <f>'Data (NIET BEWERKEN!!)'!AH2</f>
        <v>Besluitvaardigheid</v>
      </c>
      <c r="AF2" s="60" t="str">
        <f>'Data (NIET BEWERKEN!!)'!AI2</f>
        <v>Overtuigen &amp; beinvloeden</v>
      </c>
      <c r="AG2" s="62" t="str">
        <f>'Data (NIET BEWERKEN!!)'!AJ2</f>
        <v>Opbouwende feedback &amp; slecht nieuws gesprekken</v>
      </c>
    </row>
    <row r="3" spans="1:33">
      <c r="A3" s="58"/>
      <c r="B3" s="64">
        <v>1</v>
      </c>
      <c r="C3" s="65">
        <v>2</v>
      </c>
      <c r="D3" s="65">
        <v>3</v>
      </c>
      <c r="E3" s="65">
        <v>4</v>
      </c>
      <c r="F3" s="66">
        <v>5</v>
      </c>
      <c r="G3" s="67">
        <v>6</v>
      </c>
      <c r="H3" s="64">
        <v>7</v>
      </c>
      <c r="I3" s="65">
        <v>8</v>
      </c>
      <c r="J3" s="65">
        <v>9</v>
      </c>
      <c r="K3" s="65">
        <v>10</v>
      </c>
      <c r="L3" s="66">
        <v>11</v>
      </c>
      <c r="M3" s="125">
        <v>13</v>
      </c>
      <c r="N3" s="65">
        <v>14</v>
      </c>
      <c r="O3" s="67">
        <v>15</v>
      </c>
      <c r="P3" s="68">
        <v>16</v>
      </c>
      <c r="Q3" s="65"/>
      <c r="R3" s="65">
        <v>17</v>
      </c>
      <c r="S3" s="64">
        <v>19</v>
      </c>
      <c r="T3" s="65">
        <v>20</v>
      </c>
      <c r="U3" s="65">
        <v>21</v>
      </c>
      <c r="V3" s="65">
        <v>22</v>
      </c>
      <c r="W3" s="66">
        <v>23</v>
      </c>
      <c r="X3" s="64">
        <v>25</v>
      </c>
      <c r="Y3" s="65">
        <v>26</v>
      </c>
      <c r="Z3" s="65">
        <v>27</v>
      </c>
      <c r="AA3" s="65">
        <v>28</v>
      </c>
      <c r="AB3" s="67">
        <v>29</v>
      </c>
      <c r="AC3" s="68">
        <v>30</v>
      </c>
      <c r="AD3" s="65">
        <v>31</v>
      </c>
      <c r="AE3" s="65">
        <v>32</v>
      </c>
      <c r="AF3" s="65">
        <v>33</v>
      </c>
      <c r="AG3" s="67">
        <v>34</v>
      </c>
    </row>
    <row r="4" spans="1:33">
      <c r="A4" s="69" t="s">
        <v>234</v>
      </c>
      <c r="B4" s="70" t="e">
        <f>'Data (NIET BEWERKEN!!)'!E5</f>
        <v>#DIV/0!</v>
      </c>
      <c r="C4" s="71" t="e">
        <f>'Data (NIET BEWERKEN!!)'!F5</f>
        <v>#DIV/0!</v>
      </c>
      <c r="D4" s="71" t="e">
        <f>'Data (NIET BEWERKEN!!)'!G5</f>
        <v>#DIV/0!</v>
      </c>
      <c r="E4" s="71" t="e">
        <f>'Data (NIET BEWERKEN!!)'!H5</f>
        <v>#DIV/0!</v>
      </c>
      <c r="F4" s="72" t="e">
        <f>'Data (NIET BEWERKEN!!)'!I5</f>
        <v>#DIV/0!</v>
      </c>
      <c r="G4" s="73" t="e">
        <f>'Data (NIET BEWERKEN!!)'!J5</f>
        <v>#DIV/0!</v>
      </c>
      <c r="H4" s="70" t="e">
        <f>'Data (NIET BEWERKEN!!)'!K5</f>
        <v>#DIV/0!</v>
      </c>
      <c r="I4" s="71" t="e">
        <f>'Data (NIET BEWERKEN!!)'!L5</f>
        <v>#DIV/0!</v>
      </c>
      <c r="J4" s="71" t="e">
        <f>'Data (NIET BEWERKEN!!)'!M5</f>
        <v>#DIV/0!</v>
      </c>
      <c r="K4" s="71" t="e">
        <f>'Data (NIET BEWERKEN!!)'!N5</f>
        <v>#DIV/0!</v>
      </c>
      <c r="L4" s="72" t="e">
        <f>'Data (NIET BEWERKEN!!)'!O5</f>
        <v>#DIV/0!</v>
      </c>
      <c r="M4" s="72" t="e">
        <f>'Data (NIET BEWERKEN!!)'!P5</f>
        <v>#DIV/0!</v>
      </c>
      <c r="N4" s="72" t="e">
        <f>'Data (NIET BEWERKEN!!)'!Q5</f>
        <v>#DIV/0!</v>
      </c>
      <c r="O4" s="73" t="e">
        <f>'Data (NIET BEWERKEN!!)'!R5</f>
        <v>#DIV/0!</v>
      </c>
      <c r="P4" s="122" t="e">
        <f>'Data (NIET BEWERKEN!!)'!S5</f>
        <v>#DIV/0!</v>
      </c>
      <c r="Q4" s="71" t="e">
        <f>'Data (NIET BEWERKEN!!)'!T5</f>
        <v>#DIV/0!</v>
      </c>
      <c r="R4" s="73" t="e">
        <f>'Data (NIET BEWERKEN!!)'!U5</f>
        <v>#DIV/0!</v>
      </c>
      <c r="S4" s="70" t="e">
        <f>'Data (NIET BEWERKEN!!)'!V5</f>
        <v>#DIV/0!</v>
      </c>
      <c r="T4" s="71" t="e">
        <f>'Data (NIET BEWERKEN!!)'!W5</f>
        <v>#DIV/0!</v>
      </c>
      <c r="U4" s="71" t="e">
        <f>'Data (NIET BEWERKEN!!)'!X5</f>
        <v>#DIV/0!</v>
      </c>
      <c r="V4" s="71" t="e">
        <f>'Data (NIET BEWERKEN!!)'!Y5</f>
        <v>#DIV/0!</v>
      </c>
      <c r="W4" s="72" t="e">
        <f>'Data (NIET BEWERKEN!!)'!Z5</f>
        <v>#DIV/0!</v>
      </c>
      <c r="X4" s="70" t="e">
        <f>'Data (NIET BEWERKEN!!)'!AA5</f>
        <v>#DIV/0!</v>
      </c>
      <c r="Y4" s="71" t="e">
        <f>'Data (NIET BEWERKEN!!)'!AB5</f>
        <v>#DIV/0!</v>
      </c>
      <c r="Z4" s="71" t="e">
        <f>'Data (NIET BEWERKEN!!)'!AC5</f>
        <v>#DIV/0!</v>
      </c>
      <c r="AA4" s="71" t="e">
        <f>'Data (NIET BEWERKEN!!)'!AD5</f>
        <v>#DIV/0!</v>
      </c>
      <c r="AB4" s="73" t="e">
        <f>'Data (NIET BEWERKEN!!)'!AE5</f>
        <v>#DIV/0!</v>
      </c>
      <c r="AC4" s="70" t="e">
        <f>'Data (NIET BEWERKEN!!)'!AF5</f>
        <v>#DIV/0!</v>
      </c>
      <c r="AD4" s="71" t="e">
        <f>'Data (NIET BEWERKEN!!)'!AG5</f>
        <v>#DIV/0!</v>
      </c>
      <c r="AE4" s="71" t="e">
        <f>'Data (NIET BEWERKEN!!)'!AH5</f>
        <v>#DIV/0!</v>
      </c>
      <c r="AF4" s="71" t="e">
        <f>'Data (NIET BEWERKEN!!)'!AI5</f>
        <v>#DIV/0!</v>
      </c>
      <c r="AG4" s="73" t="e">
        <f>'Data (NIET BEWERKEN!!)'!AJ5</f>
        <v>#DIV/0!</v>
      </c>
    </row>
    <row r="5" spans="1:33" ht="15" thickBot="1">
      <c r="A5" s="74" t="s">
        <v>235</v>
      </c>
      <c r="B5" s="75"/>
      <c r="C5" s="76"/>
      <c r="D5" s="76"/>
      <c r="E5" s="76"/>
      <c r="F5" s="76"/>
      <c r="G5" s="77" t="e">
        <f>AVERAGE(B4:G4)</f>
        <v>#DIV/0!</v>
      </c>
      <c r="H5" s="75"/>
      <c r="I5" s="76"/>
      <c r="J5" s="76"/>
      <c r="K5" s="76"/>
      <c r="L5" s="76"/>
      <c r="M5" s="76"/>
      <c r="N5" s="76"/>
      <c r="O5" s="77" t="e">
        <f>AVERAGE(H4:R4)</f>
        <v>#DIV/0!</v>
      </c>
      <c r="P5" s="76"/>
      <c r="Q5" s="76"/>
      <c r="R5" s="77" t="e">
        <f>AVERAGE(P4:R4)</f>
        <v>#DIV/0!</v>
      </c>
      <c r="S5" s="75"/>
      <c r="T5" s="76"/>
      <c r="U5" s="76"/>
      <c r="V5" s="76"/>
      <c r="W5" s="77" t="e">
        <f>AVERAGE(S4:W4)</f>
        <v>#DIV/0!</v>
      </c>
      <c r="X5" s="75"/>
      <c r="Y5" s="76"/>
      <c r="Z5" s="76"/>
      <c r="AA5" s="76"/>
      <c r="AB5" s="77" t="e">
        <f>AVERAGE(X4:AB4)</f>
        <v>#DIV/0!</v>
      </c>
      <c r="AC5" s="75"/>
      <c r="AD5" s="76"/>
      <c r="AE5" s="76"/>
      <c r="AF5" s="76"/>
      <c r="AG5" s="77" t="e">
        <f>AVERAGE(AC4:AG4)</f>
        <v>#DIV/0!</v>
      </c>
    </row>
    <row r="6" spans="1:33">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row>
    <row r="7" spans="1:33">
      <c r="A7" s="80" t="s">
        <v>236</v>
      </c>
      <c r="B7" s="70" t="e">
        <f>'Data (NIET BEWERKEN!!)'!E18</f>
        <v>#DIV/0!</v>
      </c>
      <c r="C7" s="71" t="e">
        <f>'Data (NIET BEWERKEN!!)'!F18</f>
        <v>#DIV/0!</v>
      </c>
      <c r="D7" s="71" t="e">
        <f>'Data (NIET BEWERKEN!!)'!G18</f>
        <v>#DIV/0!</v>
      </c>
      <c r="E7" s="71" t="e">
        <f>'Data (NIET BEWERKEN!!)'!H18</f>
        <v>#DIV/0!</v>
      </c>
      <c r="F7" s="72" t="e">
        <f>'Data (NIET BEWERKEN!!)'!I18</f>
        <v>#DIV/0!</v>
      </c>
      <c r="G7" s="73" t="e">
        <f>'Data (NIET BEWERKEN!!)'!J18</f>
        <v>#DIV/0!</v>
      </c>
      <c r="H7" s="70" t="e">
        <f>'Data (NIET BEWERKEN!!)'!K18</f>
        <v>#DIV/0!</v>
      </c>
      <c r="I7" s="71" t="e">
        <f>'Data (NIET BEWERKEN!!)'!L18</f>
        <v>#DIV/0!</v>
      </c>
      <c r="J7" s="71" t="e">
        <f>'Data (NIET BEWERKEN!!)'!M18</f>
        <v>#DIV/0!</v>
      </c>
      <c r="K7" s="71" t="e">
        <f>'Data (NIET BEWERKEN!!)'!N18</f>
        <v>#DIV/0!</v>
      </c>
      <c r="L7" s="72" t="e">
        <f>'Data (NIET BEWERKEN!!)'!O18</f>
        <v>#DIV/0!</v>
      </c>
      <c r="M7" s="72" t="e">
        <f>'Data (NIET BEWERKEN!!)'!P18</f>
        <v>#DIV/0!</v>
      </c>
      <c r="N7" s="72" t="e">
        <f>'Data (NIET BEWERKEN!!)'!Q18</f>
        <v>#DIV/0!</v>
      </c>
      <c r="O7" s="73" t="e">
        <f>'Data (NIET BEWERKEN!!)'!R18</f>
        <v>#DIV/0!</v>
      </c>
      <c r="P7" s="122" t="e">
        <f>'Data (NIET BEWERKEN!!)'!S18</f>
        <v>#DIV/0!</v>
      </c>
      <c r="Q7" s="71" t="e">
        <f>'Data (NIET BEWERKEN!!)'!T18</f>
        <v>#DIV/0!</v>
      </c>
      <c r="R7" s="73" t="e">
        <f>'Data (NIET BEWERKEN!!)'!U18</f>
        <v>#DIV/0!</v>
      </c>
      <c r="S7" s="70" t="e">
        <f>'Data (NIET BEWERKEN!!)'!V18</f>
        <v>#DIV/0!</v>
      </c>
      <c r="T7" s="71" t="e">
        <f>'Data (NIET BEWERKEN!!)'!W18</f>
        <v>#DIV/0!</v>
      </c>
      <c r="U7" s="71" t="e">
        <f>'Data (NIET BEWERKEN!!)'!X18</f>
        <v>#DIV/0!</v>
      </c>
      <c r="V7" s="71" t="e">
        <f>'Data (NIET BEWERKEN!!)'!Y18</f>
        <v>#DIV/0!</v>
      </c>
      <c r="W7" s="71" t="e">
        <f>'Data (NIET BEWERKEN!!)'!Z18</f>
        <v>#DIV/0!</v>
      </c>
      <c r="X7" s="70" t="e">
        <f>'Data (NIET BEWERKEN!!)'!AA18</f>
        <v>#DIV/0!</v>
      </c>
      <c r="Y7" s="71" t="e">
        <f>'Data (NIET BEWERKEN!!)'!AB18</f>
        <v>#DIV/0!</v>
      </c>
      <c r="Z7" s="71" t="e">
        <f>'Data (NIET BEWERKEN!!)'!AC18</f>
        <v>#DIV/0!</v>
      </c>
      <c r="AA7" s="71" t="e">
        <f>'Data (NIET BEWERKEN!!)'!AD18</f>
        <v>#DIV/0!</v>
      </c>
      <c r="AB7" s="73" t="e">
        <f>'Data (NIET BEWERKEN!!)'!AE18</f>
        <v>#DIV/0!</v>
      </c>
      <c r="AC7" s="70" t="e">
        <f>'Data (NIET BEWERKEN!!)'!AF18</f>
        <v>#DIV/0!</v>
      </c>
      <c r="AD7" s="71" t="e">
        <f>'Data (NIET BEWERKEN!!)'!AG18</f>
        <v>#DIV/0!</v>
      </c>
      <c r="AE7" s="71" t="e">
        <f>'Data (NIET BEWERKEN!!)'!AH18</f>
        <v>#DIV/0!</v>
      </c>
      <c r="AF7" s="71" t="e">
        <f>'Data (NIET BEWERKEN!!)'!AI18</f>
        <v>#DIV/0!</v>
      </c>
      <c r="AG7" s="73" t="e">
        <f>'Data (NIET BEWERKEN!!)'!AJ18</f>
        <v>#DIV/0!</v>
      </c>
    </row>
    <row r="8" spans="1:33" ht="15" thickBot="1">
      <c r="A8" s="81" t="s">
        <v>235</v>
      </c>
      <c r="B8" s="82"/>
      <c r="C8" s="83"/>
      <c r="D8" s="83"/>
      <c r="E8" s="83"/>
      <c r="F8" s="83"/>
      <c r="G8" s="77" t="e">
        <f>AVERAGE(B7:G7)</f>
        <v>#DIV/0!</v>
      </c>
      <c r="H8" s="82"/>
      <c r="I8" s="83"/>
      <c r="J8" s="83"/>
      <c r="K8" s="83"/>
      <c r="L8" s="83"/>
      <c r="M8" s="83"/>
      <c r="N8" s="83"/>
      <c r="O8" s="77" t="e">
        <f>AVERAGE(H7:R7)</f>
        <v>#DIV/0!</v>
      </c>
      <c r="P8" s="83"/>
      <c r="Q8" s="83"/>
      <c r="R8" s="77" t="e">
        <f>AVERAGE(P7:R7)</f>
        <v>#DIV/0!</v>
      </c>
      <c r="S8" s="82"/>
      <c r="T8" s="83"/>
      <c r="U8" s="83"/>
      <c r="V8" s="83"/>
      <c r="W8" s="83" t="e">
        <f>AVERAGE(S7:W7)</f>
        <v>#DIV/0!</v>
      </c>
      <c r="X8" s="82"/>
      <c r="Y8" s="83"/>
      <c r="Z8" s="83"/>
      <c r="AA8" s="83"/>
      <c r="AB8" s="77" t="e">
        <f>AVERAGE(X7:AB7)</f>
        <v>#DIV/0!</v>
      </c>
      <c r="AC8" s="82"/>
      <c r="AD8" s="83"/>
      <c r="AE8" s="83"/>
      <c r="AF8" s="83"/>
      <c r="AG8" s="77" t="e">
        <f>AVERAGE(AC7:AG7)</f>
        <v>#DIV/0!</v>
      </c>
    </row>
  </sheetData>
  <conditionalFormatting sqref="O5 AB5 R5 G5">
    <cfRule type="colorScale" priority="10">
      <colorScale>
        <cfvo type="min"/>
        <cfvo type="percentile" val="50"/>
        <cfvo type="max"/>
        <color rgb="FFF8696B"/>
        <color rgb="FFFFEB84"/>
        <color rgb="FF63BE7B"/>
      </colorScale>
    </cfRule>
  </conditionalFormatting>
  <conditionalFormatting sqref="AC4:AG4">
    <cfRule type="colorScale" priority="15">
      <colorScale>
        <cfvo type="min"/>
        <cfvo type="percentile" val="50"/>
        <cfvo type="max"/>
        <color rgb="FFF8696B"/>
        <color rgb="FFFFEB84"/>
        <color rgb="FF63BE7B"/>
      </colorScale>
    </cfRule>
  </conditionalFormatting>
  <conditionalFormatting sqref="AG5">
    <cfRule type="colorScale" priority="16">
      <colorScale>
        <cfvo type="min"/>
        <cfvo type="percentile" val="50"/>
        <cfvo type="max"/>
        <color rgb="FFF8696B"/>
        <color rgb="FFFFEB84"/>
        <color rgb="FF63BE7B"/>
      </colorScale>
    </cfRule>
  </conditionalFormatting>
  <conditionalFormatting sqref="W5">
    <cfRule type="colorScale" priority="1">
      <colorScale>
        <cfvo type="min"/>
        <cfvo type="percentile" val="50"/>
        <cfvo type="max"/>
        <color rgb="FFF8696B"/>
        <color rgb="FFFFEB84"/>
        <color rgb="FF63BE7B"/>
      </colorScale>
    </cfRule>
  </conditionalFormatting>
  <conditionalFormatting sqref="B4:AB4">
    <cfRule type="colorScale" priority="3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31CFB9-F32C-49D5-B8D0-53B29C36566D}"/>
</file>

<file path=customXml/itemProps2.xml><?xml version="1.0" encoding="utf-8"?>
<ds:datastoreItem xmlns:ds="http://schemas.openxmlformats.org/officeDocument/2006/customXml" ds:itemID="{2345B4F2-3B30-4162-9FB0-76A0A8117CF5}"/>
</file>

<file path=customXml/itemProps3.xml><?xml version="1.0" encoding="utf-8"?>
<ds:datastoreItem xmlns:ds="http://schemas.openxmlformats.org/officeDocument/2006/customXml" ds:itemID="{B0859555-529E-4025-9B28-E06215BC7E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Levi Portier</cp:lastModifiedBy>
  <cp:revision/>
  <dcterms:created xsi:type="dcterms:W3CDTF">2020-11-26T09:31:06Z</dcterms:created>
  <dcterms:modified xsi:type="dcterms:W3CDTF">2022-09-22T08:05:43Z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MediaServiceImageTags">
    <vt:lpwstr/>
  </property>
  <property fmtid="{D5CDD505-2E9C-101B-9397-08002B2CF9AE}" pid="4" name="Order">
    <vt:r8>45359200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