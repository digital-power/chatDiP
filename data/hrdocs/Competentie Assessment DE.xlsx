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13"/>
  <workbookPr defaultThemeVersion="166925"/>
  <mc:AlternateContent xmlns:mc="http://schemas.openxmlformats.org/markup-compatibility/2006">
    <mc:Choice Requires="x15">
      <x15ac:absPath xmlns:x15ac="http://schemas.microsoft.com/office/spreadsheetml/2010/11/ac" url="https://digitalpower.sharepoint.com/sites/PilotgroepBeoordelingsystematiek/Gedeelde documenten/General/Competentie Assessments/"/>
    </mc:Choice>
  </mc:AlternateContent>
  <xr:revisionPtr revIDLastSave="44" documentId="14_{90B07673-9A2F-4641-83F5-F2DE70B12230}" xr6:coauthVersionLast="47" xr6:coauthVersionMax="47" xr10:uidLastSave="{CC5455A8-7936-4C84-9319-D5CF9E535B77}"/>
  <bookViews>
    <workbookView xWindow="-108" yWindow="-108" windowWidth="23256" windowHeight="12720" firstSheet="1" activeTab="1" xr2:uid="{1F9F934B-3F76-4FFB-9890-B75BF435F439}"/>
  </bookViews>
  <sheets>
    <sheet name="Theorie" sheetId="4" r:id="rId1"/>
    <sheet name="Vragenlijst" sheetId="1" r:id="rId2"/>
    <sheet name="Data (NIET BEWERKEN!!)" sheetId="3" r:id="rId3"/>
    <sheet name="Uitwerking (NIET BEWERKEN!!)" sheetId="2" r:id="rId4"/>
  </sheets>
  <definedNames>
    <definedName name="_xlnm.Print_Area" localSheetId="1">Vragenlijst!$A$12:$D$210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K18" i="3" l="1"/>
  <c r="AH7" i="2" s="1"/>
  <c r="AJ18" i="3"/>
  <c r="AG7" i="2" s="1"/>
  <c r="AI18" i="3"/>
  <c r="AF7" i="2" s="1"/>
  <c r="AH18" i="3"/>
  <c r="AE7" i="2" s="1"/>
  <c r="AG18" i="3"/>
  <c r="AD7" i="2" s="1"/>
  <c r="AF18" i="3"/>
  <c r="AC7" i="2" s="1"/>
  <c r="AE18" i="3"/>
  <c r="AB7" i="2" s="1"/>
  <c r="AD18" i="3"/>
  <c r="AA7" i="2" s="1"/>
  <c r="AC18" i="3"/>
  <c r="Z7" i="2" s="1"/>
  <c r="AB18" i="3"/>
  <c r="Y7" i="2" s="1"/>
  <c r="AA18" i="3"/>
  <c r="X7" i="2" s="1"/>
  <c r="Z18" i="3"/>
  <c r="W7" i="2" s="1"/>
  <c r="Y18" i="3"/>
  <c r="V7" i="2" s="1"/>
  <c r="X18" i="3"/>
  <c r="U7" i="2" s="1"/>
  <c r="W18" i="3"/>
  <c r="T7" i="2" s="1"/>
  <c r="V18" i="3"/>
  <c r="S7" i="2" s="1"/>
  <c r="U18" i="3"/>
  <c r="T18" i="3"/>
  <c r="Q7" i="2" s="1"/>
  <c r="S18" i="3"/>
  <c r="P7" i="2" s="1"/>
  <c r="R18" i="3"/>
  <c r="O7" i="2" s="1"/>
  <c r="Q18" i="3"/>
  <c r="N7" i="2" s="1"/>
  <c r="P18" i="3"/>
  <c r="M7" i="2" s="1"/>
  <c r="O18" i="3"/>
  <c r="L7" i="2" s="1"/>
  <c r="N18" i="3"/>
  <c r="K7" i="2" s="1"/>
  <c r="M18" i="3"/>
  <c r="J7" i="2" s="1"/>
  <c r="L18" i="3"/>
  <c r="I7" i="2" s="1"/>
  <c r="K18" i="3"/>
  <c r="H7" i="2" s="1"/>
  <c r="J18" i="3"/>
  <c r="G7" i="2" s="1"/>
  <c r="I18" i="3"/>
  <c r="F7" i="2" s="1"/>
  <c r="H18" i="3"/>
  <c r="E7" i="2" s="1"/>
  <c r="G18" i="3"/>
  <c r="D7" i="2" s="1"/>
  <c r="F18" i="3"/>
  <c r="C7" i="2" s="1"/>
  <c r="E18" i="3"/>
  <c r="B7" i="2" s="1"/>
  <c r="E5" i="3"/>
  <c r="B4" i="2" s="1"/>
  <c r="G5" i="2" s="1"/>
  <c r="L5" i="3"/>
  <c r="I4" i="2" s="1"/>
  <c r="R5" i="3"/>
  <c r="O4" i="2" s="1"/>
  <c r="I1" i="2"/>
  <c r="I2" i="2"/>
  <c r="O1" i="2"/>
  <c r="O2" i="2"/>
  <c r="R7" i="2"/>
  <c r="C27" i="3"/>
  <c r="C26" i="3"/>
  <c r="C25" i="3"/>
  <c r="C24" i="3"/>
  <c r="C23" i="3"/>
  <c r="C22" i="3"/>
  <c r="C21" i="3"/>
  <c r="C20" i="3"/>
  <c r="C19" i="3"/>
  <c r="C18" i="3"/>
  <c r="AK5" i="3"/>
  <c r="AH4" i="2" s="1"/>
  <c r="AJ5" i="3"/>
  <c r="AG4" i="2" s="1"/>
  <c r="AI5" i="3"/>
  <c r="AF4" i="2" s="1"/>
  <c r="AH5" i="3"/>
  <c r="AE4" i="2" s="1"/>
  <c r="AG5" i="3"/>
  <c r="AD4" i="2" s="1"/>
  <c r="AH5" i="2" s="1"/>
  <c r="AF5" i="3"/>
  <c r="AC4" i="2" s="1"/>
  <c r="AE5" i="3"/>
  <c r="AB4" i="2" s="1"/>
  <c r="AD5" i="3"/>
  <c r="AA4" i="2" s="1"/>
  <c r="AC5" i="3"/>
  <c r="Z4" i="2" s="1"/>
  <c r="AB5" i="3"/>
  <c r="Y4" i="2" s="1"/>
  <c r="AC5" i="2" s="1"/>
  <c r="AA5" i="3"/>
  <c r="X4" i="2" s="1"/>
  <c r="Z5" i="3"/>
  <c r="W4" i="2" s="1"/>
  <c r="Y5" i="3"/>
  <c r="V4" i="2" s="1"/>
  <c r="X5" i="3"/>
  <c r="U4" i="2" s="1"/>
  <c r="W5" i="3"/>
  <c r="T4" i="2" s="1"/>
  <c r="X5" i="2" s="1"/>
  <c r="V5" i="3"/>
  <c r="S4" i="2" s="1"/>
  <c r="U5" i="3"/>
  <c r="R4" i="2" s="1"/>
  <c r="T5" i="3"/>
  <c r="Q4" i="2" s="1"/>
  <c r="S5" i="3"/>
  <c r="P4" i="2" s="1"/>
  <c r="Q5" i="3"/>
  <c r="N4" i="2" s="1"/>
  <c r="S5" i="2" s="1"/>
  <c r="P5" i="3"/>
  <c r="M4" i="2" s="1"/>
  <c r="O5" i="3"/>
  <c r="L4" i="2" s="1"/>
  <c r="N5" i="3"/>
  <c r="K4" i="2" s="1"/>
  <c r="M5" i="3"/>
  <c r="J4" i="2" s="1"/>
  <c r="K5" i="3"/>
  <c r="H4" i="2" s="1"/>
  <c r="M5" i="2" s="1"/>
  <c r="J5" i="3"/>
  <c r="G4" i="2" s="1"/>
  <c r="I5" i="3"/>
  <c r="F4" i="2" s="1"/>
  <c r="H5" i="3"/>
  <c r="E4" i="2" s="1"/>
  <c r="G5" i="3"/>
  <c r="D4" i="2" s="1"/>
  <c r="F5" i="3"/>
  <c r="C4" i="2" s="1"/>
  <c r="X8" i="2" l="1"/>
  <c r="S8" i="2"/>
  <c r="AC8" i="2"/>
  <c r="AH8" i="2"/>
  <c r="M8" i="2"/>
  <c r="G8" i="2"/>
  <c r="AH2" i="2"/>
  <c r="AG2" i="2"/>
  <c r="AF2" i="2"/>
  <c r="AE2" i="2"/>
  <c r="AD2" i="2"/>
  <c r="AC2" i="2"/>
  <c r="AB2" i="2"/>
  <c r="AA2" i="2"/>
  <c r="Z2" i="2"/>
  <c r="Y2" i="2"/>
  <c r="X2" i="2"/>
  <c r="W2" i="2"/>
  <c r="V2" i="2"/>
  <c r="U2" i="2"/>
  <c r="T2" i="2"/>
  <c r="S2" i="2"/>
  <c r="R2" i="2"/>
  <c r="Q2" i="2"/>
  <c r="P2" i="2"/>
  <c r="N2" i="2"/>
  <c r="M2" i="2"/>
  <c r="L2" i="2"/>
  <c r="K2" i="2"/>
  <c r="J2" i="2"/>
  <c r="H2" i="2"/>
  <c r="G2" i="2"/>
  <c r="F2" i="2"/>
  <c r="E2" i="2"/>
  <c r="D2" i="2"/>
  <c r="C2" i="2"/>
  <c r="AH1" i="2"/>
  <c r="AG1" i="2"/>
  <c r="AF1" i="2"/>
  <c r="AE1" i="2"/>
  <c r="AD1" i="2"/>
  <c r="AC1" i="2"/>
  <c r="AB1" i="2"/>
  <c r="AA1" i="2"/>
  <c r="Z1" i="2"/>
  <c r="Y1" i="2"/>
  <c r="X1" i="2"/>
  <c r="W1" i="2"/>
  <c r="V1" i="2"/>
  <c r="U1" i="2"/>
  <c r="T1" i="2"/>
  <c r="S1" i="2"/>
  <c r="R1" i="2"/>
  <c r="Q1" i="2"/>
  <c r="P1" i="2"/>
  <c r="N1" i="2"/>
  <c r="M1" i="2"/>
  <c r="L1" i="2"/>
  <c r="K1" i="2"/>
  <c r="J1" i="2"/>
  <c r="H1" i="2"/>
  <c r="G1" i="2"/>
  <c r="F1" i="2"/>
  <c r="E1" i="2"/>
  <c r="D1" i="2"/>
  <c r="C1" i="2"/>
  <c r="B2" i="2"/>
  <c r="B1" i="2"/>
  <c r="A23" i="3"/>
  <c r="B23" i="3"/>
  <c r="D23" i="3"/>
  <c r="A24" i="3"/>
  <c r="B24" i="3"/>
  <c r="D24" i="3"/>
  <c r="A25" i="3"/>
  <c r="B25" i="3"/>
  <c r="D25" i="3"/>
  <c r="A26" i="3"/>
  <c r="B26" i="3"/>
  <c r="D26" i="3"/>
  <c r="A27" i="3"/>
  <c r="B27" i="3"/>
  <c r="D27" i="3"/>
  <c r="A22" i="3"/>
  <c r="B22" i="3"/>
  <c r="D22" i="3"/>
  <c r="B19" i="3" l="1"/>
  <c r="D19" i="3"/>
  <c r="B20" i="3"/>
  <c r="D20" i="3"/>
  <c r="B21" i="3"/>
  <c r="D21" i="3"/>
  <c r="D18" i="3"/>
  <c r="B18" i="3"/>
  <c r="A19" i="3" l="1"/>
  <c r="A20" i="3"/>
  <c r="A21" i="3"/>
  <c r="A18" i="3"/>
</calcChain>
</file>

<file path=xl/sharedStrings.xml><?xml version="1.0" encoding="utf-8"?>
<sst xmlns="http://schemas.openxmlformats.org/spreadsheetml/2006/main" count="400" uniqueCount="239">
  <si>
    <t>Digital Power Competentiehuis</t>
  </si>
  <si>
    <t>Competentiegebieden</t>
  </si>
  <si>
    <t>Vragenlijst</t>
  </si>
  <si>
    <t>Voorbeeld competentiegebied</t>
  </si>
  <si>
    <t>Vul per situatie de corresponderende invulwaarde in bij de best passende competentie beschrijving</t>
  </si>
  <si>
    <t>Invulinstructie</t>
  </si>
  <si>
    <t>Voorbeeld competentie</t>
  </si>
  <si>
    <t>Competentieniveau tot heden</t>
  </si>
  <si>
    <t>Wenselijk competentieniveau</t>
  </si>
  <si>
    <t>Invulwaarde</t>
  </si>
  <si>
    <t xml:space="preserve">
Ieder competentiegebied (6), te herkennen aan de verschillende kleuren, bestaat uit een aantal specifieke competenties.
Bepaal voor iedere competentie waar je ambitie (wenselijk competenieniveau) ligt en waar je nu staat (competentieniveau tot heden). 
- Doe dit door jezelf te scoren op de aangegeven schaal (zie voorbeeld)
- Indien je (nu) geen ambitie hebt op een competentie, hou je de score aan die weergeeft wat je competentieniveau tot heden is.
Bepaal bij iedere competentie welke beschrijvng het beste past voor de situatie (heden/ wens). Kijk niet alleen naar kennis en kunde, maar ook naar invloedssfeer en mate aan (persoonlijk) leiderschap in je rol bij de klant. 
Creeer je gewenste profiel aan de hand van je ambitie! En ontwikkel díe competenties die invulling geven aan het verwezenlijken van deze ambitie.
Het doel is niet om te toetsen of je wel/ geen goede consultant bent binnen dit domein. Het doel is wel dat je competenties ontwikkelt die bij jouw ambitie passen.
Wees realitisch bij het invullen. Alleen dan gebruik je het tot de volle potentie.
Succes met invullen!</t>
  </si>
  <si>
    <t>Voorbeeld competentie beschrijving: Acteert bij klanten op competentie A.</t>
  </si>
  <si>
    <t>Voorbeeld competentie beschrijving: Acteert bij klanten naast compententie A, ook op competentie B.</t>
  </si>
  <si>
    <t>Voorbeeld competentie beschrijving: Acteert bij klanten naast compententie A en B, ook op competentie C.</t>
  </si>
  <si>
    <t>Voorbeeld competentie beschrijving: Acteert bij klanten naast compententie A, B en C, ook op competentie D.</t>
  </si>
  <si>
    <t>Voorbeeld competentie beschrijving: Acteert bij klanten naast compententie A, B, C en D, ook op competentie E.</t>
  </si>
  <si>
    <t>Competentiegebied: Digital Power basis competenties</t>
  </si>
  <si>
    <t>Leren &amp; reflecteren</t>
  </si>
  <si>
    <t>Heeft een groei mindset</t>
  </si>
  <si>
    <t>Ontvangt positieve en opbouwende feedback met een open houding, is in staat dit voor zelfreflectie te gebruiken, het op te nemen in zijn/ haar eigen ontwikkeling en hier de nodige ontwikkeling op te ondernemen met trainingen en cursussen.</t>
  </si>
  <si>
    <t>Is naast bovengenoemde externe prikkel (feedback van anderen), in staat zelf kritisch te blijven op eigen kennis en ervaring en het eventueel ontbreken ervan. Neemt hierin de nodige acties en neemt daarin zelf de regie over de eigen ontwikkeling.</t>
  </si>
  <si>
    <t>Neemt een voorbeeldrol aan in bovengenoemde competenties en draagt deze eveneens actief uit vanuit de begeleidende rol naar juniors en mediors.</t>
  </si>
  <si>
    <t>Neemt een leidersrol aan in bovengenoemde competenties en draagt deze actief uit vanuit de begeleidersrol en/ of als organisatieverantwoordelijke.</t>
  </si>
  <si>
    <t>Ondersteunen &amp; samenwerken</t>
  </si>
  <si>
    <t>Heeft een collegiale mindset</t>
  </si>
  <si>
    <t>Is behulpzaam en betrokken naar zowel interne als externe collega's</t>
  </si>
  <si>
    <t xml:space="preserve">Zoekt actief de samenwerking op. Zowel binnen als buiten het eigen team waarin je (tijdelijk) onderdeel van uitmaakt. </t>
  </si>
  <si>
    <t>Neemt een voorbeeld rol in bij het zoeken naar samenwerking. Neemt de verantwoordelijkheid op zich om anderen te ondersteunen en de hulp te bieden om ervoor te zorgen dat teamleden zelfredzaam worden in hun werkzaamheden.</t>
  </si>
  <si>
    <t>…</t>
  </si>
  <si>
    <t>Ondernemen &amp; resultaatgericht</t>
  </si>
  <si>
    <t>Heeft een ondernemende &amp; resultaatgerichte mindset</t>
  </si>
  <si>
    <t xml:space="preserve">Gericht op effectief handelen en het op tijd opleveren van afgesproken werk, binnen de afgesproken tijd. </t>
  </si>
  <si>
    <t>Naast bovengenoemde competenties in staat kansen te herkennen en actief te handelen om klanten te helpen en/ of DiP verder te profilen. Is in staat klantdoelstellingen te vertalen naar concrete en praktische acties.</t>
  </si>
  <si>
    <t>Naast bovengenoemde competenties in staat commerciele activiteiten (zoals het uitbouwen van uren, additionele opdrachten genereren ed.) te verhogen. Ontplooit binnen DiP projecten en overziet en/ of begeleidt deze naar het beoogde resultaat.</t>
  </si>
  <si>
    <t>Naast bovengenoemde competenties verantwoordelijk voor de ontwikkeling van een specialisme binnen DiP. Incl. het monitoren en marktconform houden van dit specialisme.</t>
  </si>
  <si>
    <t>Klantgericht</t>
  </si>
  <si>
    <t>Heeft een klantgerichte mindset</t>
  </si>
  <si>
    <t>Herkent behoeften en belangen van de klant; stelt zich hulpvaardig op en houdt in het handelen rekening met de behoeften en belangen van de klant.</t>
  </si>
  <si>
    <t>Denkt naast bovengenoemde competenties, actief mee met de klant. Deelt inzichten in de klantorganisatie binnen DiP om commerciële  activiteiten verder uit te kunnen breiden. Streeft daarin actief naar verhoging van klanttevredenheid en kwaliteitsverbetering.</t>
  </si>
  <si>
    <t>Stimuleert en faciliteert naast bovengenoemde competenties, ook anderen om actief klantgericht te opereren. Is in staat klantactiviteit uit te breiden d.m.v. expertise. Overtreft de verwachtingen van de klant.</t>
  </si>
  <si>
    <t>Draagt, naast bovengenoemde competenties, de verantwoordelijkheid voor een klantgerichte aanpak. Zet zich in voor het structureel hoogwaardig houden van de klantgerichtheid.</t>
  </si>
  <si>
    <t>Kennisdeling</t>
  </si>
  <si>
    <t>Neemt actief kennis op uit de DiP organisatie.</t>
  </si>
  <si>
    <t>Neemt kennis op uit de DiP organisatie en deelt actief eigen ervaringen met collega's.</t>
  </si>
  <si>
    <t>Deelt, naast bovengenoemde, actief eigen ervaringen en kennis in DiP meet-ups, peergroups en het geven van trainingen, etc. Draagt kennis eveneens extern uit in meet-ups, conferenties, trainingen, blogs, inspiratiesessies, etc.</t>
  </si>
  <si>
    <t>Is naast bovengenoemde activiteiten, door verworven kennis en ervaring een vraagbaak voor consultants in zijn/ haar specialisme. En draagt bij aan de teamspirit.</t>
  </si>
  <si>
    <t>Draagt, naast bovengenoemde activiteiten, eveneens de verantwoordelijkheid over het niveau van kennisdeling. Zorgt ervoor dat kennisdeling op peil blijft qua inhoud en frequentie.</t>
  </si>
  <si>
    <t>Coaching &amp; begeleiding</t>
  </si>
  <si>
    <t>Heeft nooit (in)formeel coaching of begeleiding gegeven op professioneel gebied</t>
  </si>
  <si>
    <t>Heeft één of meerdere trainingen/ cursussen gevolgd over coachen en/ of begeleiden op professioneel gebied.</t>
  </si>
  <si>
    <t>Heeft (binnen DiP) één of meerdere collega's informeel gecoached en/ of begeleidt op professioneel gebied.</t>
  </si>
  <si>
    <t>Begeleidt (binnen DiP) formeel één of meerdere junior/ medior consultants op professioneel gebied in hun ontwikkeling.</t>
  </si>
  <si>
    <t>Begeleidt (binnen DiP) formeel meer dan 4 jaar één of meerdere junior/ medior/ senior consultants op professioeel gebied in hun ontwikkeling.</t>
  </si>
  <si>
    <t>Competentiegebied: Data Engineering domein competenties</t>
  </si>
  <si>
    <t>Domeinkennis</t>
  </si>
  <si>
    <t xml:space="preserve">Begrijpt basisconcepten als programmeertalen en data opslag </t>
  </si>
  <si>
    <t>Begrijpt basisconcepten van cloud computing en ETL</t>
  </si>
  <si>
    <t>Heeft kennis van datawarehouses, datalakes en distributed processing mbt big data processing en kan de voor- en nadelen van deze technieken beschrijven, is in staat om van een functioneel ontwerp / user story een technisch ontwerp te maken en te implementeren.</t>
  </si>
  <si>
    <t>Is in staat om in business vraagstukken de data engineering componenten duidelijk te krijgen en om te zetten naar functionele ontwerpen / user stories</t>
  </si>
  <si>
    <t>Heeft zeer brede kennis op het vlak van data engineering binnen meerdere branches en kan deze bij vrijwel iedere situatie inzetten om een oplossing te bedenken</t>
  </si>
  <si>
    <t>Data architectuur</t>
  </si>
  <si>
    <t xml:space="preserve">Basale kennis over samenwerking en onderscheid verschillende componenten zoals processing environment, operating system, flat file storage en databases </t>
  </si>
  <si>
    <t>Kennis over automatiseren scripts in cloud omgeving, is in staat om uit de basale componenten de juiste te kiezen voor een data oplossing</t>
  </si>
  <si>
    <t>Kennis over meer geavanceerde cloud oplossingen als streaming technologie en data lakes en kennis van container software als Docker en Kubernetes, is in staat om bij het ontwerp van de oplossing rekening te houden met projectoverstijgende requirements (architectuur). Kennis over het in productie brengen en onderhouden van machine learning modellen (MLOps).</t>
  </si>
  <si>
    <t>Is in staat om in een end-to-end keten verbeteringen in de data architectuur voor te stellen en te implementeren</t>
  </si>
  <si>
    <t>Is in staat om een data architectuur voor een gehele organisatie neer te zetten, hiervoor draagvlak te creeeren en te implementeren</t>
  </si>
  <si>
    <t>Informatica</t>
  </si>
  <si>
    <t>Bekend met beginselen van informatica</t>
  </si>
  <si>
    <t>Is in staat zelfstandig basale oplossingen te ontwikkelen met behulp van scripting en is bekend met veelgebruikte data structuren</t>
  </si>
  <si>
    <t>Is in staat concepten als object oriented programming (OOP) toe te passen binnen projecten en is bekend met complexere data structuren</t>
  </si>
  <si>
    <t>Is in staat efficiënte oplossingen te ontwikkelen met technieken als concurrency en parallellisatie</t>
  </si>
  <si>
    <t>Bovenstaande, maar dan taal / operatingsystem agnostisch (???)</t>
  </si>
  <si>
    <t>Data governance (+AVG+Ethiek)</t>
  </si>
  <si>
    <t>Basale kennis over organisaties en het belang van data binnen organisaties</t>
  </si>
  <si>
    <t>Is in staat om data governance processen te volgen en verbeteringen aan te dragen</t>
  </si>
  <si>
    <t>Is in staat om te adviseren over en het implementeren van data governance processen binnen de afdeling / functie waar de consultant werkt</t>
  </si>
  <si>
    <t xml:space="preserve">Is in staat om te adviseren over en het implementeren van afdelingsoverstijgende data governance processen </t>
  </si>
  <si>
    <t>Is in staat om data governance processen te introduceren en draagvlak voor introductie ervan te creeeren, organisatiebreed</t>
  </si>
  <si>
    <t>Data kwaliteit</t>
  </si>
  <si>
    <t>Kan voorbeelden van datakwaliteitsproblemen geven, zonder per se de oorzaken te kunnen identificeren</t>
  </si>
  <si>
    <t>Bekend met concepten van data kwaliteit en veelvoorkomende oorzaken, rapporteert over waargenomen datakwaliteitsissues</t>
  </si>
  <si>
    <t>Kennis van verschillende technieken rondom geautomatiseerde data kwaliteitschecks en implementeert deze</t>
  </si>
  <si>
    <t>Is in staat om de business impact van slechte datakwaliteit te kwantificeren en te agenderen binnen een afdeling.</t>
  </si>
  <si>
    <t>Is in staat om breed draagvlak te creeeren voor het verbeteren van de datakwaliteit van de organisatie</t>
  </si>
  <si>
    <t>Beveiliging</t>
  </si>
  <si>
    <t>Begrijpt dat hardcoded credentials niet kunnen, en begrijpt het belang van beveiliging met betrekking tot data</t>
  </si>
  <si>
    <t>Is in staat oplossingen op een veilige en verantwoorde manier te implementeren conform bestaande richtlijnen. Identificeert en rapporteert over waargenomen beveiligingsrisico's.</t>
  </si>
  <si>
    <t>Begrijpt beveiligingsconcepten rondom netwerk beveiliging en beveiligde opslag van sensitieve gegevens, identificeert grote beveiligingsproblemen en levert mogelijke oplossingen ervoor</t>
  </si>
  <si>
    <t>Draagt het belang uit van beveiliging rondom data, netwerken, operating systems, identificeert meer obscure beveiligingsproblemen en zorgt voor oplossingen</t>
  </si>
  <si>
    <t>Kan draagvlak creeeren voor organisatiebrede verbeteringen op gebied van data security en IAM, en lukt om initiatieven ervoor te starten</t>
  </si>
  <si>
    <t>Competentiegebied: Data Engineering Hardskills</t>
  </si>
  <si>
    <t>Programmeren</t>
  </si>
  <si>
    <t>Is in staat met scripting basisfunctionaliteit te implementeren</t>
  </si>
  <si>
    <t>Basiskennis Python, kan met bijvoorbeeld Pandas data importeren en verwerken. Bekend met basisprincipes GIT.</t>
  </si>
  <si>
    <t>Kennis van data verwerking frameworks als Spark en Dask, kan concepten als OOP toepassen binnen projecten. In staat met grote teams aan dezelfde repository te werken. Werkt conform bestaande programmeerrichtlijnen. Is in staat geschreven oplossingen om te zetten naar herbruikbare packages.</t>
  </si>
  <si>
    <t>Wordt door zijn peers bij Digital Power gezien als expert op een van de belangrijke tools / programmeertalen voor data engineering</t>
  </si>
  <si>
    <t>Wordt door zijn peers in het vakgebied gezien als expert op een van de belangrijke tools / programmeertalen voor data engineering</t>
  </si>
  <si>
    <t>Data verwerking</t>
  </si>
  <si>
    <t>Is in staat kleine hoeveelheden data te verwerken met behulp van packages als Pandas</t>
  </si>
  <si>
    <t>Is in staat productie waardige ETL/ELT code te ontwikkelen</t>
  </si>
  <si>
    <t>Ervaring van gedistribueerde data verwerkingstechnieken en best practices in verschillende situaties. Bijvoorbeeld data verwerking binnen een data lake en data verwerking binnen een data warehouse.</t>
  </si>
  <si>
    <t>Heeft ervaring met verschillende technieken voor zowel batch als stream verwerking en is in staat deze in een breed scala aan projecten in te zetten</t>
  </si>
  <si>
    <t>Goed op de hoogte van de laatste ontwikkelingen op het gebied van data verwerking en netwerk buiten Digital Power met specialisten op data verwerking</t>
  </si>
  <si>
    <t>Testen en deployments</t>
  </si>
  <si>
    <t>Is in staat eigen ontwikkelde scripts te debuggen.</t>
  </si>
  <si>
    <t>Is bekend met de beginselen van CI/CD en geautomatiseerd testen en is in staat (eenvoudige) scripts te debuggen en in productie te brengen in cloud omgevingen met behulp van de web console. Voelt zich comfortabel met GIT.</t>
  </si>
  <si>
    <t xml:space="preserve">Opzetten van CI/CD straten en schrijven van unit testen en integratie testen. </t>
  </si>
  <si>
    <t>Meer ervaren in het gebruik van CI/CD tooling. Is in staat organisaties te adviseren over tooling en deze tooling organisatiebreed te introduceren.</t>
  </si>
  <si>
    <t>Is in staat om draagvlak te creeeren om een organisatie richting CI/CD en DevOps te laten bewegen</t>
  </si>
  <si>
    <t>Infrastructuur en cloud oplossingen</t>
  </si>
  <si>
    <t>Basiskennis van het installeren van een Linux VM op Windows en file systemen</t>
  </si>
  <si>
    <t>Is in staat Python omgevingen op te zetten binnen Linux en de command line</t>
  </si>
  <si>
    <t>Kennis van netwerken, kan cloud infrastructuur optuigen met behulp van "Infrastructure as Code" frameworks als Terraform, CloudFormation of Azure ARM</t>
  </si>
  <si>
    <t>In staat schaalbare data oplossingen te ontwerpen en ontwikkelen bestaande uit meerdere componenten (microservice architectuur)</t>
  </si>
  <si>
    <t>Is in staat data platformen te ontwikkelen volgens bestaande organisatie richtlijnen en visies. Kan draagvlak creeeren voor gekozen oplossingen die mogelijk buiten de huidige visie en richtlijnen vallen.</t>
  </si>
  <si>
    <t>Data modelleren</t>
  </si>
  <si>
    <t>Begrijpt de basis van data modelleren in gestructureerde omgevingen (SQL)</t>
  </si>
  <si>
    <t>Begrijpt data modellen in gestructureerde en ongestructureerde vormen (SQL, Json, XML, …)</t>
  </si>
  <si>
    <t>Is in staat requirements om te zetten naar een data model passend bij de geschetste infrastructuur</t>
  </si>
  <si>
    <t>Is in staat om requirements om te zetten naar data modellen, hierbij in acht nemend factoren als partitionering, redundantie en (geo)replicatie</t>
  </si>
  <si>
    <t>Is in staat data modellen te ontwikkelen volgens bestaande organisatie richtlijnen en visies. Kan draagvlak creeeren voor gekozen oplossingen die mogelijk buiten de huidige visie en richtlijnen vallen.</t>
  </si>
  <si>
    <t>Virtualisatie en containerisatie</t>
  </si>
  <si>
    <t>Basiskennis van het begrip virtualisatie</t>
  </si>
  <si>
    <t>Is in staat eenvoudige Docker containers te definiëren en bestaande containers te gebruiken. Kan virtualisatie technieken voor gebruikte programmeertalen toepassen (bijvoorbeeld virtualenv voor Python).</t>
  </si>
  <si>
    <t>Is in staat eenvoudige microservice architectuur te implementeren met behulp van virtualisatie technieken als Kubernetes en Docker Swarm/Compose.</t>
  </si>
  <si>
    <t>Is in staat complexe, schaalbare microservice architectuur te implementeren met behulp van virtualisatie technieken.</t>
  </si>
  <si>
    <t>Kan business vraagstukken vertalen en de juiste virtualisatie technieken toepassen. (???)</t>
  </si>
  <si>
    <t>Competentiegebied: Basis consultancy competenties</t>
  </si>
  <si>
    <t>Adviseren</t>
  </si>
  <si>
    <t>Geeft advies over vragen vanuit de directe business (stakeholders). Veelal op operationeel gebied.</t>
  </si>
  <si>
    <t>Geeft naast bovengenoemde competenties, pro-actief advies over aanverwante analyses en inzichten. Is in staat inzichten te bezien vanuit andere perspectieven dan de eigen business (stakeholders) en betrekt deze in het proces.</t>
  </si>
  <si>
    <t>Geeft naast bovengenoemde competenties, advies met een organisatie brede impact.</t>
  </si>
  <si>
    <t>Geeft naast bovengenoemde competenties, advies op management- en/ of organisatieniveau.</t>
  </si>
  <si>
    <t>Doortastend &amp; probleemoplossend</t>
  </si>
  <si>
    <t>Heeft een nieuwsgierige en pragmatische mindset.</t>
  </si>
  <si>
    <t>In staat binnen je afdeling/ project kritische vragen te stellen. In staat tot een passende oplossing te komen voor de eigen business (stakeholders).</t>
  </si>
  <si>
    <t>Naast bovengenoemde competenties in staat om tot de kern van het probleem te komen met een afdelings- en/ of opdrachtoverstijgende impact. In staat dit te adresseren en tot een oplossing te komen die breder gedragen wordt.</t>
  </si>
  <si>
    <t>Naast bovengenoemde competenties in staat tot de kern van het probleem te komen met een organisatie brede impact.</t>
  </si>
  <si>
    <t>Naast bovengenoemde competenties in staat tot de kern van het probleem te komen met een organisatie brede impact. In staat dit te adresseren en tot een oplossing te komen die orgaisatiebreed gedragen wordt.</t>
  </si>
  <si>
    <t>Interpersoonlijk communicatie</t>
  </si>
  <si>
    <t>Heeft een toegankelijke houding.</t>
  </si>
  <si>
    <t>Heeft een zichtbare en toegankelijke houding. Kan goed luisteren en terugkoppelen en kan zich goed in anderen verplaatsen.</t>
  </si>
  <si>
    <t>Stelt zich naast bovengenoemde competenties assertief op en hanteert een gezonde belans tussen meebewegen met de klant en het bewaken van de eigen grenzen.</t>
  </si>
  <si>
    <t>Bevorderd, naast bovengenoemde competenties, actief de onderlinge communicatie tussen jezelf en je opdrachtgever(s). En daarbij ook met de team(s) en afdeling(en) waarmee word samengewerkt.</t>
  </si>
  <si>
    <t>Reikt, naast bovengenoemde competenties, actief handvatten en middelen aan om de onderlinge communicatie tussen teams en afdelingen vorm te geven en te bevorderen.</t>
  </si>
  <si>
    <t>Verwachtingsmanagement</t>
  </si>
  <si>
    <t>Toetst verwachtingen die worden gesteld aan zijn/ haar werk; manier van werken, scope, doel, tijdslijnen, inhoud, etc.</t>
  </si>
  <si>
    <t>Inventariseert naast bovengenoemde, de achterliggende belangen. Neemt deze informatie mee bij het stellen van prioriteiten en communiceert deze pro-actief.</t>
  </si>
  <si>
    <t>Benoemt en bespreekt verwachtingen vanuit persoonlijke titel en/ of DiP belangen en neemt hierin het iniatief bij het vaststellen van samenwerking, scope, prioriteiten, doel, tijdslijnen, inhoud, etc.</t>
  </si>
  <si>
    <t>Stelt verwachtingen en stuurt er actief op aan dat belangen en verwachtingen van alle betrokkenen uitgesproken en zo ver als mogelijka afgestemt worden.</t>
  </si>
  <si>
    <t>Schriftelijke en mondelinge communicatie (presentatie, voorstel, resultaat, advies)</t>
  </si>
  <si>
    <t>Spreekt én schrijft begrijpelijk en correct Nederlands en Engels voor een zakelijke doelgroep. Is goed verstaanbaar in zowel volume als uitspraak.</t>
  </si>
  <si>
    <t>Stemt, naast bovengenoemde competenties, de spreek- en/ of schrijfstijl af op het beoogd doel of de doelgroep. Is daarin helder en to-the-point uit, zodat de boodschap goed begrepen wordt. Toetst of de boodschap op een juiste wijze is overgekomen.</t>
  </si>
  <si>
    <t>Is naast bovengenoemde competenties in staat complexe onderwerpen begrijpelijk te maken voor anderen en stelt daarin een samenwerkende houding aan de dag.</t>
  </si>
  <si>
    <t>Past naast bovengenoemde competenties situationele communicatie toe. Je geeft impliciete sturing aan de uitkomst van de mondelinge transactie (presentatie, bila, gesprek, advies, etc.)</t>
  </si>
  <si>
    <t>Past naast bovengenoemde competenties, situationeel leiderschap toe waarin impliciete sturing overgaat naar expliciete sturing. Ofwel leiderschap.</t>
  </si>
  <si>
    <t>Competentiegebied: Business competenties</t>
  </si>
  <si>
    <t>Organisatie- en managementidentificatie</t>
  </si>
  <si>
    <t>Heeft geen/ weinig kennis van de organisatiestructuur bij een klant.</t>
  </si>
  <si>
    <t>Heeft kennis van de organisatiestructuur bij een klant.</t>
  </si>
  <si>
    <t>Heeft gevoel voor verhoudingen binnen de organisatie. Onderkent belangen van stakeholders.</t>
  </si>
  <si>
    <t>Heeft gevoel voor verhoudingen binnen de organisatie. Onderkent belangen van stakeholders en overziet conquenties van aanpak en legt verbanden met andere stakeholders en/ of vraagstukken.</t>
  </si>
  <si>
    <t>Wordt als Business Analist ingezet</t>
  </si>
  <si>
    <t>Strategische conceptualisatie</t>
  </si>
  <si>
    <t>Is in staat operationele strategie en doelen te herkennen</t>
  </si>
  <si>
    <t>Is in staat operationele strategie en doelen aan elkaar te verbinden en te conceptualiseren</t>
  </si>
  <si>
    <t>Is in staat strategie en doelen van management- en operatie aan elkaar te verbinden en te conceptualiseren</t>
  </si>
  <si>
    <t>Is in staat strategie en doelen van directie-, management - en operatie aan elkaar te verbinden en te conceptualiseren</t>
  </si>
  <si>
    <t>Wordt als Strateeg ingezet</t>
  </si>
  <si>
    <t>Projectmanagement</t>
  </si>
  <si>
    <t>Heeft opdrachtgever en/ of stakeholders op de hoogte gehouden van voortgang op de eigen opdracht- of projectplanning</t>
  </si>
  <si>
    <t>Heeft opdrachtgever én stakeholders op de hoogte gehouden van voortgang op de project- of opdrachtplanning</t>
  </si>
  <si>
    <t>Heeft één of meerdere projecten gemanaged, zonder hierbij gebruik te maken van een methodische aanpak</t>
  </si>
  <si>
    <t>Heeft één of meerdere projecten gemanaged a.d.h.v. projectmanagement methodes als (Agile, Scrum, Kanban, Lean, Six Sigma, Prince2, etc.)</t>
  </si>
  <si>
    <t>Wordt als Projectmanager/ Productowner ingezet</t>
  </si>
  <si>
    <t>Verandermanagement (richting datagedreven werken)</t>
  </si>
  <si>
    <t>Heeft nog nooit een verandertraject richting datagedreven werken meegemaakt</t>
  </si>
  <si>
    <t>Heeft een actief meewerkende rol gespeeld bij één of meerdere verandertrajecten richting datagedreven werken</t>
  </si>
  <si>
    <t>Heeft één of meerdere verandertrajecten geleidt richting datagedreven werken, zonder hierbij gebruik te maken van een methodische aanpak</t>
  </si>
  <si>
    <t>Heeft één of meerdere verandertrajecten geleidt richting datagedreven werken en hierbij gebruik gemaakt van een methodische aanpak</t>
  </si>
  <si>
    <t>Wordt als Verandermanager ingezet</t>
  </si>
  <si>
    <t>Leidinggeven</t>
  </si>
  <si>
    <t>Heeft nooit (in)formeel leiding gegeven op het gebied van data</t>
  </si>
  <si>
    <t>Heeft meegewerkt aan opdrachten en/ of projecten op het gebied van data</t>
  </si>
  <si>
    <t>Herkent strategische kansen op het gebied van data en heeft hierin  actief meegewerkt als adviseur</t>
  </si>
  <si>
    <t>Toont leiderschap en heeft bij een of meerdere opdrachten als drijvende kracht achter strategische keuzes op het gebied van data geacteert</t>
  </si>
  <si>
    <t>Heeft vanuit een leidinggevende positie bij een of meerdere opdrachten als drijvende kracht achter strategische keuzes op het gebied van data geacteert</t>
  </si>
  <si>
    <t>Competentiegebied: Expert consultancy competenties</t>
  </si>
  <si>
    <t>Situationele communicatie</t>
  </si>
  <si>
    <t>Hanteert een communicatiestijl die het dichtste bij de eigen persoon past.</t>
  </si>
  <si>
    <t>Is zich bewust van de eigen communicatiestijl en het effect op gesprekspartners.</t>
  </si>
  <si>
    <t xml:space="preserve">Heeft naast bovengenoemde, kennis van de verschillende situaties en bijbehorende communicatiestijlen en gebruikt deze kennis actief omde eigen communicatie op af te stemmen. </t>
  </si>
  <si>
    <t>Gebruikt naast bovengenoemde de situationele communicatie, situationeel leiderschap om sturing aan te brengen..</t>
  </si>
  <si>
    <t>Gebruikt naast bovengenoemde , situationeel leiderschap bij het leidinggeven.</t>
  </si>
  <si>
    <t>Doelgerichte &amp; effectieve communicatie</t>
  </si>
  <si>
    <t>-</t>
  </si>
  <si>
    <t>Communiceert op gestructureerde wijze en vermijd vakjargon.</t>
  </si>
  <si>
    <t>Communiceert naast bovengenoemde op doelgerichte wijze, zodat vooraf en/ of snel voor (alle) gesprekspartners en/ of deelnemers binnen het project duidelijk is waar het over gaat en wat daarin van hen verwacht wordt.</t>
  </si>
  <si>
    <t xml:space="preserve">Gebruikt bovengenoemde competenties op afdelingsoverstijgend niveau. Weet daarin gesprekspartners in het beoogde doel mee te nemen d.m.v. pakkende voorbeelden, prikkelende stellingen en het schetsen van (implicatie) scenario's. </t>
  </si>
  <si>
    <t>Gebruikt bovengenoemde competenties op organisatie niveau.</t>
  </si>
  <si>
    <t>Besluitvaardigheid</t>
  </si>
  <si>
    <t>Zelfstandig, weloverwogen beslissingen genomen en daar verantwoording voor gedragen.</t>
  </si>
  <si>
    <t>Naast bovengenoemde, beslissingen genomen die moed en durf benodigde vanwege de moeilijke aard van de beslissing, binnen je project- of opdracht.</t>
  </si>
  <si>
    <t>Naast bovengenoemde setting, moeilijke beslissingen moeten nemen die project- of opdrachtoverstijgende impact hebben gehad.</t>
  </si>
  <si>
    <t>Naast bovengenoemde setting, moeilijke beslissingen moeten nemen die afdelingsoverstijgende impact hebben gehad.</t>
  </si>
  <si>
    <t>Naast bovengenoemde setting, moeilijke beslissingen moeten nemen die organisatiebrede impact hebben gehad.</t>
  </si>
  <si>
    <t>Overtuigen &amp; beinvloeden</t>
  </si>
  <si>
    <t>Heeft vertrouwen in eigen kunde en beoordelingsvermogen bij het uiteenzetten van bevindingen en adviezen.</t>
  </si>
  <si>
    <t>Acteert naast bovengenoemde competenties, met zelfvertrouwen bij het uiteenzetten van de (eigen) standpunten en adviezen. Luistert en zoekt aansluiting om een win-win situatie te creëeren.</t>
  </si>
  <si>
    <t>Maakt naast bovengenoemde competenties, bij het overtuigen en beinvloeden actief gebruik van prikkelende stellingen en illustraties om stellingname te bevorderen. Is in staat communicatie- en gedragsstijlen te herkennen en de eigen communicatie- en/ of gedragsstijl daarop aan te passen.</t>
  </si>
  <si>
    <t>Maakt van bovengenoemde competenties gebruik om effectief richting en leiding te geven in een bredere setting (team, afdeling, organisatie, etc.)</t>
  </si>
  <si>
    <t>Opbouwende (negatieve) feedback &amp; slecht nieuws gesprekken</t>
  </si>
  <si>
    <t>Heeft, indien gevraagd, opbouwende feedback gegeven.</t>
  </si>
  <si>
    <t>Heeft, naast bovengenoemde, ongevraagd opbouwende feedback gegeven bij een gelijke machtsverhouding (peers/ consultants).</t>
  </si>
  <si>
    <t>Heeft, naast bovengenoemde, ongevraagd opbouwende feedback gegeven in een ongelijke machtsverhouding (leidinggevende/ opdrachtgever) en deze om weten te buigen naar een toekomstbestendige situatie en/ of relatie.</t>
  </si>
  <si>
    <t>Heeft, naast bovengenoemde, slecht nieuws gesprek gevoerd vanuit de begeleidend consultant/ leidinggevende rol, daarin stellingname moeten nemen en om moeten buigen naar een toekomstbestendige situatie.</t>
  </si>
  <si>
    <t>Heeft, naast bovengenoemde, slecht nieuws gesprek gevoerd vanuit de begeleidend consultant/ leidinggevende rol, daarin stellingname moeten nemen en een negatieve beslissing moeten nemen.</t>
  </si>
  <si>
    <t>Digital Power Basic Skills</t>
  </si>
  <si>
    <t>Domein Skills</t>
  </si>
  <si>
    <t>Hardskills</t>
  </si>
  <si>
    <t>Basic Consultancy Skills</t>
  </si>
  <si>
    <t>Business Skills</t>
  </si>
  <si>
    <t>Expert Consultancy Skills</t>
  </si>
  <si>
    <t>Data governance
(+AVG +ethiek)</t>
  </si>
  <si>
    <t>Schriftelijke en mondelinge communicatie</t>
  </si>
  <si>
    <t>Verandermanagement</t>
  </si>
  <si>
    <t>Opbouwende feedback &amp; slecht nieuws gesprekken</t>
  </si>
  <si>
    <t>ID</t>
  </si>
  <si>
    <t>Naam</t>
  </si>
  <si>
    <t>Functie</t>
  </si>
  <si>
    <t>Specialisme</t>
  </si>
  <si>
    <t>Huidig</t>
  </si>
  <si>
    <t>Jijzelf (verplicht)</t>
  </si>
  <si>
    <t>Feedback gever 1 (optioneel)</t>
  </si>
  <si>
    <t>Feedback gever 2 (optioneel)</t>
  </si>
  <si>
    <t>Ambitie</t>
  </si>
  <si>
    <t>Score op huidig situatie</t>
  </si>
  <si>
    <t>Totaal Gem</t>
  </si>
  <si>
    <t>Score op ambitie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</si>
</sst>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sz val="11"/>
      <color theme="1"/>
      <name val="Calibri Light"/>
      <family val="2"/>
      <scheme val="major"/>
    </font>
    <font>
      <b/>
      <sz val="20"/>
      <color theme="1"/>
      <name val="Calibri"/>
      <family val="2"/>
      <scheme val="minor"/>
    </font>
    <font>
      <i/>
      <sz val="11"/>
      <color theme="0" tint="-0.34998626667073579"/>
      <name val="Calibri"/>
      <family val="2"/>
      <scheme val="minor"/>
    </font>
    <font>
      <b/>
      <sz val="11"/>
      <color theme="0"/>
      <name val="Calibri"/>
      <family val="2"/>
      <scheme val="minor"/>
    </font>
    <font>
      <b/>
      <sz val="18"/>
      <color theme="1"/>
      <name val="Calibri"/>
      <family val="2"/>
      <scheme val="minor"/>
    </font>
    <font>
      <b/>
      <sz val="18"/>
      <color theme="0"/>
      <name val="Calibri"/>
      <family val="2"/>
      <scheme val="minor"/>
    </font>
    <font>
      <u/>
      <sz val="11"/>
      <color theme="1"/>
      <name val="Calibri"/>
      <family val="2"/>
      <scheme val="minor"/>
    </font>
    <font>
      <b/>
      <sz val="11"/>
      <name val="Calibri"/>
      <family val="2"/>
      <scheme val="minor"/>
    </font>
    <font>
      <b/>
      <i/>
      <sz val="11"/>
      <color theme="1"/>
      <name val="Calibri"/>
      <family val="2"/>
      <scheme val="minor"/>
    </font>
    <font>
      <b/>
      <i/>
      <sz val="18"/>
      <color theme="1"/>
      <name val="Calibri"/>
      <family val="2"/>
      <scheme val="minor"/>
    </font>
    <font>
      <i/>
      <strike/>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theme="7"/>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right/>
      <top style="hair">
        <color indexed="64"/>
      </top>
      <bottom/>
      <diagonal/>
    </border>
    <border>
      <left/>
      <right style="medium">
        <color indexed="64"/>
      </right>
      <top style="thin">
        <color indexed="64"/>
      </top>
      <bottom style="medium">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hair">
        <color indexed="64"/>
      </left>
      <right/>
      <top style="thin">
        <color indexed="64"/>
      </top>
      <bottom style="hair">
        <color indexed="64"/>
      </bottom>
      <diagonal/>
    </border>
    <border>
      <left/>
      <right/>
      <top style="hair">
        <color indexed="64"/>
      </top>
      <bottom style="hair">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37">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7" xfId="0" applyBorder="1" applyAlignment="1">
      <alignment horizontal="center"/>
    </xf>
    <xf numFmtId="0" fontId="0" fillId="0" borderId="28"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34" xfId="0" applyBorder="1" applyAlignment="1">
      <alignment horizontal="center"/>
    </xf>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29" xfId="0" applyFill="1" applyBorder="1" applyAlignment="1">
      <alignment horizontal="center"/>
    </xf>
    <xf numFmtId="0" fontId="0" fillId="5" borderId="33"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30" xfId="0" applyFill="1" applyBorder="1"/>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2"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14" xfId="0" applyFill="1" applyBorder="1" applyAlignment="1">
      <alignment horizontal="center" textRotation="90" wrapText="1"/>
    </xf>
    <xf numFmtId="0" fontId="0" fillId="6" borderId="9" xfId="0" applyFill="1" applyBorder="1"/>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2" xfId="0" applyFill="1" applyBorder="1" applyAlignment="1">
      <alignment horizontal="center" textRotation="90" wrapText="1"/>
    </xf>
    <xf numFmtId="0" fontId="0" fillId="6" borderId="6" xfId="0" applyFill="1" applyBorder="1" applyAlignment="1">
      <alignment horizontal="center" textRotation="90" wrapText="1"/>
    </xf>
    <xf numFmtId="0" fontId="0" fillId="6" borderId="4" xfId="0" applyFill="1" applyBorder="1" applyAlignment="1">
      <alignment horizontal="center" textRotation="90" wrapText="1"/>
    </xf>
    <xf numFmtId="0" fontId="0" fillId="6" borderId="5" xfId="0" applyFill="1" applyBorder="1" applyAlignment="1">
      <alignment horizontal="center" wrapText="1"/>
    </xf>
    <xf numFmtId="0" fontId="0" fillId="6" borderId="1" xfId="0" applyFill="1" applyBorder="1" applyAlignment="1">
      <alignment horizontal="center" wrapText="1"/>
    </xf>
    <xf numFmtId="0" fontId="0" fillId="6" borderId="2" xfId="0" applyFill="1" applyBorder="1" applyAlignment="1">
      <alignment horizontal="center" wrapText="1"/>
    </xf>
    <xf numFmtId="0" fontId="0" fillId="6" borderId="6" xfId="0" applyFill="1" applyBorder="1" applyAlignment="1">
      <alignment horizontal="center" wrapText="1"/>
    </xf>
    <xf numFmtId="0" fontId="0" fillId="6" borderId="4" xfId="0" applyFill="1" applyBorder="1" applyAlignment="1">
      <alignment horizontal="center" wrapText="1"/>
    </xf>
    <xf numFmtId="164" fontId="0" fillId="6" borderId="31" xfId="0" applyNumberFormat="1" applyFill="1" applyBorder="1"/>
    <xf numFmtId="164" fontId="0" fillId="6" borderId="18" xfId="1" applyNumberFormat="1" applyFont="1" applyFill="1" applyBorder="1" applyAlignment="1">
      <alignment horizontal="center" wrapText="1"/>
    </xf>
    <xf numFmtId="164" fontId="0" fillId="6" borderId="19" xfId="1" applyNumberFormat="1" applyFont="1" applyFill="1" applyBorder="1" applyAlignment="1">
      <alignment horizontal="center" wrapText="1"/>
    </xf>
    <xf numFmtId="164" fontId="0" fillId="6" borderId="27" xfId="1" applyNumberFormat="1" applyFont="1" applyFill="1" applyBorder="1" applyAlignment="1">
      <alignment horizontal="center" wrapText="1"/>
    </xf>
    <xf numFmtId="164" fontId="0" fillId="6" borderId="20" xfId="1" applyNumberFormat="1" applyFont="1" applyFill="1" applyBorder="1" applyAlignment="1">
      <alignment horizontal="center" wrapText="1"/>
    </xf>
    <xf numFmtId="164" fontId="0" fillId="6" borderId="32" xfId="0" applyNumberFormat="1" applyFill="1" applyBorder="1"/>
    <xf numFmtId="164" fontId="0" fillId="6" borderId="21" xfId="1" applyNumberFormat="1" applyFont="1" applyFill="1" applyBorder="1" applyAlignment="1">
      <alignment horizontal="center" wrapText="1"/>
    </xf>
    <xf numFmtId="164" fontId="0" fillId="6" borderId="22" xfId="1" applyNumberFormat="1" applyFont="1" applyFill="1" applyBorder="1" applyAlignment="1">
      <alignment horizontal="center" wrapText="1"/>
    </xf>
    <xf numFmtId="164" fontId="0" fillId="6" borderId="26" xfId="1" applyNumberFormat="1" applyFont="1" applyFill="1" applyBorder="1" applyAlignment="1">
      <alignment horizontal="center" wrapText="1"/>
    </xf>
    <xf numFmtId="164" fontId="0" fillId="6" borderId="0" xfId="0" applyNumberFormat="1" applyFill="1"/>
    <xf numFmtId="164" fontId="0" fillId="6" borderId="0" xfId="1" applyNumberFormat="1" applyFont="1" applyFill="1" applyBorder="1" applyAlignment="1">
      <alignment horizontal="center" wrapText="1"/>
    </xf>
    <xf numFmtId="164" fontId="0" fillId="6" borderId="8" xfId="0" applyNumberFormat="1" applyFill="1" applyBorder="1"/>
    <xf numFmtId="164" fontId="0" fillId="6" borderId="23" xfId="0" applyNumberFormat="1" applyFill="1" applyBorder="1"/>
    <xf numFmtId="164" fontId="0" fillId="6" borderId="24" xfId="1" applyNumberFormat="1" applyFont="1" applyFill="1" applyBorder="1" applyAlignment="1">
      <alignment horizontal="center" wrapText="1"/>
    </xf>
    <xf numFmtId="164" fontId="0" fillId="6" borderId="25" xfId="1" applyNumberFormat="1" applyFont="1" applyFill="1" applyBorder="1" applyAlignment="1">
      <alignment horizontal="center" wrapText="1"/>
    </xf>
    <xf numFmtId="0" fontId="0" fillId="6" borderId="0" xfId="0" applyFill="1" applyAlignment="1">
      <alignment horizontal="center" wrapText="1"/>
    </xf>
    <xf numFmtId="0" fontId="9"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xf numFmtId="0" fontId="7" fillId="0" borderId="0" xfId="0" quotePrefix="1" applyFont="1" applyAlignment="1">
      <alignment vertical="center" wrapText="1"/>
    </xf>
    <xf numFmtId="0" fontId="5"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6" fillId="0" borderId="1" xfId="0" applyFont="1" applyBorder="1" applyAlignment="1">
      <alignment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0" fontId="10" fillId="11" borderId="1" xfId="0" applyFont="1" applyFill="1" applyBorder="1" applyAlignment="1">
      <alignment vertical="center" wrapText="1"/>
    </xf>
    <xf numFmtId="0" fontId="4" fillId="10" borderId="1" xfId="0" applyFont="1" applyFill="1" applyBorder="1" applyAlignment="1">
      <alignmen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wrapText="1"/>
    </xf>
    <xf numFmtId="0" fontId="14" fillId="8" borderId="1" xfId="0" applyFont="1" applyFill="1" applyBorder="1" applyAlignment="1">
      <alignment vertical="center" wrapText="1"/>
    </xf>
    <xf numFmtId="0" fontId="4" fillId="4" borderId="1" xfId="0" applyFont="1" applyFill="1" applyBorder="1" applyAlignment="1">
      <alignment vertical="center" wrapText="1"/>
    </xf>
    <xf numFmtId="0" fontId="15" fillId="2" borderId="1" xfId="0" applyFont="1" applyFill="1" applyBorder="1" applyAlignment="1">
      <alignment vertical="center" wrapText="1"/>
    </xf>
    <xf numFmtId="0" fontId="10" fillId="7" borderId="1" xfId="0" applyFont="1" applyFill="1" applyBorder="1" applyAlignment="1">
      <alignment vertical="center" wrapText="1"/>
    </xf>
    <xf numFmtId="0" fontId="8" fillId="0" borderId="0" xfId="0" applyFont="1" applyAlignment="1">
      <alignment vertical="center"/>
    </xf>
    <xf numFmtId="0" fontId="13" fillId="0" borderId="0" xfId="0" applyFont="1" applyAlignment="1">
      <alignment vertical="center" wrapText="1"/>
    </xf>
    <xf numFmtId="0" fontId="4" fillId="4"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0" fillId="0" borderId="1" xfId="0" quotePrefix="1" applyBorder="1" applyAlignment="1">
      <alignment vertical="center" wrapText="1"/>
    </xf>
    <xf numFmtId="0" fontId="16" fillId="2" borderId="1" xfId="0" applyFont="1" applyFill="1" applyBorder="1" applyAlignment="1">
      <alignment vertical="center" wrapText="1"/>
    </xf>
    <xf numFmtId="0" fontId="11" fillId="4" borderId="1" xfId="0" applyFont="1" applyFill="1" applyBorder="1" applyAlignment="1">
      <alignment vertical="center" wrapText="1"/>
    </xf>
    <xf numFmtId="0" fontId="12" fillId="7" borderId="1" xfId="0" applyFont="1" applyFill="1" applyBorder="1" applyAlignment="1">
      <alignment vertical="center" wrapText="1"/>
    </xf>
    <xf numFmtId="0" fontId="11" fillId="8" borderId="1" xfId="0" applyFont="1" applyFill="1" applyBorder="1" applyAlignment="1">
      <alignment vertical="center" wrapText="1"/>
    </xf>
    <xf numFmtId="0" fontId="11" fillId="9" borderId="1" xfId="0" applyFont="1" applyFill="1" applyBorder="1" applyAlignment="1">
      <alignment vertical="center" wrapText="1"/>
    </xf>
    <xf numFmtId="0" fontId="11" fillId="10" borderId="1" xfId="0" applyFont="1" applyFill="1" applyBorder="1" applyAlignment="1">
      <alignment vertical="center" wrapText="1"/>
    </xf>
    <xf numFmtId="0" fontId="12" fillId="11" borderId="1" xfId="0" applyFont="1" applyFill="1" applyBorder="1" applyAlignment="1">
      <alignment vertical="center" wrapText="1"/>
    </xf>
    <xf numFmtId="0" fontId="17" fillId="0" borderId="1" xfId="0" applyFont="1" applyBorder="1" applyAlignment="1">
      <alignment horizontal="center" vertical="center" wrapText="1"/>
    </xf>
    <xf numFmtId="0" fontId="16" fillId="2" borderId="2"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16" fillId="2" borderId="4"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7" fillId="0" borderId="36" xfId="0" quotePrefix="1" applyFont="1" applyBorder="1" applyAlignment="1">
      <alignment horizontal="left" vertical="top" wrapText="1"/>
    </xf>
    <xf numFmtId="0" fontId="7" fillId="0" borderId="35" xfId="0" quotePrefix="1" applyFont="1" applyBorder="1" applyAlignment="1">
      <alignment horizontal="left" vertical="top" wrapText="1"/>
    </xf>
    <xf numFmtId="0" fontId="7" fillId="0" borderId="37" xfId="0" quotePrefix="1" applyFont="1" applyBorder="1" applyAlignment="1">
      <alignment horizontal="left" vertical="top" wrapText="1"/>
    </xf>
    <xf numFmtId="0" fontId="7" fillId="0" borderId="38" xfId="0" quotePrefix="1" applyFont="1" applyBorder="1" applyAlignment="1">
      <alignment horizontal="left" vertical="top" wrapText="1"/>
    </xf>
    <xf numFmtId="0" fontId="7" fillId="0" borderId="0" xfId="0" quotePrefix="1" applyFont="1" applyAlignment="1">
      <alignment horizontal="left" vertical="top" wrapText="1"/>
    </xf>
    <xf numFmtId="0" fontId="7" fillId="0" borderId="39" xfId="0" quotePrefix="1" applyFont="1" applyBorder="1" applyAlignment="1">
      <alignment horizontal="left" vertical="top" wrapText="1"/>
    </xf>
    <xf numFmtId="0" fontId="7" fillId="0" borderId="40" xfId="0" quotePrefix="1" applyFont="1" applyBorder="1" applyAlignment="1">
      <alignment horizontal="left" vertical="top" wrapText="1"/>
    </xf>
    <xf numFmtId="0" fontId="7" fillId="0" borderId="41" xfId="0" quotePrefix="1" applyFont="1" applyBorder="1" applyAlignment="1">
      <alignment horizontal="left" vertical="top" wrapText="1"/>
    </xf>
    <xf numFmtId="0" fontId="7" fillId="0" borderId="42" xfId="0" quotePrefix="1"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43661C"/>
      <color rgb="FFC0E399"/>
      <color rgb="FF5A8A2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Huidige</a:t>
            </a:r>
            <a:r>
              <a:rPr lang="en-US" baseline="0"/>
              <a:t> skills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Huidig</c:v>
          </c:tx>
          <c:spPr>
            <a:ln w="28575" cap="rnd">
              <a:solidFill>
                <a:schemeClr val="accent6"/>
              </a:solidFill>
              <a:round/>
            </a:ln>
            <a:effectLst/>
          </c:spPr>
          <c:marker>
            <c:symbol val="none"/>
          </c:marker>
          <c:cat>
            <c:strRef>
              <c:f>('Uitwerking (NIET BEWERKEN!!)'!$B$1,'Uitwerking (NIET BEWERKEN!!)'!$H$1,'Uitwerking (NIET BEWERKEN!!)'!$N$1,'Uitwerking (NIET BEWERKEN!!)'!$T$1,'Uitwerking (NIET BEWERKEN!!)'!$Y$1,'Uitwerking (NIET BEWERKEN!!)'!$AD$1)</c:f>
              <c:strCache>
                <c:ptCount val="6"/>
                <c:pt idx="0">
                  <c:v>Digital Power Basic Skills</c:v>
                </c:pt>
                <c:pt idx="1">
                  <c:v>Domein Skills</c:v>
                </c:pt>
                <c:pt idx="2">
                  <c:v>Hardskills</c:v>
                </c:pt>
                <c:pt idx="3">
                  <c:v>Basic Consultancy Skills</c:v>
                </c:pt>
                <c:pt idx="4">
                  <c:v>Business Skills</c:v>
                </c:pt>
                <c:pt idx="5">
                  <c:v>Expert Consultancy Skills</c:v>
                </c:pt>
              </c:strCache>
            </c:strRef>
          </c:cat>
          <c:val>
            <c:numRef>
              <c:f>('Uitwerking (NIET BEWERKEN!!)'!$G$5,'Uitwerking (NIET BEWERKEN!!)'!$M$5,'Uitwerking (NIET BEWERKEN!!)'!$S$5,'Uitwerking (NIET BEWERKEN!!)'!$X$5,'Uitwerking (NIET BEWERKEN!!)'!$AC$5,'Uitwerking (NIET BEWERKEN!!)'!$AH$5)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Ambitie</c:v>
          </c:tx>
          <c:spPr>
            <a:ln w="28575" cap="rnd">
              <a:solidFill>
                <a:schemeClr val="accent5"/>
              </a:solidFill>
              <a:round/>
            </a:ln>
            <a:effectLst/>
          </c:spPr>
          <c:marker>
            <c:symbol val="none"/>
          </c:marker>
          <c:cat>
            <c:strRef>
              <c:f>('Uitwerking (NIET BEWERKEN!!)'!$B$1,'Uitwerking (NIET BEWERKEN!!)'!$H$1,'Uitwerking (NIET BEWERKEN!!)'!$N$1,'Uitwerking (NIET BEWERKEN!!)'!$T$1,'Uitwerking (NIET BEWERKEN!!)'!$Y$1,'Uitwerking (NIET BEWERKEN!!)'!$AD$1)</c:f>
              <c:strCache>
                <c:ptCount val="6"/>
                <c:pt idx="0">
                  <c:v>Digital Power Basic Skills</c:v>
                </c:pt>
                <c:pt idx="1">
                  <c:v>Domein Skills</c:v>
                </c:pt>
                <c:pt idx="2">
                  <c:v>Hardskills</c:v>
                </c:pt>
                <c:pt idx="3">
                  <c:v>Basic Consultancy Skills</c:v>
                </c:pt>
                <c:pt idx="4">
                  <c:v>Business Skills</c:v>
                </c:pt>
                <c:pt idx="5">
                  <c:v>Expert Consultancy Skills</c:v>
                </c:pt>
              </c:strCache>
            </c:strRef>
          </c:cat>
          <c:val>
            <c:numRef>
              <c:f>('Uitwerking (NIET BEWERKEN!!)'!$G$8,'Uitwerking (NIET BEWERKEN!!)'!$M$8,'Uitwerking (NIET BEWERKEN!!)'!$S$8,'Uitwerking (NIET BEWERKEN!!)'!$X$8,'Uitwerking (NIET BEWERKEN!!)'!$AC$8,'Uitwerking (NIET BEWERKEN!!)'!$AH$8)</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BEWERKEN!!)'!$B$4:$G$4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Ambitie</c:v>
          </c:tx>
          <c:spPr>
            <a:ln w="28575" cap="rnd">
              <a:solidFill>
                <a:schemeClr val="accent5"/>
              </a:solidFill>
              <a:round/>
            </a:ln>
            <a:effectLst/>
          </c:spPr>
          <c:marker>
            <c:symbol val="none"/>
          </c:marker>
          <c:cat>
            <c:strRef>
              <c:f>'Uitwerking (NIET BEWERKEN!!)'!$B$2:$G$2</c:f>
              <c:strCache>
                <c:ptCount val="6"/>
                <c:pt idx="0">
                  <c:v>Leren &amp; reflecteren</c:v>
                </c:pt>
                <c:pt idx="1">
                  <c:v>Ondersteunen &amp; samenwerken</c:v>
                </c:pt>
                <c:pt idx="2">
                  <c:v>Ondernemen &amp; resultaatgericht</c:v>
                </c:pt>
                <c:pt idx="3">
                  <c:v>Klantgericht</c:v>
                </c:pt>
                <c:pt idx="4">
                  <c:v>Kennisdeling</c:v>
                </c:pt>
                <c:pt idx="5">
                  <c:v>Coaching &amp; begeleiding</c:v>
                </c:pt>
              </c:strCache>
            </c:strRef>
          </c:cat>
          <c:val>
            <c:numRef>
              <c:f>'Uitwerking (NIET BEWERKEN!!)'!$B$7:$G$7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Domein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BEWERKEN!!)'!$H$2:$M$2</c:f>
              <c:strCache>
                <c:ptCount val="6"/>
                <c:pt idx="0">
                  <c:v>Domeinkennis</c:v>
                </c:pt>
                <c:pt idx="1">
                  <c:v>Data architectuur</c:v>
                </c:pt>
                <c:pt idx="2">
                  <c:v>Informatica</c:v>
                </c:pt>
                <c:pt idx="3">
                  <c:v>Data governance
(+AVG +ethiek)</c:v>
                </c:pt>
                <c:pt idx="4">
                  <c:v>Data kwaliteit</c:v>
                </c:pt>
                <c:pt idx="5">
                  <c:v>Beveiliging</c:v>
                </c:pt>
              </c:strCache>
            </c:strRef>
          </c:cat>
          <c:val>
            <c:numRef>
              <c:f>'Uitwerking (NIET BEWERKEN!!)'!$H$4:$M$4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121-458C-ABA3-856BD7FC94F5}"/>
            </c:ext>
          </c:extLst>
        </c:ser>
        <c:ser>
          <c:idx val="1"/>
          <c:order val="1"/>
          <c:tx>
            <c:v>Ambitie</c:v>
          </c:tx>
          <c:spPr>
            <a:ln w="28575" cap="rnd">
              <a:solidFill>
                <a:schemeClr val="accent5"/>
              </a:solidFill>
              <a:round/>
            </a:ln>
            <a:effectLst/>
          </c:spPr>
          <c:marker>
            <c:symbol val="none"/>
          </c:marker>
          <c:cat>
            <c:strRef>
              <c:f>'Uitwerking (NIET BEWERKEN!!)'!$H$2:$M$2</c:f>
              <c:strCache>
                <c:ptCount val="6"/>
                <c:pt idx="0">
                  <c:v>Domeinkennis</c:v>
                </c:pt>
                <c:pt idx="1">
                  <c:v>Data architectuur</c:v>
                </c:pt>
                <c:pt idx="2">
                  <c:v>Informatica</c:v>
                </c:pt>
                <c:pt idx="3">
                  <c:v>Data governance
(+AVG +ethiek)</c:v>
                </c:pt>
                <c:pt idx="4">
                  <c:v>Data kwaliteit</c:v>
                </c:pt>
                <c:pt idx="5">
                  <c:v>Beveiliging</c:v>
                </c:pt>
              </c:strCache>
            </c:strRef>
          </c:cat>
          <c:val>
            <c:numRef>
              <c:f>'Uitwerking (NIET BEWERKEN!!)'!$H$7:$M$7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BEWERKEN!!)'!$N$2:$S$2</c:f>
              <c:strCache>
                <c:ptCount val="6"/>
                <c:pt idx="0">
                  <c:v>Programmeren</c:v>
                </c:pt>
                <c:pt idx="1">
                  <c:v>Data verwerking</c:v>
                </c:pt>
                <c:pt idx="2">
                  <c:v>Testen en deployments</c:v>
                </c:pt>
                <c:pt idx="3">
                  <c:v>Infrastructuur en cloud oplossingen</c:v>
                </c:pt>
                <c:pt idx="4">
                  <c:v>Data modelleren</c:v>
                </c:pt>
                <c:pt idx="5">
                  <c:v>Virtualisatie en containerisatie</c:v>
                </c:pt>
              </c:strCache>
            </c:strRef>
          </c:cat>
          <c:val>
            <c:numRef>
              <c:f>'Uitwerking (NIET BEWERKEN!!)'!$N$4:$S$4</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F4D2-4679-8459-1DD705E21CE1}"/>
            </c:ext>
          </c:extLst>
        </c:ser>
        <c:ser>
          <c:idx val="1"/>
          <c:order val="1"/>
          <c:tx>
            <c:v>Ambitie</c:v>
          </c:tx>
          <c:spPr>
            <a:ln w="28575" cap="rnd">
              <a:solidFill>
                <a:schemeClr val="accent5"/>
              </a:solidFill>
              <a:round/>
            </a:ln>
            <a:effectLst/>
          </c:spPr>
          <c:marker>
            <c:symbol val="none"/>
          </c:marker>
          <c:cat>
            <c:strRef>
              <c:f>'Uitwerking (NIET BEWERKEN!!)'!$N$2:$S$2</c:f>
              <c:strCache>
                <c:ptCount val="6"/>
                <c:pt idx="0">
                  <c:v>Programmeren</c:v>
                </c:pt>
                <c:pt idx="1">
                  <c:v>Data verwerking</c:v>
                </c:pt>
                <c:pt idx="2">
                  <c:v>Testen en deployments</c:v>
                </c:pt>
                <c:pt idx="3">
                  <c:v>Infrastructuur en cloud oplossingen</c:v>
                </c:pt>
                <c:pt idx="4">
                  <c:v>Data modelleren</c:v>
                </c:pt>
                <c:pt idx="5">
                  <c:v>Virtualisatie en containerisatie</c:v>
                </c:pt>
              </c:strCache>
            </c:strRef>
          </c:cat>
          <c:val>
            <c:numRef>
              <c:f>'Uitwerking (NIET BEWERKEN!!)'!$N$7:$S$7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BEWERKEN!!)'!$T$2:$X$2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BEWERKEN!!)'!$T$4:$X$4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Ambitie</c:v>
          </c:tx>
          <c:spPr>
            <a:ln w="28575" cap="rnd">
              <a:solidFill>
                <a:schemeClr val="accent5"/>
              </a:solidFill>
              <a:round/>
            </a:ln>
            <a:effectLst/>
          </c:spPr>
          <c:marker>
            <c:symbol val="none"/>
          </c:marker>
          <c:cat>
            <c:strRef>
              <c:f>'Uitwerking (NIET BEWERKEN!!)'!$T$2:$X$2</c:f>
              <c:strCache>
                <c:ptCount val="5"/>
                <c:pt idx="0">
                  <c:v>Adviseren</c:v>
                </c:pt>
                <c:pt idx="1">
                  <c:v>Doortastend &amp; probleemoplossend</c:v>
                </c:pt>
                <c:pt idx="2">
                  <c:v>Interpersoonlijk communicatie</c:v>
                </c:pt>
                <c:pt idx="3">
                  <c:v>Verwachtingsmanagement</c:v>
                </c:pt>
                <c:pt idx="4">
                  <c:v>Schriftelijke en mondelinge communicatie</c:v>
                </c:pt>
              </c:strCache>
            </c:strRef>
          </c:cat>
          <c:val>
            <c:numRef>
              <c:f>'Uitwerking (NIET BEWERKEN!!)'!$T$7:$X$7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Spreiding huidige</a:t>
            </a:r>
            <a:r>
              <a:rPr lang="en-US" baseline="0"/>
              <a:t>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'Uitwerking (NIET BEWERKEN!!)'!$A$7</c:f>
              <c:strCache>
                <c:ptCount val="1"/>
                <c:pt idx="0">
                  <c:v>Score op ambitie</c:v>
                </c:pt>
              </c:strCache>
            </c:strRef>
          </c:tx>
          <c:spPr>
            <a:solidFill>
              <a:schemeClr val="accent6"/>
            </a:solidFill>
            <a:ln w="25400">
              <a:noFill/>
            </a:ln>
            <a:effectLst/>
          </c:spPr>
          <c:cat>
            <c:strRef>
              <c:f>'Uitwerking (NIET BEWERKEN!!)'!$B$2:$AH$2</c:f>
              <c:strCache>
                <c:ptCount val="33"/>
                <c:pt idx="0">
                  <c:v>Leren &amp; reflecteren</c:v>
                </c:pt>
                <c:pt idx="1">
                  <c:v>Ondersteunen &amp; samenwerken</c:v>
                </c:pt>
                <c:pt idx="2">
                  <c:v>Ondernemen &amp; resultaatgericht</c:v>
                </c:pt>
                <c:pt idx="3">
                  <c:v>Klantgericht</c:v>
                </c:pt>
                <c:pt idx="4">
                  <c:v>Kennisdeling</c:v>
                </c:pt>
                <c:pt idx="5">
                  <c:v>Coaching &amp; begeleiding</c:v>
                </c:pt>
                <c:pt idx="6">
                  <c:v>Domeinkennis</c:v>
                </c:pt>
                <c:pt idx="7">
                  <c:v>Data architectuur</c:v>
                </c:pt>
                <c:pt idx="8">
                  <c:v>Informatica</c:v>
                </c:pt>
                <c:pt idx="9">
                  <c:v>Data governance
(+AVG +ethiek)</c:v>
                </c:pt>
                <c:pt idx="10">
                  <c:v>Data kwaliteit</c:v>
                </c:pt>
                <c:pt idx="11">
                  <c:v>Beveiliging</c:v>
                </c:pt>
                <c:pt idx="12">
                  <c:v>Programmeren</c:v>
                </c:pt>
                <c:pt idx="13">
                  <c:v>Data verwerking</c:v>
                </c:pt>
                <c:pt idx="14">
                  <c:v>Testen en deployments</c:v>
                </c:pt>
                <c:pt idx="15">
                  <c:v>Infrastructuur en cloud oplossingen</c:v>
                </c:pt>
                <c:pt idx="16">
                  <c:v>Data modelleren</c:v>
                </c:pt>
                <c:pt idx="17">
                  <c:v>Virtualisatie en containerisatie</c:v>
                </c:pt>
                <c:pt idx="18">
                  <c:v>Adviseren</c:v>
                </c:pt>
                <c:pt idx="19">
                  <c:v>Doortastend &amp; probleemoplossend</c:v>
                </c:pt>
                <c:pt idx="20">
                  <c:v>Interpersoonlijk communicatie</c:v>
                </c:pt>
                <c:pt idx="21">
                  <c:v>Verwachtingsmanagement</c:v>
                </c:pt>
                <c:pt idx="22">
                  <c:v>Schriftelijke en mondelinge communicatie</c:v>
                </c:pt>
                <c:pt idx="23">
                  <c:v>Organisatie- en managementidentificatie</c:v>
                </c:pt>
                <c:pt idx="24">
                  <c:v>Strategische conceptualisatie</c:v>
                </c:pt>
                <c:pt idx="25">
                  <c:v>Projectmanagement</c:v>
                </c:pt>
                <c:pt idx="26">
                  <c:v>Verandermanagement</c:v>
                </c:pt>
                <c:pt idx="27">
                  <c:v>Leidinggeven</c:v>
                </c:pt>
                <c:pt idx="28">
                  <c:v>Situationele communicatie</c:v>
                </c:pt>
                <c:pt idx="29">
                  <c:v>Doelgerichte &amp; effectieve communicatie</c:v>
                </c:pt>
                <c:pt idx="30">
                  <c:v>Besluitvaardigheid</c:v>
                </c:pt>
                <c:pt idx="31">
                  <c:v>Overtuigen &amp; beinvloeden</c:v>
                </c:pt>
                <c:pt idx="32">
                  <c:v>Opbouwende feedback &amp; slecht nieuws gesprekken</c:v>
                </c:pt>
              </c:strCache>
            </c:strRef>
          </c:cat>
          <c:val>
            <c:numRef>
              <c:f>'Uitwerking (NIET BEWERKEN!!)'!$B$7:$AH$7</c:f>
              <c:numCache>
                <c:formatCode>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C510-45C6-AE4C-93012B94423C}"/>
            </c:ext>
          </c:extLst>
        </c:ser>
        <c:ser>
          <c:idx val="1"/>
          <c:order val="1"/>
          <c:tx>
            <c:strRef>
              <c:f>'Uitwerking (NIET BEWERKEN!!)'!$A$4</c:f>
              <c:strCache>
                <c:ptCount val="1"/>
                <c:pt idx="0">
                  <c:v>Score op huidig situatie</c:v>
                </c:pt>
              </c:strCache>
            </c:strRef>
          </c:tx>
          <c:spPr>
            <a:solidFill>
              <a:schemeClr val="accent5"/>
            </a:solidFill>
            <a:ln w="25400">
              <a:noFill/>
            </a:ln>
            <a:effectLst/>
          </c:spPr>
          <c:cat>
            <c:strRef>
              <c:f>'Uitwerking (NIET BEWERKEN!!)'!$B$2:$AH$2</c:f>
              <c:strCache>
                <c:ptCount val="33"/>
                <c:pt idx="0">
                  <c:v>Leren &amp; reflecteren</c:v>
                </c:pt>
                <c:pt idx="1">
                  <c:v>Ondersteunen &amp; samenwerken</c:v>
                </c:pt>
                <c:pt idx="2">
                  <c:v>Ondernemen &amp; resultaatgericht</c:v>
                </c:pt>
                <c:pt idx="3">
                  <c:v>Klantgericht</c:v>
                </c:pt>
                <c:pt idx="4">
                  <c:v>Kennisdeling</c:v>
                </c:pt>
                <c:pt idx="5">
                  <c:v>Coaching &amp; begeleiding</c:v>
                </c:pt>
                <c:pt idx="6">
                  <c:v>Domeinkennis</c:v>
                </c:pt>
                <c:pt idx="7">
                  <c:v>Data architectuur</c:v>
                </c:pt>
                <c:pt idx="8">
                  <c:v>Informatica</c:v>
                </c:pt>
                <c:pt idx="9">
                  <c:v>Data governance
(+AVG +ethiek)</c:v>
                </c:pt>
                <c:pt idx="10">
                  <c:v>Data kwaliteit</c:v>
                </c:pt>
                <c:pt idx="11">
                  <c:v>Beveiliging</c:v>
                </c:pt>
                <c:pt idx="12">
                  <c:v>Programmeren</c:v>
                </c:pt>
                <c:pt idx="13">
                  <c:v>Data verwerking</c:v>
                </c:pt>
                <c:pt idx="14">
                  <c:v>Testen en deployments</c:v>
                </c:pt>
                <c:pt idx="15">
                  <c:v>Infrastructuur en cloud oplossingen</c:v>
                </c:pt>
                <c:pt idx="16">
                  <c:v>Data modelleren</c:v>
                </c:pt>
                <c:pt idx="17">
                  <c:v>Virtualisatie en containerisatie</c:v>
                </c:pt>
                <c:pt idx="18">
                  <c:v>Adviseren</c:v>
                </c:pt>
                <c:pt idx="19">
                  <c:v>Doortastend &amp; probleemoplossend</c:v>
                </c:pt>
                <c:pt idx="20">
                  <c:v>Interpersoonlijk communicatie</c:v>
                </c:pt>
                <c:pt idx="21">
                  <c:v>Verwachtingsmanagement</c:v>
                </c:pt>
                <c:pt idx="22">
                  <c:v>Schriftelijke en mondelinge communicatie</c:v>
                </c:pt>
                <c:pt idx="23">
                  <c:v>Organisatie- en managementidentificatie</c:v>
                </c:pt>
                <c:pt idx="24">
                  <c:v>Strategische conceptualisatie</c:v>
                </c:pt>
                <c:pt idx="25">
                  <c:v>Projectmanagement</c:v>
                </c:pt>
                <c:pt idx="26">
                  <c:v>Verandermanagement</c:v>
                </c:pt>
                <c:pt idx="27">
                  <c:v>Leidinggeven</c:v>
                </c:pt>
                <c:pt idx="28">
                  <c:v>Situationele communicatie</c:v>
                </c:pt>
                <c:pt idx="29">
                  <c:v>Doelgerichte &amp; effectieve communicatie</c:v>
                </c:pt>
                <c:pt idx="30">
                  <c:v>Besluitvaardigheid</c:v>
                </c:pt>
                <c:pt idx="31">
                  <c:v>Overtuigen &amp; beinvloeden</c:v>
                </c:pt>
                <c:pt idx="32">
                  <c:v>Opbouwende feedback &amp; slecht nieuws gesprekken</c:v>
                </c:pt>
              </c:strCache>
            </c:strRef>
          </c:cat>
          <c:val>
            <c:numRef>
              <c:f>'Uitwerking (NIET BEWERKEN!!)'!$B$4:$AH$4</c:f>
              <c:numCache>
                <c:formatCode>0.0</c:formatCode>
                <c:ptCount val="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BEWERKEN!!)'!$Y$2:$AC$2</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BEWERKEN!!)'!$Y$4:$AC$4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Ambitie</c:v>
          </c:tx>
          <c:spPr>
            <a:ln w="28575" cap="rnd">
              <a:solidFill>
                <a:schemeClr val="accent5"/>
              </a:solidFill>
              <a:round/>
            </a:ln>
            <a:effectLst/>
          </c:spPr>
          <c:marker>
            <c:symbol val="none"/>
          </c:marker>
          <c:cat>
            <c:strRef>
              <c:f>'Uitwerking (NIET BEWERKEN!!)'!$Y$2:$AC$2</c:f>
              <c:strCache>
                <c:ptCount val="5"/>
                <c:pt idx="0">
                  <c:v>Organisatie- en managementidentificatie</c:v>
                </c:pt>
                <c:pt idx="1">
                  <c:v>Strategische conceptualisatie</c:v>
                </c:pt>
                <c:pt idx="2">
                  <c:v>Projectmanagement</c:v>
                </c:pt>
                <c:pt idx="3">
                  <c:v>Verandermanagement</c:v>
                </c:pt>
                <c:pt idx="4">
                  <c:v>Leidinggeven</c:v>
                </c:pt>
              </c:strCache>
            </c:strRef>
          </c:cat>
          <c:val>
            <c:numRef>
              <c:f>'Uitwerking (NIET BEWERKEN!!)'!$Y$7:$AC$7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baseline="0"/>
              <a:t>Senioriteit per subcategorie</a:t>
            </a:r>
            <a:endParaRPr lang="nl-N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v>Totaal</c:v>
          </c:tx>
          <c:spPr>
            <a:solidFill>
              <a:schemeClr val="accent6"/>
            </a:solidFill>
            <a:ln>
              <a:noFill/>
            </a:ln>
            <a:effectLst/>
          </c:spPr>
          <c:invertIfNegative val="0"/>
          <c:cat>
            <c:strRef>
              <c:f>('Uitwerking (NIET BEWERKEN!!)'!$B$1,'Uitwerking (NIET BEWERKEN!!)'!$H$1,'Uitwerking (NIET BEWERKEN!!)'!$N$1,'Uitwerking (NIET BEWERKEN!!)'!$T$1,'Uitwerking (NIET BEWERKEN!!)'!$Y$1)</c:f>
              <c:strCache>
                <c:ptCount val="5"/>
                <c:pt idx="0">
                  <c:v>Digital Power Basic Skills</c:v>
                </c:pt>
                <c:pt idx="1">
                  <c:v>Domein Skills</c:v>
                </c:pt>
                <c:pt idx="2">
                  <c:v>Hardskills</c:v>
                </c:pt>
                <c:pt idx="3">
                  <c:v>Basic Consultancy Skills</c:v>
                </c:pt>
                <c:pt idx="4">
                  <c:v>Business Skills</c:v>
                </c:pt>
              </c:strCache>
            </c:strRef>
          </c:cat>
          <c:val>
            <c:numRef>
              <c:f>('Uitwerking (NIET BEWERKEN!!)'!$G$5,'Uitwerking (NIET BEWERKEN!!)'!$M$5,'Uitwerking (NIET BEWERKEN!!)'!$S$5,'Uitwerking (NIET BEWERKEN!!)'!$X$5,'Uitwerking (NIET BEWERKEN!!)'!$AC$5,'Uitwerking (NIET BEWERKEN!!)'!$AH$5)</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B7D-483A-9A45-A65C2D8E1A6F}"/>
            </c:ext>
          </c:extLst>
        </c:ser>
        <c:dLbls>
          <c:showLegendKey val="0"/>
          <c:showVal val="0"/>
          <c:showCatName val="0"/>
          <c:showSerName val="0"/>
          <c:showPercent val="0"/>
          <c:showBubbleSize val="0"/>
        </c:dLbls>
        <c:gapWidth val="182"/>
        <c:axId val="759015720"/>
        <c:axId val="759016048"/>
      </c:barChart>
      <c:catAx>
        <c:axId val="759015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6048"/>
        <c:crosses val="autoZero"/>
        <c:auto val="1"/>
        <c:lblAlgn val="ctr"/>
        <c:lblOffset val="100"/>
        <c:noMultiLvlLbl val="0"/>
      </c:catAx>
      <c:valAx>
        <c:axId val="759016048"/>
        <c:scaling>
          <c:orientation val="minMax"/>
          <c:max val="5"/>
        </c:scaling>
        <c:delete val="0"/>
        <c:axPos val="t"/>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01572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'Uitwerking (NIET BEWERKEN!!)'!$AD$2:$AH$2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BEWERKEN!!)'!$AD$4:$AH$4</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Ambitie</c:v>
          </c:tx>
          <c:spPr>
            <a:ln w="28575" cap="rnd">
              <a:solidFill>
                <a:schemeClr val="accent5"/>
              </a:solidFill>
              <a:round/>
            </a:ln>
            <a:effectLst/>
          </c:spPr>
          <c:marker>
            <c:symbol val="none"/>
          </c:marker>
          <c:cat>
            <c:strRef>
              <c:f>'Uitwerking (NIET BEWERKEN!!)'!$AD$2:$AH$2</c:f>
              <c:strCache>
                <c:ptCount val="5"/>
                <c:pt idx="0">
                  <c:v>Situationele communicatie</c:v>
                </c:pt>
                <c:pt idx="1">
                  <c:v>Doelgerichte &amp; effectieve communicatie</c:v>
                </c:pt>
                <c:pt idx="2">
                  <c:v>Besluitvaardigheid</c:v>
                </c:pt>
                <c:pt idx="3">
                  <c:v>Overtuigen &amp; beinvloeden</c:v>
                </c:pt>
                <c:pt idx="4">
                  <c:v>Opbouwende feedback &amp; slecht nieuws gesprekken</c:v>
                </c:pt>
              </c:strCache>
            </c:strRef>
          </c:cat>
          <c:val>
            <c:numRef>
              <c:f>'Uitwerking (NIET BEWERKEN!!)'!$AD$7:$AH$7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6C20051A-C227-4FCE-84B9-13E8355C6FE0}">
      <dgm:prSet phldrT="[Tekst]" custT="1"/>
      <dgm:spPr/>
      <dgm:t>
        <a:bodyPr/>
        <a:lstStyle/>
        <a:p>
          <a:r>
            <a:rPr lang="nl-NL" sz="900"/>
            <a:t>Domeinkennis</a:t>
          </a:r>
        </a:p>
      </dgm:t>
    </dgm:pt>
    <dgm:pt modelId="{31AEE7A3-A8AC-425D-8431-C8B66249CB15}" type="parTrans" cxnId="{B6A2B7A2-FF80-4270-BE4E-2808830EFFFC}">
      <dgm:prSet/>
      <dgm:spPr/>
      <dgm:t>
        <a:bodyPr/>
        <a:lstStyle/>
        <a:p>
          <a:endParaRPr lang="nl-NL" sz="2400"/>
        </a:p>
      </dgm:t>
    </dgm:pt>
    <dgm:pt modelId="{70525940-7440-4C0F-AFCA-45BB15C67DD9}" type="sibTrans" cxnId="{B6A2B7A2-FF80-4270-BE4E-2808830EFFFC}">
      <dgm:prSet/>
      <dgm:spPr/>
      <dgm:t>
        <a:bodyPr/>
        <a:lstStyle/>
        <a:p>
          <a:endParaRPr lang="nl-NL" sz="2400"/>
        </a:p>
      </dgm:t>
    </dgm:pt>
    <dgm:pt modelId="{D216417B-8724-4A89-97D4-DE24FD728663}">
      <dgm:prSet phldrT="[Tekst]" custT="1"/>
      <dgm:spPr/>
      <dgm:t>
        <a:bodyPr/>
        <a:lstStyle/>
        <a:p>
          <a:r>
            <a:rPr lang="nl-NL" sz="900"/>
            <a:t>Data architectuur</a:t>
          </a:r>
        </a:p>
      </dgm:t>
    </dgm:pt>
    <dgm:pt modelId="{38AE1861-BF10-48F6-9902-51054B81E7B4}" type="parTrans" cxnId="{5B9BC363-A286-42FB-A533-6542AF21BB0B}">
      <dgm:prSet/>
      <dgm:spPr/>
      <dgm:t>
        <a:bodyPr/>
        <a:lstStyle/>
        <a:p>
          <a:endParaRPr lang="nl-NL" sz="2400"/>
        </a:p>
      </dgm:t>
    </dgm:pt>
    <dgm:pt modelId="{A41718D6-2FB8-4C3B-9ED4-B1EC2AF89F87}" type="sibTrans" cxnId="{5B9BC363-A286-42FB-A533-6542AF21BB0B}">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D38A169C-73FA-404F-BBC1-E58D54FDBE12}">
      <dgm:prSet phldrT="[Tekst]" custT="1"/>
      <dgm:spPr/>
      <dgm:t>
        <a:bodyPr/>
        <a:lstStyle/>
        <a:p>
          <a:r>
            <a:rPr lang="nl-NL" sz="900"/>
            <a:t>Programmeren</a:t>
          </a:r>
        </a:p>
      </dgm:t>
    </dgm:pt>
    <dgm:pt modelId="{972BF931-FB6A-47EF-8701-10AC9CDA14F0}" type="parTrans" cxnId="{3FCEE895-271C-4136-B426-FE7F1582CEF1}">
      <dgm:prSet/>
      <dgm:spPr/>
      <dgm:t>
        <a:bodyPr/>
        <a:lstStyle/>
        <a:p>
          <a:endParaRPr lang="nl-NL" sz="2400"/>
        </a:p>
      </dgm:t>
    </dgm:pt>
    <dgm:pt modelId="{A99A1C84-B8AD-4CE4-944A-AF6FBA84AD6E}" type="sibTrans" cxnId="{3FCEE895-271C-4136-B426-FE7F1582CEF1}">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2E74F255-0627-4F2A-AACE-2E62E4992A4E}">
      <dgm:prSet phldrT="[Tekst]" custT="1"/>
      <dgm:spPr/>
      <dgm:t>
        <a:bodyPr/>
        <a:lstStyle/>
        <a:p>
          <a:r>
            <a:rPr lang="nl-NL" sz="900"/>
            <a:t>Informatica</a:t>
          </a:r>
        </a:p>
      </dgm:t>
    </dgm:pt>
    <dgm:pt modelId="{31D5741A-A5D5-4B15-91E0-6030CB113867}" type="parTrans" cxnId="{A2D37EED-A2E2-472A-A21B-AD9E69D5F26F}">
      <dgm:prSet/>
      <dgm:spPr/>
      <dgm:t>
        <a:bodyPr/>
        <a:lstStyle/>
        <a:p>
          <a:endParaRPr lang="nl-NL"/>
        </a:p>
      </dgm:t>
    </dgm:pt>
    <dgm:pt modelId="{E4DE0FF7-42E2-48A8-9B88-A833B7E7CECE}" type="sibTrans" cxnId="{A2D37EED-A2E2-472A-A21B-AD9E69D5F26F}">
      <dgm:prSet/>
      <dgm:spPr/>
      <dgm:t>
        <a:bodyPr/>
        <a:lstStyle/>
        <a:p>
          <a:endParaRPr lang="nl-NL"/>
        </a:p>
      </dgm:t>
    </dgm:pt>
    <dgm:pt modelId="{A4C25D60-29B6-49CA-9FAD-CC24BBF008AC}">
      <dgm:prSet phldrT="[Tekst]" custT="1"/>
      <dgm:spPr/>
      <dgm:t>
        <a:bodyPr/>
        <a:lstStyle/>
        <a:p>
          <a:r>
            <a:rPr lang="nl-NL" sz="900"/>
            <a:t>Data governance</a:t>
          </a:r>
        </a:p>
      </dgm:t>
    </dgm:pt>
    <dgm:pt modelId="{161371CD-0CF7-497C-95C8-3A92E29C1107}" type="parTrans" cxnId="{7CDDBCFF-7243-47E8-8F42-89797FF279B0}">
      <dgm:prSet/>
      <dgm:spPr/>
      <dgm:t>
        <a:bodyPr/>
        <a:lstStyle/>
        <a:p>
          <a:endParaRPr lang="nl-NL"/>
        </a:p>
      </dgm:t>
    </dgm:pt>
    <dgm:pt modelId="{5E44C30B-4110-4915-902C-9BDAC2D97890}" type="sibTrans" cxnId="{7CDDBCFF-7243-47E8-8F42-89797FF279B0}">
      <dgm:prSet/>
      <dgm:spPr/>
      <dgm:t>
        <a:bodyPr/>
        <a:lstStyle/>
        <a:p>
          <a:endParaRPr lang="nl-NL"/>
        </a:p>
      </dgm:t>
    </dgm:pt>
    <dgm:pt modelId="{BF604F3B-6E2C-437A-A56D-07E38EEAF407}">
      <dgm:prSet phldrT="[Tekst]" custT="1"/>
      <dgm:spPr/>
      <dgm:t>
        <a:bodyPr/>
        <a:lstStyle/>
        <a:p>
          <a:r>
            <a:rPr lang="nl-NL" sz="900"/>
            <a:t>Data kwaliteit</a:t>
          </a:r>
        </a:p>
      </dgm:t>
    </dgm:pt>
    <dgm:pt modelId="{4AC39846-CE22-469F-9E32-64D4D274A718}" type="parTrans" cxnId="{CFFD6ABB-CD5D-487F-BB53-23A43853FE87}">
      <dgm:prSet/>
      <dgm:spPr/>
      <dgm:t>
        <a:bodyPr/>
        <a:lstStyle/>
        <a:p>
          <a:endParaRPr lang="nl-NL"/>
        </a:p>
      </dgm:t>
    </dgm:pt>
    <dgm:pt modelId="{C3E1A71A-1D81-462E-9AFB-0A351091E5B3}" type="sibTrans" cxnId="{CFFD6ABB-CD5D-487F-BB53-23A43853FE87}">
      <dgm:prSet/>
      <dgm:spPr/>
      <dgm:t>
        <a:bodyPr/>
        <a:lstStyle/>
        <a:p>
          <a:endParaRPr lang="nl-NL"/>
        </a:p>
      </dgm:t>
    </dgm:pt>
    <dgm:pt modelId="{1414449C-F996-4D1E-9556-A6DB79195914}">
      <dgm:prSet phldrT="[Tekst]" custT="1"/>
      <dgm:spPr/>
      <dgm:t>
        <a:bodyPr/>
        <a:lstStyle/>
        <a:p>
          <a:r>
            <a:rPr lang="nl-NL" sz="900"/>
            <a:t>Beveiliging</a:t>
          </a:r>
        </a:p>
      </dgm:t>
    </dgm:pt>
    <dgm:pt modelId="{44B32809-6D40-4693-9A68-4CC44E1D5E33}" type="parTrans" cxnId="{CC9355ED-0211-478E-832D-5804129CC800}">
      <dgm:prSet/>
      <dgm:spPr/>
      <dgm:t>
        <a:bodyPr/>
        <a:lstStyle/>
        <a:p>
          <a:endParaRPr lang="nl-NL"/>
        </a:p>
      </dgm:t>
    </dgm:pt>
    <dgm:pt modelId="{E84E934D-7499-4E4A-BC6D-A601F6E3EEB7}" type="sibTrans" cxnId="{CC9355ED-0211-478E-832D-5804129CC800}">
      <dgm:prSet/>
      <dgm:spPr/>
      <dgm:t>
        <a:bodyPr/>
        <a:lstStyle/>
        <a:p>
          <a:endParaRPr lang="nl-NL"/>
        </a:p>
      </dgm:t>
    </dgm:pt>
    <dgm:pt modelId="{4B203CF3-58F6-467F-A58F-101BF89AA34A}">
      <dgm:prSet phldrT="[Tekst]" custT="1"/>
      <dgm:spPr/>
      <dgm:t>
        <a:bodyPr/>
        <a:lstStyle/>
        <a:p>
          <a:r>
            <a:rPr lang="nl-NL" sz="900"/>
            <a:t>Data verwerking</a:t>
          </a:r>
        </a:p>
      </dgm:t>
    </dgm:pt>
    <dgm:pt modelId="{97F0BBAB-9E05-4A76-8AFE-BD05077943EB}" type="parTrans" cxnId="{E115A63A-7F97-4315-82E6-A3234547C509}">
      <dgm:prSet/>
      <dgm:spPr/>
      <dgm:t>
        <a:bodyPr/>
        <a:lstStyle/>
        <a:p>
          <a:endParaRPr lang="nl-NL"/>
        </a:p>
      </dgm:t>
    </dgm:pt>
    <dgm:pt modelId="{1AE1ECCC-BFD7-498D-B1A0-43CBD5F99616}" type="sibTrans" cxnId="{E115A63A-7F97-4315-82E6-A3234547C509}">
      <dgm:prSet/>
      <dgm:spPr/>
      <dgm:t>
        <a:bodyPr/>
        <a:lstStyle/>
        <a:p>
          <a:endParaRPr lang="nl-NL"/>
        </a:p>
      </dgm:t>
    </dgm:pt>
    <dgm:pt modelId="{C5E5184A-8FDC-42CD-93E9-3B50F3DA9325}">
      <dgm:prSet phldrT="[Tekst]" custT="1"/>
      <dgm:spPr/>
      <dgm:t>
        <a:bodyPr/>
        <a:lstStyle/>
        <a:p>
          <a:r>
            <a:rPr lang="nl-NL" sz="900"/>
            <a:t>Testen &amp; deployments</a:t>
          </a:r>
        </a:p>
      </dgm:t>
    </dgm:pt>
    <dgm:pt modelId="{C4D7E12A-AA6A-4A89-8FCB-7FC7EEAB30D6}" type="parTrans" cxnId="{2F29C7F3-5744-4F4C-AB5C-4DE9DD791904}">
      <dgm:prSet/>
      <dgm:spPr/>
      <dgm:t>
        <a:bodyPr/>
        <a:lstStyle/>
        <a:p>
          <a:endParaRPr lang="nl-NL"/>
        </a:p>
      </dgm:t>
    </dgm:pt>
    <dgm:pt modelId="{7D56DE70-DF82-4199-B04B-C9BA49CFB7F2}" type="sibTrans" cxnId="{2F29C7F3-5744-4F4C-AB5C-4DE9DD791904}">
      <dgm:prSet/>
      <dgm:spPr/>
      <dgm:t>
        <a:bodyPr/>
        <a:lstStyle/>
        <a:p>
          <a:endParaRPr lang="nl-NL"/>
        </a:p>
      </dgm:t>
    </dgm:pt>
    <dgm:pt modelId="{22D01AA1-B8AD-41D0-99F6-BD0BE9C6E470}">
      <dgm:prSet phldrT="[Tekst]" custT="1"/>
      <dgm:spPr/>
      <dgm:t>
        <a:bodyPr/>
        <a:lstStyle/>
        <a:p>
          <a:r>
            <a:rPr lang="nl-NL" sz="900"/>
            <a:t>Infrastructuur &amp; cloud oplossingen</a:t>
          </a:r>
        </a:p>
      </dgm:t>
    </dgm:pt>
    <dgm:pt modelId="{11D8F7F7-F6EE-4FB9-9C58-9EF9C5AD842F}" type="parTrans" cxnId="{CED83E50-2E41-479A-AE7B-3FCF3757B83F}">
      <dgm:prSet/>
      <dgm:spPr/>
      <dgm:t>
        <a:bodyPr/>
        <a:lstStyle/>
        <a:p>
          <a:endParaRPr lang="nl-NL"/>
        </a:p>
      </dgm:t>
    </dgm:pt>
    <dgm:pt modelId="{18311AC0-D1B0-4C2F-8669-2D31C632A937}" type="sibTrans" cxnId="{CED83E50-2E41-479A-AE7B-3FCF3757B83F}">
      <dgm:prSet/>
      <dgm:spPr/>
      <dgm:t>
        <a:bodyPr/>
        <a:lstStyle/>
        <a:p>
          <a:endParaRPr lang="nl-NL"/>
        </a:p>
      </dgm:t>
    </dgm:pt>
    <dgm:pt modelId="{20C2B1D1-A7F5-4033-85BB-CA32FEA2D6C4}">
      <dgm:prSet phldrT="[Tekst]" custT="1"/>
      <dgm:spPr/>
      <dgm:t>
        <a:bodyPr/>
        <a:lstStyle/>
        <a:p>
          <a:r>
            <a:rPr lang="nl-NL" sz="900"/>
            <a:t>Data modelleren</a:t>
          </a:r>
        </a:p>
      </dgm:t>
    </dgm:pt>
    <dgm:pt modelId="{E6DF7BE8-13F2-40AF-A6D1-374B1F27AB4E}" type="parTrans" cxnId="{DABC17D5-F888-4D05-A49F-76532A23AAFC}">
      <dgm:prSet/>
      <dgm:spPr/>
      <dgm:t>
        <a:bodyPr/>
        <a:lstStyle/>
        <a:p>
          <a:endParaRPr lang="nl-NL"/>
        </a:p>
      </dgm:t>
    </dgm:pt>
    <dgm:pt modelId="{B736EF13-6D30-490A-AD47-8DC9C90F0F24}" type="sibTrans" cxnId="{DABC17D5-F888-4D05-A49F-76532A23AAFC}">
      <dgm:prSet/>
      <dgm:spPr/>
      <dgm:t>
        <a:bodyPr/>
        <a:lstStyle/>
        <a:p>
          <a:endParaRPr lang="nl-NL"/>
        </a:p>
      </dgm:t>
    </dgm:pt>
    <dgm:pt modelId="{EAE6303D-5F81-469C-82E1-D83FD77C811B}">
      <dgm:prSet phldrT="[Tekst]" custT="1"/>
      <dgm:spPr/>
      <dgm:t>
        <a:bodyPr/>
        <a:lstStyle/>
        <a:p>
          <a:r>
            <a:rPr lang="nl-NL" sz="900"/>
            <a:t>Virtualisatie &amp; containerisatie</a:t>
          </a:r>
        </a:p>
      </dgm:t>
    </dgm:pt>
    <dgm:pt modelId="{7F3B5ACB-87C6-42D2-898B-4894FC5D6A4E}" type="parTrans" cxnId="{4EE6C292-C003-4247-A88D-3FC9052966CD}">
      <dgm:prSet/>
      <dgm:spPr/>
      <dgm:t>
        <a:bodyPr/>
        <a:lstStyle/>
        <a:p>
          <a:endParaRPr lang="nl-NL"/>
        </a:p>
      </dgm:t>
    </dgm:pt>
    <dgm:pt modelId="{93AD13DD-AB4C-4AE7-B169-7A34AE49088E}" type="sibTrans" cxnId="{4EE6C292-C003-4247-A88D-3FC9052966CD}">
      <dgm:prSet/>
      <dgm:spPr/>
      <dgm:t>
        <a:bodyPr/>
        <a:lstStyle/>
        <a:p>
          <a:endParaRPr lang="nl-NL"/>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dgm:spPr/>
      <dgm:t>
        <a:bodyPr/>
        <a:lstStyle/>
        <a:p>
          <a:r>
            <a:rPr lang="nl-NL"/>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dgm:spPr/>
      <dgm:t>
        <a:bodyPr/>
        <a:lstStyle/>
        <a:p>
          <a:r>
            <a:rPr lang="nl-NL"/>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dgm:spPr/>
      <dgm:t>
        <a:bodyPr/>
        <a:lstStyle/>
        <a:p>
          <a:r>
            <a:rPr lang="nl-NL"/>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dgm:spPr/>
      <dgm:t>
        <a:bodyPr/>
        <a:lstStyle/>
        <a:p>
          <a:r>
            <a:rPr lang="nl-NL"/>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dgm:spPr/>
      <dgm:t>
        <a:bodyPr/>
        <a:lstStyle/>
        <a:p>
          <a:r>
            <a:rPr lang="nl-NL"/>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33">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33">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33">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33">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33">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33">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9B677AB5-8643-43AB-A8BB-D8E12AD5A274}" type="pres">
      <dgm:prSet presAssocID="{6C20051A-C227-4FCE-84B9-13E8355C6FE0}" presName="childNode" presStyleLbl="node1" presStyleIdx="6" presStyleCnt="33">
        <dgm:presLayoutVars>
          <dgm:bulletEnabled val="1"/>
        </dgm:presLayoutVars>
      </dgm:prSet>
      <dgm:spPr/>
    </dgm:pt>
    <dgm:pt modelId="{E6B89461-4A3D-42F9-9724-85D072F06CBB}" type="pres">
      <dgm:prSet presAssocID="{6C20051A-C227-4FCE-84B9-13E8355C6FE0}" presName="aSpace2" presStyleCnt="0"/>
      <dgm:spPr/>
    </dgm:pt>
    <dgm:pt modelId="{ED72BB4B-3283-4FB6-8CED-112A7127815D}" type="pres">
      <dgm:prSet presAssocID="{D216417B-8724-4A89-97D4-DE24FD728663}" presName="childNode" presStyleLbl="node1" presStyleIdx="7" presStyleCnt="33">
        <dgm:presLayoutVars>
          <dgm:bulletEnabled val="1"/>
        </dgm:presLayoutVars>
      </dgm:prSet>
      <dgm:spPr/>
    </dgm:pt>
    <dgm:pt modelId="{D367107A-E0F3-4662-86D0-A24CFBAFCFBD}" type="pres">
      <dgm:prSet presAssocID="{D216417B-8724-4A89-97D4-DE24FD728663}" presName="aSpace2" presStyleCnt="0"/>
      <dgm:spPr/>
    </dgm:pt>
    <dgm:pt modelId="{4B8E8D9D-B499-4F0F-9996-7D64449D10F2}" type="pres">
      <dgm:prSet presAssocID="{2E74F255-0627-4F2A-AACE-2E62E4992A4E}" presName="childNode" presStyleLbl="node1" presStyleIdx="8" presStyleCnt="33">
        <dgm:presLayoutVars>
          <dgm:bulletEnabled val="1"/>
        </dgm:presLayoutVars>
      </dgm:prSet>
      <dgm:spPr/>
    </dgm:pt>
    <dgm:pt modelId="{9F63D948-D2A5-44DB-979C-6708655617C8}" type="pres">
      <dgm:prSet presAssocID="{2E74F255-0627-4F2A-AACE-2E62E4992A4E}" presName="aSpace2" presStyleCnt="0"/>
      <dgm:spPr/>
    </dgm:pt>
    <dgm:pt modelId="{CA09ED49-F2C0-4756-9943-A171D0CE475A}" type="pres">
      <dgm:prSet presAssocID="{A4C25D60-29B6-49CA-9FAD-CC24BBF008AC}" presName="childNode" presStyleLbl="node1" presStyleIdx="9" presStyleCnt="33">
        <dgm:presLayoutVars>
          <dgm:bulletEnabled val="1"/>
        </dgm:presLayoutVars>
      </dgm:prSet>
      <dgm:spPr/>
    </dgm:pt>
    <dgm:pt modelId="{934E5FE0-5B1C-4F8D-8A8B-840DEBF21503}" type="pres">
      <dgm:prSet presAssocID="{A4C25D60-29B6-49CA-9FAD-CC24BBF008AC}" presName="aSpace2" presStyleCnt="0"/>
      <dgm:spPr/>
    </dgm:pt>
    <dgm:pt modelId="{73FBA52B-5B41-4B4F-A115-87C7645E43A1}" type="pres">
      <dgm:prSet presAssocID="{BF604F3B-6E2C-437A-A56D-07E38EEAF407}" presName="childNode" presStyleLbl="node1" presStyleIdx="10" presStyleCnt="33">
        <dgm:presLayoutVars>
          <dgm:bulletEnabled val="1"/>
        </dgm:presLayoutVars>
      </dgm:prSet>
      <dgm:spPr/>
    </dgm:pt>
    <dgm:pt modelId="{0F769504-2B9A-4AD5-A31A-08D00B6EDCB8}" type="pres">
      <dgm:prSet presAssocID="{BF604F3B-6E2C-437A-A56D-07E38EEAF407}" presName="aSpace2" presStyleCnt="0"/>
      <dgm:spPr/>
    </dgm:pt>
    <dgm:pt modelId="{4DF9E0A4-016F-41AB-9EF2-9306013932AD}" type="pres">
      <dgm:prSet presAssocID="{1414449C-F996-4D1E-9556-A6DB79195914}" presName="childNode" presStyleLbl="node1" presStyleIdx="11" presStyleCnt="33">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2" presStyleCnt="33">
        <dgm:presLayoutVars>
          <dgm:bulletEnabled val="1"/>
        </dgm:presLayoutVars>
      </dgm:prSet>
      <dgm:spPr/>
    </dgm:pt>
    <dgm:pt modelId="{DF1C0E16-9921-47F0-A6F2-1E91F143E5F6}" type="pres">
      <dgm:prSet presAssocID="{D38A169C-73FA-404F-BBC1-E58D54FDBE12}" presName="aSpace2" presStyleCnt="0"/>
      <dgm:spPr/>
    </dgm:pt>
    <dgm:pt modelId="{16E67993-C4C1-4F21-A4ED-0341212DEC4B}" type="pres">
      <dgm:prSet presAssocID="{4B203CF3-58F6-467F-A58F-101BF89AA34A}" presName="childNode" presStyleLbl="node1" presStyleIdx="13" presStyleCnt="33">
        <dgm:presLayoutVars>
          <dgm:bulletEnabled val="1"/>
        </dgm:presLayoutVars>
      </dgm:prSet>
      <dgm:spPr/>
    </dgm:pt>
    <dgm:pt modelId="{E5227385-2FA4-403A-9FF9-0DB4ACF7F48A}" type="pres">
      <dgm:prSet presAssocID="{4B203CF3-58F6-467F-A58F-101BF89AA34A}" presName="aSpace2" presStyleCnt="0"/>
      <dgm:spPr/>
    </dgm:pt>
    <dgm:pt modelId="{586171D3-A0EF-4AB5-884C-1205F269AA43}" type="pres">
      <dgm:prSet presAssocID="{C5E5184A-8FDC-42CD-93E9-3B50F3DA9325}" presName="childNode" presStyleLbl="node1" presStyleIdx="14" presStyleCnt="33">
        <dgm:presLayoutVars>
          <dgm:bulletEnabled val="1"/>
        </dgm:presLayoutVars>
      </dgm:prSet>
      <dgm:spPr/>
    </dgm:pt>
    <dgm:pt modelId="{1DAB7310-B09B-4420-8F3D-3BEE07FE1684}" type="pres">
      <dgm:prSet presAssocID="{C5E5184A-8FDC-42CD-93E9-3B50F3DA9325}" presName="aSpace2" presStyleCnt="0"/>
      <dgm:spPr/>
    </dgm:pt>
    <dgm:pt modelId="{2A672D25-7F6E-4A5B-82BD-FDC5C26B3088}" type="pres">
      <dgm:prSet presAssocID="{22D01AA1-B8AD-41D0-99F6-BD0BE9C6E470}" presName="childNode" presStyleLbl="node1" presStyleIdx="15" presStyleCnt="33">
        <dgm:presLayoutVars>
          <dgm:bulletEnabled val="1"/>
        </dgm:presLayoutVars>
      </dgm:prSet>
      <dgm:spPr/>
    </dgm:pt>
    <dgm:pt modelId="{C2C0A883-CCED-4187-8604-B35FCC01D6EB}" type="pres">
      <dgm:prSet presAssocID="{22D01AA1-B8AD-41D0-99F6-BD0BE9C6E470}" presName="aSpace2" presStyleCnt="0"/>
      <dgm:spPr/>
    </dgm:pt>
    <dgm:pt modelId="{0734C4A1-53E2-4AB6-BA72-1AEDF66C84FE}" type="pres">
      <dgm:prSet presAssocID="{20C2B1D1-A7F5-4033-85BB-CA32FEA2D6C4}" presName="childNode" presStyleLbl="node1" presStyleIdx="16" presStyleCnt="33">
        <dgm:presLayoutVars>
          <dgm:bulletEnabled val="1"/>
        </dgm:presLayoutVars>
      </dgm:prSet>
      <dgm:spPr/>
    </dgm:pt>
    <dgm:pt modelId="{12F6B500-7A59-4A17-A063-39F246E34DD4}" type="pres">
      <dgm:prSet presAssocID="{20C2B1D1-A7F5-4033-85BB-CA32FEA2D6C4}" presName="aSpace2" presStyleCnt="0"/>
      <dgm:spPr/>
    </dgm:pt>
    <dgm:pt modelId="{DFD48DD9-75CF-4D0E-834B-85C5266538F1}" type="pres">
      <dgm:prSet presAssocID="{EAE6303D-5F81-469C-82E1-D83FD77C811B}" presName="childNode" presStyleLbl="node1" presStyleIdx="17" presStyleCnt="33">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18" presStyleCnt="33">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19" presStyleCnt="33">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20" presStyleCnt="33">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21" presStyleCnt="33">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22" presStyleCnt="33">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23" presStyleCnt="33">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24" presStyleCnt="33">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25" presStyleCnt="33">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26" presStyleCnt="33">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27" presStyleCnt="33">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28" presStyleCnt="33">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29" presStyleCnt="33">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30" presStyleCnt="33">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31" presStyleCnt="33">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32" presStyleCnt="33">
        <dgm:presLayoutVars>
          <dgm:bulletEnabled val="1"/>
        </dgm:presLayoutVars>
      </dgm:prSet>
      <dgm:spPr/>
    </dgm:pt>
  </dgm:ptLst>
  <dgm:cxnLst>
    <dgm:cxn modelId="{9AA6C102-B33A-45C3-AE7D-4BCB09515111}" srcId="{7ED69BD0-5C46-430C-BD11-1675B78445AF}" destId="{2E51DF25-B7C0-43DA-ADCE-0B6DAA3E9F7B}" srcOrd="3" destOrd="0" parTransId="{060E53C2-706B-40E2-B6B1-DC5694082B1A}" sibTransId="{54C986C0-7254-4D77-8EF8-B2E27153E9C6}"/>
    <dgm:cxn modelId="{7B5B200B-14BD-450C-9195-59C4F1E0F2E2}" type="presOf" srcId="{20C2B1D1-A7F5-4033-85BB-CA32FEA2D6C4}" destId="{0734C4A1-53E2-4AB6-BA72-1AEDF66C84FE}" srcOrd="0" destOrd="0" presId="urn:microsoft.com/office/officeart/2005/8/layout/lProcess2"/>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67520210-6B43-4104-88A4-60F11F682ABA}" type="presOf" srcId="{1414449C-F996-4D1E-9556-A6DB79195914}" destId="{4DF9E0A4-016F-41AB-9EF2-9306013932AD}" srcOrd="0" destOrd="0" presId="urn:microsoft.com/office/officeart/2005/8/layout/lProcess2"/>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4851D128-AC76-4C54-AE0C-7600E007B971}" type="presOf" srcId="{EAE6303D-5F81-469C-82E1-D83FD77C811B}" destId="{DFD48DD9-75CF-4D0E-834B-85C5266538F1}" srcOrd="0" destOrd="0" presId="urn:microsoft.com/office/officeart/2005/8/layout/lProcess2"/>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A91C153A-AAE1-478B-8F28-DD6597A354F0}" srcId="{39F506DE-50F1-49BE-9ED2-88EFDAE6F0E1}" destId="{451149D5-FEDA-4765-B600-5039ABB58E53}" srcOrd="3" destOrd="0" parTransId="{4E2281CA-A78E-45B2-B336-A5EC6E0D7E46}" sibTransId="{9902A7BB-1925-42EB-BB58-87F6AD6E80B5}"/>
    <dgm:cxn modelId="{E115A63A-7F97-4315-82E6-A3234547C509}" srcId="{CB339438-8F81-4836-B0D6-39E445779B2D}" destId="{4B203CF3-58F6-467F-A58F-101BF89AA34A}" srcOrd="1" destOrd="0" parTransId="{97F0BBAB-9E05-4A76-8AFE-BD05077943EB}" sibTransId="{1AE1ECCC-BFD7-498D-B1A0-43CBD5F99616}"/>
    <dgm:cxn modelId="{12BC693D-0B61-4DD5-9951-D069F37E2097}" type="presOf" srcId="{451149D5-FEDA-4765-B600-5039ABB58E53}" destId="{9821E4E8-E247-4525-A9DD-43D8B524714D}" srcOrd="0" destOrd="0" presId="urn:microsoft.com/office/officeart/2005/8/layout/lProcess2"/>
    <dgm:cxn modelId="{EE06583E-1D7B-4600-9D41-C238521BACA8}" type="presOf" srcId="{6C20051A-C227-4FCE-84B9-13E8355C6FE0}" destId="{9B677AB5-8643-43AB-A8BB-D8E12AD5A274}"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797C7740-3B4D-4E3F-93C7-6B97DEBA0EF6}" type="presOf" srcId="{00C5AD74-BB5E-4C37-87ED-5C005FAF2322}" destId="{2EA20561-6CFD-4954-A64B-AB91B0668E80}"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ED7DF260-3958-4453-94DC-9FE9FCA20AB2}" type="presOf" srcId="{A7DDA4F1-B40B-46B4-B746-EA89906A2FB4}" destId="{66D2E35F-6AA8-4674-9525-32D6D3B769C9}" srcOrd="0" destOrd="0" presId="urn:microsoft.com/office/officeart/2005/8/layout/lProcess2"/>
    <dgm:cxn modelId="{5B9BC363-A286-42FB-A533-6542AF21BB0B}" srcId="{71C93146-8DBD-47BA-9B89-8D2FF25B6FDE}" destId="{D216417B-8724-4A89-97D4-DE24FD728663}" srcOrd="1" destOrd="0" parTransId="{38AE1861-BF10-48F6-9902-51054B81E7B4}" sibTransId="{A41718D6-2FB8-4C3B-9ED4-B1EC2AF89F87}"/>
    <dgm:cxn modelId="{3C0AD464-02F9-447E-A6D3-18CA9A9E3E97}" type="presOf" srcId="{E4B92491-EA9A-4D22-9CF8-82866D9BC210}" destId="{D9D4FC23-0730-4C6A-92D3-55905B566BDA}" srcOrd="0" destOrd="0" presId="urn:microsoft.com/office/officeart/2005/8/layout/lProcess2"/>
    <dgm:cxn modelId="{CEF7FF65-9CC5-494E-B0B0-B99CE7EDE965}" type="presOf" srcId="{C5E5184A-8FDC-42CD-93E9-3B50F3DA9325}" destId="{586171D3-A0EF-4AB5-884C-1205F269AA43}" srcOrd="0" destOrd="0" presId="urn:microsoft.com/office/officeart/2005/8/layout/lProcess2"/>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CED83E50-2E41-479A-AE7B-3FCF3757B83F}" srcId="{CB339438-8F81-4836-B0D6-39E445779B2D}" destId="{22D01AA1-B8AD-41D0-99F6-BD0BE9C6E470}" srcOrd="3" destOrd="0" parTransId="{11D8F7F7-F6EE-4FB9-9C58-9EF9C5AD842F}" sibTransId="{18311AC0-D1B0-4C2F-8669-2D31C632A937}"/>
    <dgm:cxn modelId="{74623D71-615A-478D-B0F9-282913A11DDC}" type="presOf" srcId="{4B203CF3-58F6-467F-A58F-101BF89AA34A}" destId="{16E67993-C4C1-4F21-A4ED-0341212DEC4B}" srcOrd="0" destOrd="0" presId="urn:microsoft.com/office/officeart/2005/8/layout/lProcess2"/>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3C39BA76-36BD-45C8-9B8C-C56D6FC2B6E2}" type="presOf" srcId="{23669D9C-1B83-4042-BBDD-E437161DD5D6}" destId="{DED3F222-26E6-4809-AA91-F07F244295C3}" srcOrd="0" destOrd="0" presId="urn:microsoft.com/office/officeart/2005/8/layout/lProcess2"/>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CC0B9192-6ADB-42ED-A62D-0C2A56F3FA4F}" type="presOf" srcId="{71C93146-8DBD-47BA-9B89-8D2FF25B6FDE}" destId="{54671E33-5AC7-4CD0-91C9-A60A47022F3E}" srcOrd="0" destOrd="0" presId="urn:microsoft.com/office/officeart/2005/8/layout/lProcess2"/>
    <dgm:cxn modelId="{4EE6C292-C003-4247-A88D-3FC9052966CD}" srcId="{CB339438-8F81-4836-B0D6-39E445779B2D}" destId="{EAE6303D-5F81-469C-82E1-D83FD77C811B}" srcOrd="5" destOrd="0" parTransId="{7F3B5ACB-87C6-42D2-898B-4894FC5D6A4E}" sibTransId="{93AD13DD-AB4C-4AE7-B169-7A34AE49088E}"/>
    <dgm:cxn modelId="{3FCEE895-271C-4136-B426-FE7F1582CEF1}" srcId="{CB339438-8F81-4836-B0D6-39E445779B2D}" destId="{D38A169C-73FA-404F-BBC1-E58D54FDBE12}" srcOrd="0" destOrd="0" parTransId="{972BF931-FB6A-47EF-8701-10AC9CDA14F0}" sibTransId="{A99A1C84-B8AD-4CE4-944A-AF6FBA84AD6E}"/>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5AD72A9B-F8F3-4294-8BF4-B71D2D76F631}" type="presOf" srcId="{2E74F255-0627-4F2A-AACE-2E62E4992A4E}" destId="{4B8E8D9D-B499-4F0F-9996-7D64449D10F2}" srcOrd="0" destOrd="0" presId="urn:microsoft.com/office/officeart/2005/8/layout/lProcess2"/>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B6A2B7A2-FF80-4270-BE4E-2808830EFFFC}" srcId="{71C93146-8DBD-47BA-9B89-8D2FF25B6FDE}" destId="{6C20051A-C227-4FCE-84B9-13E8355C6FE0}" srcOrd="0" destOrd="0" parTransId="{31AEE7A3-A8AC-425D-8431-C8B66249CB15}" sibTransId="{70525940-7440-4C0F-AFCA-45BB15C67DD9}"/>
    <dgm:cxn modelId="{DFD1EAA7-E9B7-4782-A476-14CE33073947}" srcId="{39F506DE-50F1-49BE-9ED2-88EFDAE6F0E1}" destId="{5788F799-C613-40C5-8761-BEA82B1C90FC}" srcOrd="2" destOrd="0" parTransId="{B1600F06-2268-4E93-8025-6213C861BF03}" sibTransId="{34DDA67C-48F2-49AC-B592-522587E58066}"/>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C42109AE-1058-4619-9E5D-3EDCD7753B84}" type="presOf" srcId="{BF604F3B-6E2C-437A-A56D-07E38EEAF407}" destId="{73FBA52B-5B41-4B4F-A115-87C7645E43A1}" srcOrd="0"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CFFD6ABB-CD5D-487F-BB53-23A43853FE87}" srcId="{71C93146-8DBD-47BA-9B89-8D2FF25B6FDE}" destId="{BF604F3B-6E2C-437A-A56D-07E38EEAF407}" srcOrd="4" destOrd="0" parTransId="{4AC39846-CE22-469F-9E32-64D4D274A718}" sibTransId="{C3E1A71A-1D81-462E-9AFB-0A351091E5B3}"/>
    <dgm:cxn modelId="{70C240BD-A947-494F-854E-E0EA692EFD0B}" type="presOf" srcId="{CB339438-8F81-4836-B0D6-39E445779B2D}" destId="{3D88E221-0C0B-49C5-BB85-D37F5241594C}" srcOrd="1"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DABC17D5-F888-4D05-A49F-76532A23AAFC}" srcId="{CB339438-8F81-4836-B0D6-39E445779B2D}" destId="{20C2B1D1-A7F5-4033-85BB-CA32FEA2D6C4}" srcOrd="4" destOrd="0" parTransId="{E6DF7BE8-13F2-40AF-A6D1-374B1F27AB4E}" sibTransId="{B736EF13-6D30-490A-AD47-8DC9C90F0F24}"/>
    <dgm:cxn modelId="{B9770FDA-37FF-43F8-A310-12FA30D16BC1}" srcId="{731B959C-F05A-4425-AA8A-A0CC576E0CD6}" destId="{E4529BFC-7FBA-401E-83DC-ED21706EC71E}" srcOrd="0" destOrd="0" parTransId="{75EC726F-0F1A-4A9A-AAA4-BA5A62E7EF13}" sibTransId="{2694060A-8504-46CC-B366-F826D32B0115}"/>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CC9355ED-0211-478E-832D-5804129CC800}" srcId="{71C93146-8DBD-47BA-9B89-8D2FF25B6FDE}" destId="{1414449C-F996-4D1E-9556-A6DB79195914}" srcOrd="5" destOrd="0" parTransId="{44B32809-6D40-4693-9A68-4CC44E1D5E33}" sibTransId="{E84E934D-7499-4E4A-BC6D-A601F6E3EEB7}"/>
    <dgm:cxn modelId="{A2D37EED-A2E2-472A-A21B-AD9E69D5F26F}" srcId="{71C93146-8DBD-47BA-9B89-8D2FF25B6FDE}" destId="{2E74F255-0627-4F2A-AACE-2E62E4992A4E}" srcOrd="2" destOrd="0" parTransId="{31D5741A-A5D5-4B15-91E0-6030CB113867}" sibTransId="{E4DE0FF7-42E2-48A8-9B88-A833B7E7CECE}"/>
    <dgm:cxn modelId="{DF4930EE-E080-4A33-A5A2-D0A164B70308}" srcId="{39F506DE-50F1-49BE-9ED2-88EFDAE6F0E1}" destId="{C73CB937-E35C-46A7-A528-03AE78F9430B}" srcOrd="4" destOrd="0" parTransId="{4C4481EF-620D-4181-8F00-31DC7C846A66}" sibTransId="{CF0C6F57-028A-4F8B-9B40-15B58322102D}"/>
    <dgm:cxn modelId="{6A0CB9F2-C2B6-4335-8F68-7F72FEF8974B}" type="presOf" srcId="{22D01AA1-B8AD-41D0-99F6-BD0BE9C6E470}" destId="{2A672D25-7F6E-4A5B-82BD-FDC5C26B3088}" srcOrd="0" destOrd="0" presId="urn:microsoft.com/office/officeart/2005/8/layout/lProcess2"/>
    <dgm:cxn modelId="{55C2DFF2-EDBE-45FB-8FCB-121AEBAE19AA}" srcId="{35F91573-84CF-4D05-97CE-0E5A3583D4E6}" destId="{437562EF-45B9-4108-A430-E90D425350DB}" srcOrd="0" destOrd="0" parTransId="{5D122FFE-41EF-4D98-A656-471511B9F739}" sibTransId="{DA5646B2-415F-44CC-B454-6CDE34BFAF76}"/>
    <dgm:cxn modelId="{1BAAFAF2-950B-4CDF-A69C-D402BC589285}" type="presOf" srcId="{D216417B-8724-4A89-97D4-DE24FD728663}" destId="{ED72BB4B-3283-4FB6-8CED-112A7127815D}" srcOrd="0" destOrd="0" presId="urn:microsoft.com/office/officeart/2005/8/layout/lProcess2"/>
    <dgm:cxn modelId="{2F29C7F3-5744-4F4C-AB5C-4DE9DD791904}" srcId="{CB339438-8F81-4836-B0D6-39E445779B2D}" destId="{C5E5184A-8FDC-42CD-93E9-3B50F3DA9325}" srcOrd="2" destOrd="0" parTransId="{C4D7E12A-AA6A-4A89-8FCB-7FC7EEAB30D6}" sibTransId="{7D56DE70-DF82-4199-B04B-C9BA49CFB7F2}"/>
    <dgm:cxn modelId="{59610FF8-9CCC-4D3B-8A93-D50614ADE9EB}" type="presOf" srcId="{A4C25D60-29B6-49CA-9FAD-CC24BBF008AC}" destId="{CA09ED49-F2C0-4756-9943-A171D0CE475A}" srcOrd="0" destOrd="0" presId="urn:microsoft.com/office/officeart/2005/8/layout/lProcess2"/>
    <dgm:cxn modelId="{7CDDBCFF-7243-47E8-8F42-89797FF279B0}" srcId="{71C93146-8DBD-47BA-9B89-8D2FF25B6FDE}" destId="{A4C25D60-29B6-49CA-9FAD-CC24BBF008AC}" srcOrd="3" destOrd="0" parTransId="{161371CD-0CF7-497C-95C8-3A92E29C1107}" sibTransId="{5E44C30B-4110-4915-902C-9BDAC2D97890}"/>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B69C4A38-A460-44E4-B339-D89F99E0A4ED}" type="presParOf" srcId="{10201B17-1614-4D45-8D1F-E89E82CE147B}" destId="{9B677AB5-8643-43AB-A8BB-D8E12AD5A274}" srcOrd="0" destOrd="0" presId="urn:microsoft.com/office/officeart/2005/8/layout/lProcess2"/>
    <dgm:cxn modelId="{F5F776D9-CA4F-4208-B41C-1662B9990B85}" type="presParOf" srcId="{10201B17-1614-4D45-8D1F-E89E82CE147B}" destId="{E6B89461-4A3D-42F9-9724-85D072F06CBB}" srcOrd="1" destOrd="0" presId="urn:microsoft.com/office/officeart/2005/8/layout/lProcess2"/>
    <dgm:cxn modelId="{A763D499-898B-43C6-8A74-5B370EF3F50B}" type="presParOf" srcId="{10201B17-1614-4D45-8D1F-E89E82CE147B}" destId="{ED72BB4B-3283-4FB6-8CED-112A7127815D}" srcOrd="2" destOrd="0" presId="urn:microsoft.com/office/officeart/2005/8/layout/lProcess2"/>
    <dgm:cxn modelId="{3B28D20C-372B-46FB-9D36-2A67DE52AB5E}" type="presParOf" srcId="{10201B17-1614-4D45-8D1F-E89E82CE147B}" destId="{D367107A-E0F3-4662-86D0-A24CFBAFCFBD}" srcOrd="3" destOrd="0" presId="urn:microsoft.com/office/officeart/2005/8/layout/lProcess2"/>
    <dgm:cxn modelId="{AC5ADC21-2853-484D-8C0B-A23182CEAEBF}" type="presParOf" srcId="{10201B17-1614-4D45-8D1F-E89E82CE147B}" destId="{4B8E8D9D-B499-4F0F-9996-7D64449D10F2}" srcOrd="4" destOrd="0" presId="urn:microsoft.com/office/officeart/2005/8/layout/lProcess2"/>
    <dgm:cxn modelId="{E1E680BF-0BD6-445E-8656-4FAC8D1C86B0}" type="presParOf" srcId="{10201B17-1614-4D45-8D1F-E89E82CE147B}" destId="{9F63D948-D2A5-44DB-979C-6708655617C8}" srcOrd="5" destOrd="0" presId="urn:microsoft.com/office/officeart/2005/8/layout/lProcess2"/>
    <dgm:cxn modelId="{F3C1040C-6363-4609-B22C-AB52B426EF33}" type="presParOf" srcId="{10201B17-1614-4D45-8D1F-E89E82CE147B}" destId="{CA09ED49-F2C0-4756-9943-A171D0CE475A}" srcOrd="6" destOrd="0" presId="urn:microsoft.com/office/officeart/2005/8/layout/lProcess2"/>
    <dgm:cxn modelId="{4B6C8448-20C5-4AE2-A6E0-7C726244001B}" type="presParOf" srcId="{10201B17-1614-4D45-8D1F-E89E82CE147B}" destId="{934E5FE0-5B1C-4F8D-8A8B-840DEBF21503}" srcOrd="7" destOrd="0" presId="urn:microsoft.com/office/officeart/2005/8/layout/lProcess2"/>
    <dgm:cxn modelId="{25520D19-826D-4FBE-9F32-13F33077A98B}" type="presParOf" srcId="{10201B17-1614-4D45-8D1F-E89E82CE147B}" destId="{73FBA52B-5B41-4B4F-A115-87C7645E43A1}" srcOrd="8" destOrd="0" presId="urn:microsoft.com/office/officeart/2005/8/layout/lProcess2"/>
    <dgm:cxn modelId="{CC66A710-E4FE-421B-BF7A-D44558B9DB5B}" type="presParOf" srcId="{10201B17-1614-4D45-8D1F-E89E82CE147B}" destId="{0F769504-2B9A-4AD5-A31A-08D00B6EDCB8}" srcOrd="9" destOrd="0" presId="urn:microsoft.com/office/officeart/2005/8/layout/lProcess2"/>
    <dgm:cxn modelId="{14B4FB3E-9ADF-48D5-A5E3-0A64A8800448}" type="presParOf" srcId="{10201B17-1614-4D45-8D1F-E89E82CE147B}" destId="{4DF9E0A4-016F-41AB-9EF2-9306013932AD}" srcOrd="10"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71DDDA4F-1B18-4271-A886-5AC064B1BA19}" type="presParOf" srcId="{E3A1EC06-F8F1-47EA-A4C0-7BCCDF995841}" destId="{16E67993-C4C1-4F21-A4ED-0341212DEC4B}" srcOrd="2" destOrd="0" presId="urn:microsoft.com/office/officeart/2005/8/layout/lProcess2"/>
    <dgm:cxn modelId="{16DE73A0-AE43-4E97-A1FF-463778447AC7}" type="presParOf" srcId="{E3A1EC06-F8F1-47EA-A4C0-7BCCDF995841}" destId="{E5227385-2FA4-403A-9FF9-0DB4ACF7F48A}" srcOrd="3" destOrd="0" presId="urn:microsoft.com/office/officeart/2005/8/layout/lProcess2"/>
    <dgm:cxn modelId="{20A05FA2-0059-4D17-BDDC-F5050ED7E0C4}" type="presParOf" srcId="{E3A1EC06-F8F1-47EA-A4C0-7BCCDF995841}" destId="{586171D3-A0EF-4AB5-884C-1205F269AA43}" srcOrd="4" destOrd="0" presId="urn:microsoft.com/office/officeart/2005/8/layout/lProcess2"/>
    <dgm:cxn modelId="{B616C990-0E73-45FB-817A-A94D5F79BA53}" type="presParOf" srcId="{E3A1EC06-F8F1-47EA-A4C0-7BCCDF995841}" destId="{1DAB7310-B09B-4420-8F3D-3BEE07FE1684}" srcOrd="5" destOrd="0" presId="urn:microsoft.com/office/officeart/2005/8/layout/lProcess2"/>
    <dgm:cxn modelId="{DCBD6D29-5F5D-4B15-95EE-37F4852367B9}" type="presParOf" srcId="{E3A1EC06-F8F1-47EA-A4C0-7BCCDF995841}" destId="{2A672D25-7F6E-4A5B-82BD-FDC5C26B3088}" srcOrd="6" destOrd="0" presId="urn:microsoft.com/office/officeart/2005/8/layout/lProcess2"/>
    <dgm:cxn modelId="{529CAF3E-A24C-430A-AA7F-E20DCC3259D5}" type="presParOf" srcId="{E3A1EC06-F8F1-47EA-A4C0-7BCCDF995841}" destId="{C2C0A883-CCED-4187-8604-B35FCC01D6EB}" srcOrd="7" destOrd="0" presId="urn:microsoft.com/office/officeart/2005/8/layout/lProcess2"/>
    <dgm:cxn modelId="{49B8410B-854E-4665-965B-654E11A85D7D}" type="presParOf" srcId="{E3A1EC06-F8F1-47EA-A4C0-7BCCDF995841}" destId="{0734C4A1-53E2-4AB6-BA72-1AEDF66C84FE}" srcOrd="8" destOrd="0" presId="urn:microsoft.com/office/officeart/2005/8/layout/lProcess2"/>
    <dgm:cxn modelId="{40C84FE8-336E-4F3C-997B-AAEF7C2692A7}" type="presParOf" srcId="{E3A1EC06-F8F1-47EA-A4C0-7BCCDF995841}" destId="{12F6B500-7A59-4A17-A063-39F246E34DD4}" srcOrd="9" destOrd="0" presId="urn:microsoft.com/office/officeart/2005/8/layout/lProcess2"/>
    <dgm:cxn modelId="{97CE7E2C-2D1D-4AC9-90E8-0284018DCA51}" type="presParOf" srcId="{E3A1EC06-F8F1-47EA-A4C0-7BCCDF995841}" destId="{DFD48DD9-75CF-4D0E-834B-85C5266538F1}" srcOrd="10"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320415" cy="1396111"/>
      </dsp:txXfrm>
    </dsp:sp>
    <dsp:sp modelId="{D9D4FC23-0730-4C6A-92D3-55905B566BDA}">
      <dsp:nvSpPr>
        <dsp:cNvPr id="0" name=""/>
        <dsp:cNvSpPr/>
      </dsp:nvSpPr>
      <dsp:spPr>
        <a:xfrm>
          <a:off x="135383"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148469" y="1409424"/>
        <a:ext cx="1030160" cy="420622"/>
      </dsp:txXfrm>
    </dsp:sp>
    <dsp:sp modelId="{B92FF65D-7314-4281-8C61-D2E02ABB453E}">
      <dsp:nvSpPr>
        <dsp:cNvPr id="0" name=""/>
        <dsp:cNvSpPr/>
      </dsp:nvSpPr>
      <dsp:spPr>
        <a:xfrm>
          <a:off x="135383"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148469" y="1924956"/>
        <a:ext cx="1030160" cy="420622"/>
      </dsp:txXfrm>
    </dsp:sp>
    <dsp:sp modelId="{8BA67AC5-5D23-4E1E-BC34-5B51379E48E7}">
      <dsp:nvSpPr>
        <dsp:cNvPr id="0" name=""/>
        <dsp:cNvSpPr/>
      </dsp:nvSpPr>
      <dsp:spPr>
        <a:xfrm>
          <a:off x="135383"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148469" y="2440488"/>
        <a:ext cx="1030160" cy="420622"/>
      </dsp:txXfrm>
    </dsp:sp>
    <dsp:sp modelId="{EE4F65C3-F61D-4F57-82E6-6248AF681702}">
      <dsp:nvSpPr>
        <dsp:cNvPr id="0" name=""/>
        <dsp:cNvSpPr/>
      </dsp:nvSpPr>
      <dsp:spPr>
        <a:xfrm>
          <a:off x="135383"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148469" y="2956019"/>
        <a:ext cx="1030160" cy="420622"/>
      </dsp:txXfrm>
    </dsp:sp>
    <dsp:sp modelId="{4AA2C2D8-38AC-49A4-B325-32683F44EAF4}">
      <dsp:nvSpPr>
        <dsp:cNvPr id="0" name=""/>
        <dsp:cNvSpPr/>
      </dsp:nvSpPr>
      <dsp:spPr>
        <a:xfrm>
          <a:off x="135383"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148469" y="3471551"/>
        <a:ext cx="1030160" cy="420622"/>
      </dsp:txXfrm>
    </dsp:sp>
    <dsp:sp modelId="{211DDDCD-7378-4BEA-A98D-65ED33393EC4}">
      <dsp:nvSpPr>
        <dsp:cNvPr id="0" name=""/>
        <dsp:cNvSpPr/>
      </dsp:nvSpPr>
      <dsp:spPr>
        <a:xfrm>
          <a:off x="135383"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148469" y="3987083"/>
        <a:ext cx="1030160" cy="420622"/>
      </dsp:txXfrm>
    </dsp:sp>
    <dsp:sp modelId="{54671E33-5AC7-4CD0-91C9-A60A47022F3E}">
      <dsp:nvSpPr>
        <dsp:cNvPr id="0" name=""/>
        <dsp:cNvSpPr/>
      </dsp:nvSpPr>
      <dsp:spPr>
        <a:xfrm>
          <a:off x="142278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422788" y="0"/>
        <a:ext cx="1320415" cy="1396111"/>
      </dsp:txXfrm>
    </dsp:sp>
    <dsp:sp modelId="{9B677AB5-8643-43AB-A8BB-D8E12AD5A274}">
      <dsp:nvSpPr>
        <dsp:cNvPr id="0" name=""/>
        <dsp:cNvSpPr/>
      </dsp:nvSpPr>
      <dsp:spPr>
        <a:xfrm>
          <a:off x="1554830"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Domeinkennis</a:t>
          </a:r>
        </a:p>
      </dsp:txBody>
      <dsp:txXfrm>
        <a:off x="1567916" y="1409424"/>
        <a:ext cx="1030160" cy="420622"/>
      </dsp:txXfrm>
    </dsp:sp>
    <dsp:sp modelId="{ED72BB4B-3283-4FB6-8CED-112A7127815D}">
      <dsp:nvSpPr>
        <dsp:cNvPr id="0" name=""/>
        <dsp:cNvSpPr/>
      </dsp:nvSpPr>
      <dsp:spPr>
        <a:xfrm>
          <a:off x="1554830"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architectuur</a:t>
          </a:r>
        </a:p>
      </dsp:txBody>
      <dsp:txXfrm>
        <a:off x="1567916" y="1924956"/>
        <a:ext cx="1030160" cy="420622"/>
      </dsp:txXfrm>
    </dsp:sp>
    <dsp:sp modelId="{4B8E8D9D-B499-4F0F-9996-7D64449D10F2}">
      <dsp:nvSpPr>
        <dsp:cNvPr id="0" name=""/>
        <dsp:cNvSpPr/>
      </dsp:nvSpPr>
      <dsp:spPr>
        <a:xfrm>
          <a:off x="1554830"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Informatica</a:t>
          </a:r>
        </a:p>
      </dsp:txBody>
      <dsp:txXfrm>
        <a:off x="1567916" y="2440488"/>
        <a:ext cx="1030160" cy="420622"/>
      </dsp:txXfrm>
    </dsp:sp>
    <dsp:sp modelId="{CA09ED49-F2C0-4756-9943-A171D0CE475A}">
      <dsp:nvSpPr>
        <dsp:cNvPr id="0" name=""/>
        <dsp:cNvSpPr/>
      </dsp:nvSpPr>
      <dsp:spPr>
        <a:xfrm>
          <a:off x="1554830"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governance</a:t>
          </a:r>
        </a:p>
      </dsp:txBody>
      <dsp:txXfrm>
        <a:off x="1567916" y="2956019"/>
        <a:ext cx="1030160" cy="420622"/>
      </dsp:txXfrm>
    </dsp:sp>
    <dsp:sp modelId="{73FBA52B-5B41-4B4F-A115-87C7645E43A1}">
      <dsp:nvSpPr>
        <dsp:cNvPr id="0" name=""/>
        <dsp:cNvSpPr/>
      </dsp:nvSpPr>
      <dsp:spPr>
        <a:xfrm>
          <a:off x="1554830"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kwaliteit</a:t>
          </a:r>
        </a:p>
      </dsp:txBody>
      <dsp:txXfrm>
        <a:off x="1567916" y="3471551"/>
        <a:ext cx="1030160" cy="420622"/>
      </dsp:txXfrm>
    </dsp:sp>
    <dsp:sp modelId="{4DF9E0A4-016F-41AB-9EF2-9306013932AD}">
      <dsp:nvSpPr>
        <dsp:cNvPr id="0" name=""/>
        <dsp:cNvSpPr/>
      </dsp:nvSpPr>
      <dsp:spPr>
        <a:xfrm>
          <a:off x="1554830"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Beveiliging</a:t>
          </a:r>
        </a:p>
      </dsp:txBody>
      <dsp:txXfrm>
        <a:off x="1567916" y="3987083"/>
        <a:ext cx="1030160" cy="420622"/>
      </dsp:txXfrm>
    </dsp:sp>
    <dsp:sp modelId="{6D56517E-766B-45C1-B3BA-03A92A9F1628}">
      <dsp:nvSpPr>
        <dsp:cNvPr id="0" name=""/>
        <dsp:cNvSpPr/>
      </dsp:nvSpPr>
      <dsp:spPr>
        <a:xfrm>
          <a:off x="2859163"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2859163" y="0"/>
        <a:ext cx="1320415" cy="1396111"/>
      </dsp:txXfrm>
    </dsp:sp>
    <dsp:sp modelId="{A239EC8B-8508-4BCF-8FEB-C4B29C102781}">
      <dsp:nvSpPr>
        <dsp:cNvPr id="0" name=""/>
        <dsp:cNvSpPr/>
      </dsp:nvSpPr>
      <dsp:spPr>
        <a:xfrm>
          <a:off x="2974276" y="1396338"/>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Programmeren</a:t>
          </a:r>
        </a:p>
      </dsp:txBody>
      <dsp:txXfrm>
        <a:off x="2987362" y="1409424"/>
        <a:ext cx="1030160" cy="420622"/>
      </dsp:txXfrm>
    </dsp:sp>
    <dsp:sp modelId="{16E67993-C4C1-4F21-A4ED-0341212DEC4B}">
      <dsp:nvSpPr>
        <dsp:cNvPr id="0" name=""/>
        <dsp:cNvSpPr/>
      </dsp:nvSpPr>
      <dsp:spPr>
        <a:xfrm>
          <a:off x="2974276" y="1911870"/>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verwerking</a:t>
          </a:r>
        </a:p>
      </dsp:txBody>
      <dsp:txXfrm>
        <a:off x="2987362" y="1924956"/>
        <a:ext cx="1030160" cy="420622"/>
      </dsp:txXfrm>
    </dsp:sp>
    <dsp:sp modelId="{586171D3-A0EF-4AB5-884C-1205F269AA43}">
      <dsp:nvSpPr>
        <dsp:cNvPr id="0" name=""/>
        <dsp:cNvSpPr/>
      </dsp:nvSpPr>
      <dsp:spPr>
        <a:xfrm>
          <a:off x="2974276" y="2427402"/>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Testen &amp; deployments</a:t>
          </a:r>
        </a:p>
      </dsp:txBody>
      <dsp:txXfrm>
        <a:off x="2987362" y="2440488"/>
        <a:ext cx="1030160" cy="420622"/>
      </dsp:txXfrm>
    </dsp:sp>
    <dsp:sp modelId="{2A672D25-7F6E-4A5B-82BD-FDC5C26B3088}">
      <dsp:nvSpPr>
        <dsp:cNvPr id="0" name=""/>
        <dsp:cNvSpPr/>
      </dsp:nvSpPr>
      <dsp:spPr>
        <a:xfrm>
          <a:off x="2974276" y="2942933"/>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Infrastructuur &amp; cloud oplossingen</a:t>
          </a:r>
        </a:p>
      </dsp:txBody>
      <dsp:txXfrm>
        <a:off x="2987362" y="2956019"/>
        <a:ext cx="1030160" cy="420622"/>
      </dsp:txXfrm>
    </dsp:sp>
    <dsp:sp modelId="{0734C4A1-53E2-4AB6-BA72-1AEDF66C84FE}">
      <dsp:nvSpPr>
        <dsp:cNvPr id="0" name=""/>
        <dsp:cNvSpPr/>
      </dsp:nvSpPr>
      <dsp:spPr>
        <a:xfrm>
          <a:off x="2974276" y="3458465"/>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Data modelleren</a:t>
          </a:r>
        </a:p>
      </dsp:txBody>
      <dsp:txXfrm>
        <a:off x="2987362" y="3471551"/>
        <a:ext cx="1030160" cy="420622"/>
      </dsp:txXfrm>
    </dsp:sp>
    <dsp:sp modelId="{DFD48DD9-75CF-4D0E-834B-85C5266538F1}">
      <dsp:nvSpPr>
        <dsp:cNvPr id="0" name=""/>
        <dsp:cNvSpPr/>
      </dsp:nvSpPr>
      <dsp:spPr>
        <a:xfrm>
          <a:off x="2974276" y="3973997"/>
          <a:ext cx="1056332" cy="44679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Virtualisatie &amp; containerisatie</a:t>
          </a:r>
        </a:p>
      </dsp:txBody>
      <dsp:txXfrm>
        <a:off x="2987362" y="3987083"/>
        <a:ext cx="1030160" cy="420622"/>
      </dsp:txXfrm>
    </dsp:sp>
    <dsp:sp modelId="{D3D71071-A754-4C0E-9FFD-064FC19C1E19}">
      <dsp:nvSpPr>
        <dsp:cNvPr id="0" name=""/>
        <dsp:cNvSpPr/>
      </dsp:nvSpPr>
      <dsp:spPr>
        <a:xfrm>
          <a:off x="4261682"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4261682" y="0"/>
        <a:ext cx="1320415" cy="1396111"/>
      </dsp:txXfrm>
    </dsp:sp>
    <dsp:sp modelId="{5FFDAE0D-01DD-4F48-856B-01906FDFAC4D}">
      <dsp:nvSpPr>
        <dsp:cNvPr id="0" name=""/>
        <dsp:cNvSpPr/>
      </dsp:nvSpPr>
      <dsp:spPr>
        <a:xfrm>
          <a:off x="4393723"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4409491" y="1412759"/>
        <a:ext cx="1024796" cy="506832"/>
      </dsp:txXfrm>
    </dsp:sp>
    <dsp:sp modelId="{7BE6FBB6-2C7F-4090-924E-AD3A157FFABE}">
      <dsp:nvSpPr>
        <dsp:cNvPr id="0" name=""/>
        <dsp:cNvSpPr/>
      </dsp:nvSpPr>
      <dsp:spPr>
        <a:xfrm>
          <a:off x="4393723"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4409491" y="2033954"/>
        <a:ext cx="1024796" cy="506832"/>
      </dsp:txXfrm>
    </dsp:sp>
    <dsp:sp modelId="{1BF27B21-0FAC-4F32-B691-48071D34A960}">
      <dsp:nvSpPr>
        <dsp:cNvPr id="0" name=""/>
        <dsp:cNvSpPr/>
      </dsp:nvSpPr>
      <dsp:spPr>
        <a:xfrm>
          <a:off x="4393723"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4409491" y="2655148"/>
        <a:ext cx="1024796" cy="506832"/>
      </dsp:txXfrm>
    </dsp:sp>
    <dsp:sp modelId="{9821E4E8-E247-4525-A9DD-43D8B524714D}">
      <dsp:nvSpPr>
        <dsp:cNvPr id="0" name=""/>
        <dsp:cNvSpPr/>
      </dsp:nvSpPr>
      <dsp:spPr>
        <a:xfrm>
          <a:off x="4393723"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4409491" y="3276343"/>
        <a:ext cx="1024796" cy="506832"/>
      </dsp:txXfrm>
    </dsp:sp>
    <dsp:sp modelId="{6081A0E7-3270-44D0-B4CD-B69CEEB69F68}">
      <dsp:nvSpPr>
        <dsp:cNvPr id="0" name=""/>
        <dsp:cNvSpPr/>
      </dsp:nvSpPr>
      <dsp:spPr>
        <a:xfrm>
          <a:off x="4393723"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4409491" y="3897537"/>
        <a:ext cx="1024796" cy="506832"/>
      </dsp:txXfrm>
    </dsp:sp>
    <dsp:sp modelId="{8387A50E-865C-4F7E-BAF7-78F89B5F3C88}">
      <dsp:nvSpPr>
        <dsp:cNvPr id="0" name=""/>
        <dsp:cNvSpPr/>
      </dsp:nvSpPr>
      <dsp:spPr>
        <a:xfrm>
          <a:off x="5681128"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5681128" y="0"/>
        <a:ext cx="1320415" cy="1396111"/>
      </dsp:txXfrm>
    </dsp:sp>
    <dsp:sp modelId="{45ED17EB-782D-462A-9CC1-E53FA40A33C7}">
      <dsp:nvSpPr>
        <dsp:cNvPr id="0" name=""/>
        <dsp:cNvSpPr/>
      </dsp:nvSpPr>
      <dsp:spPr>
        <a:xfrm>
          <a:off x="5813170"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5828938" y="1412759"/>
        <a:ext cx="1024796" cy="506832"/>
      </dsp:txXfrm>
    </dsp:sp>
    <dsp:sp modelId="{0482D866-2B3F-412E-9D66-E84151969353}">
      <dsp:nvSpPr>
        <dsp:cNvPr id="0" name=""/>
        <dsp:cNvSpPr/>
      </dsp:nvSpPr>
      <dsp:spPr>
        <a:xfrm>
          <a:off x="5813170"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5828938" y="2033954"/>
        <a:ext cx="1024796" cy="506832"/>
      </dsp:txXfrm>
    </dsp:sp>
    <dsp:sp modelId="{07A918F0-62D9-46AE-9F9F-62DB5B328CB3}">
      <dsp:nvSpPr>
        <dsp:cNvPr id="0" name=""/>
        <dsp:cNvSpPr/>
      </dsp:nvSpPr>
      <dsp:spPr>
        <a:xfrm>
          <a:off x="5813170"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5828938" y="2655148"/>
        <a:ext cx="1024796" cy="506832"/>
      </dsp:txXfrm>
    </dsp:sp>
    <dsp:sp modelId="{DED3F222-26E6-4809-AA91-F07F244295C3}">
      <dsp:nvSpPr>
        <dsp:cNvPr id="0" name=""/>
        <dsp:cNvSpPr/>
      </dsp:nvSpPr>
      <dsp:spPr>
        <a:xfrm>
          <a:off x="5813170"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5828938" y="3276343"/>
        <a:ext cx="1024796" cy="506832"/>
      </dsp:txXfrm>
    </dsp:sp>
    <dsp:sp modelId="{AAF2ACE6-5E38-4636-B080-BC2D37E74DD8}">
      <dsp:nvSpPr>
        <dsp:cNvPr id="0" name=""/>
        <dsp:cNvSpPr/>
      </dsp:nvSpPr>
      <dsp:spPr>
        <a:xfrm>
          <a:off x="5813170"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5828938" y="3897537"/>
        <a:ext cx="1024796" cy="506832"/>
      </dsp:txXfrm>
    </dsp:sp>
    <dsp:sp modelId="{788DE979-FF1A-4219-BF84-8A28593CCB94}">
      <dsp:nvSpPr>
        <dsp:cNvPr id="0" name=""/>
        <dsp:cNvSpPr/>
      </dsp:nvSpPr>
      <dsp:spPr>
        <a:xfrm>
          <a:off x="7100575" y="0"/>
          <a:ext cx="1320415" cy="4653703"/>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7100575" y="0"/>
        <a:ext cx="1320415" cy="1396111"/>
      </dsp:txXfrm>
    </dsp:sp>
    <dsp:sp modelId="{F1F16BAE-86C3-4B1E-85EA-E74B55A21462}">
      <dsp:nvSpPr>
        <dsp:cNvPr id="0" name=""/>
        <dsp:cNvSpPr/>
      </dsp:nvSpPr>
      <dsp:spPr>
        <a:xfrm>
          <a:off x="7232616" y="1396991"/>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7248384" y="1412759"/>
        <a:ext cx="1024796" cy="506832"/>
      </dsp:txXfrm>
    </dsp:sp>
    <dsp:sp modelId="{2EA20561-6CFD-4954-A64B-AB91B0668E80}">
      <dsp:nvSpPr>
        <dsp:cNvPr id="0" name=""/>
        <dsp:cNvSpPr/>
      </dsp:nvSpPr>
      <dsp:spPr>
        <a:xfrm>
          <a:off x="7232616" y="2018186"/>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7248384" y="2033954"/>
        <a:ext cx="1024796" cy="506832"/>
      </dsp:txXfrm>
    </dsp:sp>
    <dsp:sp modelId="{23C873A2-9912-4FE4-BDE7-C88BA9B2ECB3}">
      <dsp:nvSpPr>
        <dsp:cNvPr id="0" name=""/>
        <dsp:cNvSpPr/>
      </dsp:nvSpPr>
      <dsp:spPr>
        <a:xfrm>
          <a:off x="7232616" y="2639380"/>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7248384" y="2655148"/>
        <a:ext cx="1024796" cy="506832"/>
      </dsp:txXfrm>
    </dsp:sp>
    <dsp:sp modelId="{95E7D6F0-32A9-4AB9-8051-93F3945D429B}">
      <dsp:nvSpPr>
        <dsp:cNvPr id="0" name=""/>
        <dsp:cNvSpPr/>
      </dsp:nvSpPr>
      <dsp:spPr>
        <a:xfrm>
          <a:off x="7232616" y="3260575"/>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7248384" y="3276343"/>
        <a:ext cx="1024796" cy="506832"/>
      </dsp:txXfrm>
    </dsp:sp>
    <dsp:sp modelId="{66D2E35F-6AA8-4674-9525-32D6D3B769C9}">
      <dsp:nvSpPr>
        <dsp:cNvPr id="0" name=""/>
        <dsp:cNvSpPr/>
      </dsp:nvSpPr>
      <dsp:spPr>
        <a:xfrm>
          <a:off x="7232616" y="3881769"/>
          <a:ext cx="1056332" cy="538368"/>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7248384" y="3897537"/>
        <a:ext cx="1024796" cy="506832"/>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2" Type="http://schemas.openxmlformats.org/officeDocument/2006/relationships/diagramData" Target="../diagrams/data1.xml"/><Relationship Id="rId1" Type="http://schemas.openxmlformats.org/officeDocument/2006/relationships/image" Target="../media/image1.png"/><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7</xdr:col>
      <xdr:colOff>335679</xdr:colOff>
      <xdr:row>24</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1"/>
        <a:stretch>
          <a:fillRect/>
        </a:stretch>
      </xdr:blipFill>
      <xdr:spPr>
        <a:xfrm>
          <a:off x="609600" y="829733"/>
          <a:ext cx="4602879" cy="3785944"/>
        </a:xfrm>
        <a:prstGeom prst="rect">
          <a:avLst/>
        </a:prstGeom>
      </xdr:spPr>
    </xdr:pic>
    <xdr:clientData/>
  </xdr:twoCellAnchor>
  <xdr:twoCellAnchor>
    <xdr:from>
      <xdr:col>9</xdr:col>
      <xdr:colOff>0</xdr:colOff>
      <xdr:row>4</xdr:row>
      <xdr:rowOff>0</xdr:rowOff>
    </xdr:from>
    <xdr:to>
      <xdr:col>15</xdr:col>
      <xdr:colOff>423333</xdr:colOff>
      <xdr:row>29</xdr:row>
      <xdr:rowOff>81704</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29765</xdr:colOff>
      <xdr:row>10</xdr:row>
      <xdr:rowOff>3571</xdr:rowOff>
    </xdr:from>
    <xdr:to>
      <xdr:col>9</xdr:col>
      <xdr:colOff>0</xdr:colOff>
      <xdr:row>24</xdr:row>
      <xdr:rowOff>79771</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76199</xdr:colOff>
      <xdr:row>10</xdr:row>
      <xdr:rowOff>9525</xdr:rowOff>
    </xdr:from>
    <xdr:to>
      <xdr:col>21</xdr:col>
      <xdr:colOff>0</xdr:colOff>
      <xdr:row>24</xdr:row>
      <xdr:rowOff>85725</xdr:rowOff>
    </xdr:to>
    <xdr:graphicFrame macro="">
      <xdr:nvGraphicFramePr>
        <xdr:cNvPr id="8" name="Grafiek 7">
          <a:extLst>
            <a:ext uri="{FF2B5EF4-FFF2-40B4-BE49-F238E27FC236}">
              <a16:creationId xmlns:a16="http://schemas.microsoft.com/office/drawing/2014/main" i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85725</xdr:colOff>
      <xdr:row>10</xdr:row>
      <xdr:rowOff>9525</xdr:rowOff>
    </xdr:from>
    <xdr:to>
      <xdr:col>32</xdr:col>
      <xdr:colOff>9525</xdr:colOff>
      <xdr:row>24</xdr:row>
      <xdr:rowOff>85725</xdr:rowOff>
    </xdr:to>
    <xdr:graphicFrame macro="">
      <xdr:nvGraphicFramePr>
        <xdr:cNvPr id="9" name="Grafiek 8">
          <a:extLst>
            <a:ext uri="{FF2B5EF4-FFF2-40B4-BE49-F238E27FC236}">
              <a16:creationId xmlns:a16="http://schemas.microsoft.com/office/drawing/2014/main" i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35720</xdr:colOff>
      <xdr:row>25</xdr:row>
      <xdr:rowOff>0</xdr:rowOff>
    </xdr:from>
    <xdr:to>
      <xdr:col>8</xdr:col>
      <xdr:colOff>428626</xdr:colOff>
      <xdr:row>39</xdr:row>
      <xdr:rowOff>76200</xdr:rowOff>
    </xdr:to>
    <xdr:graphicFrame macro="">
      <xdr:nvGraphicFramePr>
        <xdr:cNvPr id="10" name="Grafiek 9">
          <a:extLst>
            <a:ext uri="{FF2B5EF4-FFF2-40B4-BE49-F238E27FC236}">
              <a16:creationId xmlns:a16="http://schemas.microsoft.com/office/drawing/2014/main" i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66677</xdr:colOff>
      <xdr:row>24</xdr:row>
      <xdr:rowOff>171450</xdr:rowOff>
    </xdr:from>
    <xdr:to>
      <xdr:col>21</xdr:col>
      <xdr:colOff>1</xdr:colOff>
      <xdr:row>39</xdr:row>
      <xdr:rowOff>66675</xdr:rowOff>
    </xdr:to>
    <xdr:graphicFrame macro="">
      <xdr:nvGraphicFramePr>
        <xdr:cNvPr id="11" name="Grafiek 10">
          <a:extLst>
            <a:ext uri="{FF2B5EF4-FFF2-40B4-BE49-F238E27FC236}">
              <a16:creationId xmlns:a16="http://schemas.microsoft.com/office/drawing/2014/main" i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0</xdr:colOff>
      <xdr:row>0</xdr:row>
      <xdr:rowOff>0</xdr:rowOff>
    </xdr:from>
    <xdr:to>
      <xdr:col>48</xdr:col>
      <xdr:colOff>511967</xdr:colOff>
      <xdr:row>9</xdr:row>
      <xdr:rowOff>0</xdr:rowOff>
    </xdr:to>
    <xdr:graphicFrame macro="">
      <xdr:nvGraphicFramePr>
        <xdr:cNvPr id="13" name="Grafiek 12">
          <a:extLst>
            <a:ext uri="{FF2B5EF4-FFF2-40B4-BE49-F238E27FC236}">
              <a16:creationId xmlns:a16="http://schemas.microsoft.com/office/drawing/2014/main" i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76200</xdr:colOff>
      <xdr:row>25</xdr:row>
      <xdr:rowOff>0</xdr:rowOff>
    </xdr:from>
    <xdr:to>
      <xdr:col>32</xdr:col>
      <xdr:colOff>0</xdr:colOff>
      <xdr:row>39</xdr:row>
      <xdr:rowOff>76200</xdr:rowOff>
    </xdr:to>
    <xdr:graphicFrame macro="">
      <xdr:nvGraphicFramePr>
        <xdr:cNvPr id="14" name="Grafiek 13">
          <a:extLst>
            <a:ext uri="{FF2B5EF4-FFF2-40B4-BE49-F238E27FC236}">
              <a16:creationId xmlns:a16="http://schemas.microsoft.com/office/drawing/2014/main" id="{411B7777-4200-495E-AA19-8871A37B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75009</xdr:colOff>
      <xdr:row>9</xdr:row>
      <xdr:rowOff>177403</xdr:rowOff>
    </xdr:from>
    <xdr:to>
      <xdr:col>40</xdr:col>
      <xdr:colOff>110728</xdr:colOff>
      <xdr:row>24</xdr:row>
      <xdr:rowOff>72628</xdr:rowOff>
    </xdr:to>
    <xdr:graphicFrame macro="">
      <xdr:nvGraphicFramePr>
        <xdr:cNvPr id="3" name="Grafiek 2">
          <a:extLst>
            <a:ext uri="{FF2B5EF4-FFF2-40B4-BE49-F238E27FC236}">
              <a16:creationId xmlns:a16="http://schemas.microsoft.com/office/drawing/2014/main" id="{7885E01C-CEA6-43D1-9C48-4F8189248C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66674</xdr:colOff>
      <xdr:row>25</xdr:row>
      <xdr:rowOff>0</xdr:rowOff>
    </xdr:from>
    <xdr:to>
      <xdr:col>40</xdr:col>
      <xdr:colOff>114299</xdr:colOff>
      <xdr:row>39</xdr:row>
      <xdr:rowOff>76200</xdr:rowOff>
    </xdr:to>
    <xdr:graphicFrame macro="">
      <xdr:nvGraphicFramePr>
        <xdr:cNvPr id="12" name="Grafiek 11">
          <a:extLst>
            <a:ext uri="{FF2B5EF4-FFF2-40B4-BE49-F238E27FC236}">
              <a16:creationId xmlns:a16="http://schemas.microsoft.com/office/drawing/2014/main" id="{4BBE5C71-09B1-486E-A48A-926591820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2"/>
  <sheetViews>
    <sheetView showGridLines="0" workbookViewId="0">
      <selection activeCell="H12" sqref="H12"/>
    </sheetView>
  </sheetViews>
  <sheetFormatPr defaultColWidth="8.7109375" defaultRowHeight="14.45"/>
  <cols>
    <col min="1" max="9" width="8.7109375" style="50"/>
    <col min="10" max="16" width="19.42578125" style="51" customWidth="1"/>
    <col min="17" max="16384" width="8.7109375" style="50"/>
  </cols>
  <sheetData>
    <row r="2" spans="1:10" ht="21">
      <c r="A2" s="49" t="s">
        <v>0</v>
      </c>
      <c r="J2" s="49" t="s">
        <v>1</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M246"/>
  <sheetViews>
    <sheetView showGridLines="0" tabSelected="1" zoomScale="80" zoomScaleNormal="80" workbookViewId="0">
      <selection activeCell="F4" sqref="F4:M22"/>
    </sheetView>
  </sheetViews>
  <sheetFormatPr defaultColWidth="8.7109375" defaultRowHeight="14.45"/>
  <cols>
    <col min="1" max="1" width="128.28515625" style="86" customWidth="1"/>
    <col min="2" max="3" width="17.85546875" style="87" customWidth="1"/>
    <col min="4" max="4" width="13.85546875" style="96" customWidth="1"/>
    <col min="5" max="16384" width="8.7109375" style="86"/>
  </cols>
  <sheetData>
    <row r="1" spans="1:13" ht="25.9">
      <c r="A1" s="105" t="s">
        <v>2</v>
      </c>
    </row>
    <row r="2" spans="1:13" ht="14.45" customHeight="1"/>
    <row r="3" spans="1:13" ht="29.45" customHeight="1">
      <c r="A3" s="114" t="s">
        <v>3</v>
      </c>
      <c r="B3" s="125" t="s">
        <v>4</v>
      </c>
      <c r="C3" s="126"/>
      <c r="D3" s="127"/>
      <c r="F3" s="122" t="s">
        <v>5</v>
      </c>
      <c r="G3" s="123"/>
      <c r="H3" s="123"/>
      <c r="I3" s="123"/>
      <c r="J3" s="123"/>
      <c r="K3" s="123"/>
      <c r="L3" s="123"/>
      <c r="M3" s="124"/>
    </row>
    <row r="4" spans="1:13" ht="28.9" customHeight="1">
      <c r="A4" s="103" t="s">
        <v>6</v>
      </c>
      <c r="B4" s="89" t="s">
        <v>7</v>
      </c>
      <c r="C4" s="89" t="s">
        <v>8</v>
      </c>
      <c r="D4" s="89" t="s">
        <v>9</v>
      </c>
      <c r="F4" s="128" t="s">
        <v>10</v>
      </c>
      <c r="G4" s="129"/>
      <c r="H4" s="129"/>
      <c r="I4" s="129"/>
      <c r="J4" s="129"/>
      <c r="K4" s="129"/>
      <c r="L4" s="129"/>
      <c r="M4" s="130"/>
    </row>
    <row r="5" spans="1:13" ht="14.45" customHeight="1">
      <c r="A5" s="85" t="s">
        <v>11</v>
      </c>
      <c r="B5" s="94"/>
      <c r="C5" s="94"/>
      <c r="D5" s="90">
        <v>1</v>
      </c>
      <c r="F5" s="131"/>
      <c r="G5" s="132"/>
      <c r="H5" s="132"/>
      <c r="I5" s="132"/>
      <c r="J5" s="132"/>
      <c r="K5" s="132"/>
      <c r="L5" s="132"/>
      <c r="M5" s="133"/>
    </row>
    <row r="6" spans="1:13" ht="14.45" customHeight="1">
      <c r="A6" s="85" t="s">
        <v>12</v>
      </c>
      <c r="B6" s="121">
        <v>3</v>
      </c>
      <c r="C6" s="94"/>
      <c r="D6" s="90">
        <v>2</v>
      </c>
      <c r="F6" s="131"/>
      <c r="G6" s="132"/>
      <c r="H6" s="132"/>
      <c r="I6" s="132"/>
      <c r="J6" s="132"/>
      <c r="K6" s="132"/>
      <c r="L6" s="132"/>
      <c r="M6" s="133"/>
    </row>
    <row r="7" spans="1:13" ht="14.45" customHeight="1">
      <c r="A7" s="85" t="s">
        <v>13</v>
      </c>
      <c r="B7" s="94">
        <v>3</v>
      </c>
      <c r="C7" s="121">
        <v>5</v>
      </c>
      <c r="D7" s="90">
        <v>3</v>
      </c>
      <c r="F7" s="131"/>
      <c r="G7" s="132"/>
      <c r="H7" s="132"/>
      <c r="I7" s="132"/>
      <c r="J7" s="132"/>
      <c r="K7" s="132"/>
      <c r="L7" s="132"/>
      <c r="M7" s="133"/>
    </row>
    <row r="8" spans="1:13" ht="14.45" customHeight="1">
      <c r="A8" s="85" t="s">
        <v>14</v>
      </c>
      <c r="B8" s="94"/>
      <c r="C8" s="94">
        <v>4</v>
      </c>
      <c r="D8" s="90">
        <v>4</v>
      </c>
      <c r="F8" s="131"/>
      <c r="G8" s="132"/>
      <c r="H8" s="132"/>
      <c r="I8" s="132"/>
      <c r="J8" s="132"/>
      <c r="K8" s="132"/>
      <c r="L8" s="132"/>
      <c r="M8" s="133"/>
    </row>
    <row r="9" spans="1:13">
      <c r="A9" s="85" t="s">
        <v>15</v>
      </c>
      <c r="B9" s="94"/>
      <c r="C9" s="94"/>
      <c r="D9" s="90">
        <v>5</v>
      </c>
      <c r="F9" s="131"/>
      <c r="G9" s="132"/>
      <c r="H9" s="132"/>
      <c r="I9" s="132"/>
      <c r="J9" s="132"/>
      <c r="K9" s="132"/>
      <c r="L9" s="132"/>
      <c r="M9" s="133"/>
    </row>
    <row r="10" spans="1:13">
      <c r="A10" s="88"/>
      <c r="F10" s="131"/>
      <c r="G10" s="132"/>
      <c r="H10" s="132"/>
      <c r="I10" s="132"/>
      <c r="J10" s="132"/>
      <c r="K10" s="132"/>
      <c r="L10" s="132"/>
      <c r="M10" s="133"/>
    </row>
    <row r="11" spans="1:13" ht="23.45">
      <c r="A11" s="115" t="s">
        <v>16</v>
      </c>
      <c r="F11" s="131"/>
      <c r="G11" s="132"/>
      <c r="H11" s="132"/>
      <c r="I11" s="132"/>
      <c r="J11" s="132"/>
      <c r="K11" s="132"/>
      <c r="L11" s="132"/>
      <c r="M11" s="133"/>
    </row>
    <row r="12" spans="1:13" ht="28.9">
      <c r="A12" s="102" t="s">
        <v>17</v>
      </c>
      <c r="B12" s="107" t="s">
        <v>7</v>
      </c>
      <c r="C12" s="107" t="s">
        <v>8</v>
      </c>
      <c r="D12" s="89" t="s">
        <v>9</v>
      </c>
      <c r="F12" s="131"/>
      <c r="G12" s="132"/>
      <c r="H12" s="132"/>
      <c r="I12" s="132"/>
      <c r="J12" s="132"/>
      <c r="K12" s="132"/>
      <c r="L12" s="132"/>
      <c r="M12" s="133"/>
    </row>
    <row r="13" spans="1:13">
      <c r="A13" s="91" t="s">
        <v>18</v>
      </c>
      <c r="B13" s="92"/>
      <c r="C13" s="92"/>
      <c r="D13" s="90">
        <v>1</v>
      </c>
      <c r="F13" s="131"/>
      <c r="G13" s="132"/>
      <c r="H13" s="132"/>
      <c r="I13" s="132"/>
      <c r="J13" s="132"/>
      <c r="K13" s="132"/>
      <c r="L13" s="132"/>
      <c r="M13" s="133"/>
    </row>
    <row r="14" spans="1:13" ht="28.9">
      <c r="A14" s="91" t="s">
        <v>19</v>
      </c>
      <c r="B14" s="92"/>
      <c r="C14" s="92"/>
      <c r="D14" s="90">
        <v>2</v>
      </c>
      <c r="F14" s="131"/>
      <c r="G14" s="132"/>
      <c r="H14" s="132"/>
      <c r="I14" s="132"/>
      <c r="J14" s="132"/>
      <c r="K14" s="132"/>
      <c r="L14" s="132"/>
      <c r="M14" s="133"/>
    </row>
    <row r="15" spans="1:13" ht="28.9">
      <c r="A15" s="91" t="s">
        <v>20</v>
      </c>
      <c r="B15" s="92"/>
      <c r="C15" s="92"/>
      <c r="D15" s="90">
        <v>3</v>
      </c>
      <c r="F15" s="131"/>
      <c r="G15" s="132"/>
      <c r="H15" s="132"/>
      <c r="I15" s="132"/>
      <c r="J15" s="132"/>
      <c r="K15" s="132"/>
      <c r="L15" s="132"/>
      <c r="M15" s="133"/>
    </row>
    <row r="16" spans="1:13">
      <c r="A16" s="91" t="s">
        <v>21</v>
      </c>
      <c r="B16" s="92"/>
      <c r="C16" s="92"/>
      <c r="D16" s="90">
        <v>4</v>
      </c>
      <c r="F16" s="131"/>
      <c r="G16" s="132"/>
      <c r="H16" s="132"/>
      <c r="I16" s="132"/>
      <c r="J16" s="132"/>
      <c r="K16" s="132"/>
      <c r="L16" s="132"/>
      <c r="M16" s="133"/>
    </row>
    <row r="17" spans="1:13">
      <c r="A17" s="91" t="s">
        <v>22</v>
      </c>
      <c r="B17" s="92"/>
      <c r="C17" s="92"/>
      <c r="D17" s="90">
        <v>5</v>
      </c>
      <c r="F17" s="131"/>
      <c r="G17" s="132"/>
      <c r="H17" s="132"/>
      <c r="I17" s="132"/>
      <c r="J17" s="132"/>
      <c r="K17" s="132"/>
      <c r="L17" s="132"/>
      <c r="M17" s="133"/>
    </row>
    <row r="18" spans="1:13">
      <c r="A18" s="91"/>
      <c r="B18" s="92"/>
      <c r="C18" s="92"/>
      <c r="D18" s="90"/>
      <c r="F18" s="131"/>
      <c r="G18" s="132"/>
      <c r="H18" s="132"/>
      <c r="I18" s="132"/>
      <c r="J18" s="132"/>
      <c r="K18" s="132"/>
      <c r="L18" s="132"/>
      <c r="M18" s="133"/>
    </row>
    <row r="19" spans="1:13" ht="28.9">
      <c r="A19" s="102" t="s">
        <v>23</v>
      </c>
      <c r="B19" s="107" t="s">
        <v>7</v>
      </c>
      <c r="C19" s="107" t="s">
        <v>8</v>
      </c>
      <c r="D19" s="89" t="s">
        <v>9</v>
      </c>
      <c r="F19" s="131"/>
      <c r="G19" s="132"/>
      <c r="H19" s="132"/>
      <c r="I19" s="132"/>
      <c r="J19" s="132"/>
      <c r="K19" s="132"/>
      <c r="L19" s="132"/>
      <c r="M19" s="133"/>
    </row>
    <row r="20" spans="1:13">
      <c r="A20" s="91" t="s">
        <v>24</v>
      </c>
      <c r="B20" s="92"/>
      <c r="C20" s="92"/>
      <c r="D20" s="90">
        <v>1</v>
      </c>
      <c r="F20" s="131"/>
      <c r="G20" s="132"/>
      <c r="H20" s="132"/>
      <c r="I20" s="132"/>
      <c r="J20" s="132"/>
      <c r="K20" s="132"/>
      <c r="L20" s="132"/>
      <c r="M20" s="133"/>
    </row>
    <row r="21" spans="1:13">
      <c r="A21" s="91" t="s">
        <v>25</v>
      </c>
      <c r="B21" s="92"/>
      <c r="C21" s="92"/>
      <c r="D21" s="90">
        <v>2</v>
      </c>
      <c r="F21" s="131"/>
      <c r="G21" s="132"/>
      <c r="H21" s="132"/>
      <c r="I21" s="132"/>
      <c r="J21" s="132"/>
      <c r="K21" s="132"/>
      <c r="L21" s="132"/>
      <c r="M21" s="133"/>
    </row>
    <row r="22" spans="1:13">
      <c r="A22" s="91" t="s">
        <v>26</v>
      </c>
      <c r="B22" s="92"/>
      <c r="C22" s="92"/>
      <c r="D22" s="90">
        <v>3</v>
      </c>
      <c r="F22" s="134"/>
      <c r="G22" s="135"/>
      <c r="H22" s="135"/>
      <c r="I22" s="135"/>
      <c r="J22" s="135"/>
      <c r="K22" s="135"/>
      <c r="L22" s="135"/>
      <c r="M22" s="136"/>
    </row>
    <row r="23" spans="1:13" ht="28.9">
      <c r="A23" s="91" t="s">
        <v>27</v>
      </c>
      <c r="B23" s="92"/>
      <c r="C23" s="92"/>
      <c r="D23" s="90">
        <v>4</v>
      </c>
    </row>
    <row r="24" spans="1:13">
      <c r="A24" s="91" t="s">
        <v>28</v>
      </c>
      <c r="B24" s="92"/>
      <c r="C24" s="92"/>
      <c r="D24" s="90">
        <v>5</v>
      </c>
    </row>
    <row r="25" spans="1:13">
      <c r="A25" s="91"/>
      <c r="B25" s="92"/>
      <c r="C25" s="92"/>
      <c r="D25" s="90"/>
    </row>
    <row r="26" spans="1:13" ht="28.9">
      <c r="A26" s="102" t="s">
        <v>29</v>
      </c>
      <c r="B26" s="107" t="s">
        <v>7</v>
      </c>
      <c r="C26" s="107" t="s">
        <v>8</v>
      </c>
      <c r="D26" s="89" t="s">
        <v>9</v>
      </c>
    </row>
    <row r="27" spans="1:13">
      <c r="A27" s="91" t="s">
        <v>30</v>
      </c>
      <c r="B27" s="92"/>
      <c r="C27" s="92"/>
      <c r="D27" s="90">
        <v>1</v>
      </c>
    </row>
    <row r="28" spans="1:13">
      <c r="A28" s="91" t="s">
        <v>31</v>
      </c>
      <c r="B28" s="92"/>
      <c r="C28" s="92"/>
      <c r="D28" s="90">
        <v>2</v>
      </c>
    </row>
    <row r="29" spans="1:13" ht="28.9">
      <c r="A29" s="91" t="s">
        <v>32</v>
      </c>
      <c r="B29" s="92"/>
      <c r="C29" s="92"/>
      <c r="D29" s="90">
        <v>3</v>
      </c>
    </row>
    <row r="30" spans="1:13" ht="28.9">
      <c r="A30" s="91" t="s">
        <v>33</v>
      </c>
      <c r="B30" s="92"/>
      <c r="C30" s="92"/>
      <c r="D30" s="90">
        <v>4</v>
      </c>
    </row>
    <row r="31" spans="1:13" ht="28.9">
      <c r="A31" s="91" t="s">
        <v>34</v>
      </c>
      <c r="B31" s="92"/>
      <c r="C31" s="92"/>
      <c r="D31" s="90">
        <v>5</v>
      </c>
    </row>
    <row r="32" spans="1:13">
      <c r="A32" s="91"/>
      <c r="B32" s="92"/>
      <c r="C32" s="92"/>
      <c r="D32" s="90"/>
    </row>
    <row r="33" spans="1:4" ht="28.9">
      <c r="A33" s="102" t="s">
        <v>35</v>
      </c>
      <c r="B33" s="107" t="s">
        <v>7</v>
      </c>
      <c r="C33" s="107" t="s">
        <v>8</v>
      </c>
      <c r="D33" s="89" t="s">
        <v>9</v>
      </c>
    </row>
    <row r="34" spans="1:4">
      <c r="A34" s="91" t="s">
        <v>36</v>
      </c>
      <c r="B34" s="92"/>
      <c r="C34" s="92"/>
      <c r="D34" s="90">
        <v>1</v>
      </c>
    </row>
    <row r="35" spans="1:4">
      <c r="A35" s="91" t="s">
        <v>37</v>
      </c>
      <c r="B35" s="92"/>
      <c r="C35" s="92"/>
      <c r="D35" s="90">
        <v>2</v>
      </c>
    </row>
    <row r="36" spans="1:4" ht="28.9">
      <c r="A36" s="91" t="s">
        <v>38</v>
      </c>
      <c r="B36" s="92"/>
      <c r="C36" s="92"/>
      <c r="D36" s="90">
        <v>3</v>
      </c>
    </row>
    <row r="37" spans="1:4" ht="28.9">
      <c r="A37" s="91" t="s">
        <v>39</v>
      </c>
      <c r="B37" s="92"/>
      <c r="C37" s="92"/>
      <c r="D37" s="90">
        <v>4</v>
      </c>
    </row>
    <row r="38" spans="1:4" ht="28.9">
      <c r="A38" s="91" t="s">
        <v>40</v>
      </c>
      <c r="B38" s="92"/>
      <c r="C38" s="92"/>
      <c r="D38" s="90">
        <v>5</v>
      </c>
    </row>
    <row r="39" spans="1:4">
      <c r="A39" s="91"/>
      <c r="B39" s="92"/>
      <c r="C39" s="92"/>
      <c r="D39" s="90"/>
    </row>
    <row r="40" spans="1:4" ht="28.9">
      <c r="A40" s="102" t="s">
        <v>41</v>
      </c>
      <c r="B40" s="107" t="s">
        <v>7</v>
      </c>
      <c r="C40" s="107" t="s">
        <v>8</v>
      </c>
      <c r="D40" s="89" t="s">
        <v>9</v>
      </c>
    </row>
    <row r="41" spans="1:4">
      <c r="A41" s="91" t="s">
        <v>42</v>
      </c>
      <c r="B41" s="92"/>
      <c r="C41" s="92"/>
      <c r="D41" s="90">
        <v>1</v>
      </c>
    </row>
    <row r="42" spans="1:4">
      <c r="A42" s="91" t="s">
        <v>43</v>
      </c>
      <c r="B42" s="92"/>
      <c r="C42" s="92"/>
      <c r="D42" s="90">
        <v>2</v>
      </c>
    </row>
    <row r="43" spans="1:4" ht="28.9">
      <c r="A43" s="91" t="s">
        <v>44</v>
      </c>
      <c r="B43" s="92"/>
      <c r="C43" s="92"/>
      <c r="D43" s="90">
        <v>3</v>
      </c>
    </row>
    <row r="44" spans="1:4" ht="28.9">
      <c r="A44" s="91" t="s">
        <v>45</v>
      </c>
      <c r="B44" s="92"/>
      <c r="C44" s="92"/>
      <c r="D44" s="90">
        <v>4</v>
      </c>
    </row>
    <row r="45" spans="1:4" ht="28.9">
      <c r="A45" s="91" t="s">
        <v>46</v>
      </c>
      <c r="B45" s="92"/>
      <c r="C45" s="92"/>
      <c r="D45" s="90">
        <v>5</v>
      </c>
    </row>
    <row r="46" spans="1:4">
      <c r="A46" s="91"/>
      <c r="B46" s="92"/>
      <c r="C46" s="92"/>
      <c r="D46" s="90"/>
    </row>
    <row r="47" spans="1:4" ht="28.9">
      <c r="A47" s="102" t="s">
        <v>47</v>
      </c>
      <c r="B47" s="107" t="s">
        <v>7</v>
      </c>
      <c r="C47" s="107" t="s">
        <v>8</v>
      </c>
      <c r="D47" s="89" t="s">
        <v>9</v>
      </c>
    </row>
    <row r="48" spans="1:4">
      <c r="A48" s="91" t="s">
        <v>48</v>
      </c>
      <c r="B48" s="92"/>
      <c r="C48" s="92"/>
      <c r="D48" s="90">
        <v>1</v>
      </c>
    </row>
    <row r="49" spans="1:4">
      <c r="A49" s="91" t="s">
        <v>49</v>
      </c>
      <c r="B49" s="92"/>
      <c r="C49" s="92"/>
      <c r="D49" s="90">
        <v>2</v>
      </c>
    </row>
    <row r="50" spans="1:4">
      <c r="A50" s="91" t="s">
        <v>50</v>
      </c>
      <c r="B50" s="92"/>
      <c r="C50" s="92"/>
      <c r="D50" s="90">
        <v>3</v>
      </c>
    </row>
    <row r="51" spans="1:4">
      <c r="A51" s="91" t="s">
        <v>51</v>
      </c>
      <c r="B51" s="92"/>
      <c r="C51" s="92"/>
      <c r="D51" s="90">
        <v>4</v>
      </c>
    </row>
    <row r="52" spans="1:4">
      <c r="A52" s="91" t="s">
        <v>52</v>
      </c>
      <c r="B52" s="92"/>
      <c r="C52" s="92"/>
      <c r="D52" s="90">
        <v>5</v>
      </c>
    </row>
    <row r="54" spans="1:4" ht="23.45">
      <c r="A54" s="116" t="s">
        <v>53</v>
      </c>
    </row>
    <row r="55" spans="1:4" ht="28.9">
      <c r="A55" s="104" t="s">
        <v>54</v>
      </c>
      <c r="B55" s="108" t="s">
        <v>7</v>
      </c>
      <c r="C55" s="108" t="s">
        <v>8</v>
      </c>
      <c r="D55" s="89" t="s">
        <v>9</v>
      </c>
    </row>
    <row r="56" spans="1:4">
      <c r="A56" s="91" t="s">
        <v>55</v>
      </c>
      <c r="B56" s="92"/>
      <c r="C56" s="92"/>
      <c r="D56" s="90">
        <v>1</v>
      </c>
    </row>
    <row r="57" spans="1:4">
      <c r="A57" s="91" t="s">
        <v>56</v>
      </c>
      <c r="B57" s="92"/>
      <c r="C57" s="92"/>
      <c r="D57" s="90">
        <v>2</v>
      </c>
    </row>
    <row r="58" spans="1:4" ht="28.9">
      <c r="A58" s="91" t="s">
        <v>57</v>
      </c>
      <c r="B58" s="92"/>
      <c r="C58" s="92"/>
      <c r="D58" s="90">
        <v>3</v>
      </c>
    </row>
    <row r="59" spans="1:4">
      <c r="A59" s="91" t="s">
        <v>58</v>
      </c>
      <c r="B59" s="92"/>
      <c r="C59" s="92"/>
      <c r="D59" s="90">
        <v>4</v>
      </c>
    </row>
    <row r="60" spans="1:4" ht="28.9">
      <c r="A60" s="91" t="s">
        <v>59</v>
      </c>
      <c r="B60" s="92"/>
      <c r="C60" s="92"/>
      <c r="D60" s="90">
        <v>5</v>
      </c>
    </row>
    <row r="61" spans="1:4">
      <c r="A61" s="91"/>
      <c r="B61" s="92"/>
      <c r="C61" s="92"/>
      <c r="D61" s="90"/>
    </row>
    <row r="62" spans="1:4" ht="28.9">
      <c r="A62" s="104" t="s">
        <v>60</v>
      </c>
      <c r="B62" s="108" t="s">
        <v>7</v>
      </c>
      <c r="C62" s="108" t="s">
        <v>8</v>
      </c>
      <c r="D62" s="89" t="s">
        <v>9</v>
      </c>
    </row>
    <row r="63" spans="1:4" ht="28.9">
      <c r="A63" s="91" t="s">
        <v>61</v>
      </c>
      <c r="B63" s="92"/>
      <c r="C63" s="92"/>
      <c r="D63" s="90">
        <v>1</v>
      </c>
    </row>
    <row r="64" spans="1:4">
      <c r="A64" s="91" t="s">
        <v>62</v>
      </c>
      <c r="B64" s="92"/>
      <c r="C64" s="92"/>
      <c r="D64" s="90">
        <v>2</v>
      </c>
    </row>
    <row r="65" spans="1:4" ht="43.15">
      <c r="A65" s="91" t="s">
        <v>63</v>
      </c>
      <c r="B65" s="92"/>
      <c r="C65" s="92"/>
      <c r="D65" s="90">
        <v>3</v>
      </c>
    </row>
    <row r="66" spans="1:4">
      <c r="A66" s="91" t="s">
        <v>64</v>
      </c>
      <c r="B66" s="92"/>
      <c r="C66" s="92"/>
      <c r="D66" s="90">
        <v>4</v>
      </c>
    </row>
    <row r="67" spans="1:4">
      <c r="A67" s="91" t="s">
        <v>65</v>
      </c>
      <c r="B67" s="92"/>
      <c r="C67" s="92"/>
      <c r="D67" s="90">
        <v>5</v>
      </c>
    </row>
    <row r="68" spans="1:4">
      <c r="A68" s="91"/>
      <c r="B68" s="92"/>
      <c r="C68" s="92"/>
      <c r="D68" s="90"/>
    </row>
    <row r="69" spans="1:4" ht="28.9">
      <c r="A69" s="104" t="s">
        <v>66</v>
      </c>
      <c r="B69" s="108" t="s">
        <v>7</v>
      </c>
      <c r="C69" s="108" t="s">
        <v>8</v>
      </c>
      <c r="D69" s="89" t="s">
        <v>9</v>
      </c>
    </row>
    <row r="70" spans="1:4">
      <c r="A70" s="91" t="s">
        <v>67</v>
      </c>
      <c r="B70" s="92"/>
      <c r="C70" s="92"/>
      <c r="D70" s="90">
        <v>1</v>
      </c>
    </row>
    <row r="71" spans="1:4">
      <c r="A71" s="91" t="s">
        <v>68</v>
      </c>
      <c r="B71" s="92"/>
      <c r="C71" s="92"/>
      <c r="D71" s="90">
        <v>2</v>
      </c>
    </row>
    <row r="72" spans="1:4">
      <c r="A72" s="91" t="s">
        <v>69</v>
      </c>
      <c r="B72" s="92"/>
      <c r="C72" s="92"/>
      <c r="D72" s="90">
        <v>3</v>
      </c>
    </row>
    <row r="73" spans="1:4">
      <c r="A73" s="91" t="s">
        <v>70</v>
      </c>
      <c r="B73" s="92"/>
      <c r="C73" s="92"/>
      <c r="D73" s="90">
        <v>4</v>
      </c>
    </row>
    <row r="74" spans="1:4">
      <c r="A74" s="91" t="s">
        <v>71</v>
      </c>
      <c r="B74" s="92"/>
      <c r="C74" s="92"/>
      <c r="D74" s="90">
        <v>5</v>
      </c>
    </row>
    <row r="75" spans="1:4">
      <c r="A75" s="91"/>
      <c r="B75" s="92"/>
      <c r="C75" s="92"/>
      <c r="D75" s="90"/>
    </row>
    <row r="76" spans="1:4" ht="28.9">
      <c r="A76" s="104" t="s">
        <v>72</v>
      </c>
      <c r="B76" s="108" t="s">
        <v>7</v>
      </c>
      <c r="C76" s="108" t="s">
        <v>8</v>
      </c>
      <c r="D76" s="89" t="s">
        <v>9</v>
      </c>
    </row>
    <row r="77" spans="1:4">
      <c r="A77" s="91" t="s">
        <v>73</v>
      </c>
      <c r="B77" s="92"/>
      <c r="C77" s="92"/>
      <c r="D77" s="90">
        <v>1</v>
      </c>
    </row>
    <row r="78" spans="1:4">
      <c r="A78" s="91" t="s">
        <v>74</v>
      </c>
      <c r="B78" s="92"/>
      <c r="C78" s="92"/>
      <c r="D78" s="90">
        <v>2</v>
      </c>
    </row>
    <row r="79" spans="1:4">
      <c r="A79" s="91" t="s">
        <v>75</v>
      </c>
      <c r="B79" s="92"/>
      <c r="C79" s="92"/>
      <c r="D79" s="90">
        <v>3</v>
      </c>
    </row>
    <row r="80" spans="1:4">
      <c r="A80" s="91" t="s">
        <v>76</v>
      </c>
      <c r="B80" s="92"/>
      <c r="C80" s="92"/>
      <c r="D80" s="90">
        <v>4</v>
      </c>
    </row>
    <row r="81" spans="1:4">
      <c r="A81" s="91" t="s">
        <v>77</v>
      </c>
      <c r="B81" s="92"/>
      <c r="C81" s="92"/>
      <c r="D81" s="90">
        <v>5</v>
      </c>
    </row>
    <row r="82" spans="1:4">
      <c r="A82" s="91"/>
      <c r="B82" s="92"/>
      <c r="C82" s="92"/>
      <c r="D82" s="90"/>
    </row>
    <row r="83" spans="1:4" ht="28.9">
      <c r="A83" s="104" t="s">
        <v>78</v>
      </c>
      <c r="B83" s="108" t="s">
        <v>7</v>
      </c>
      <c r="C83" s="108" t="s">
        <v>8</v>
      </c>
      <c r="D83" s="89" t="s">
        <v>9</v>
      </c>
    </row>
    <row r="84" spans="1:4">
      <c r="A84" s="91" t="s">
        <v>79</v>
      </c>
      <c r="B84" s="92"/>
      <c r="C84" s="92"/>
      <c r="D84" s="90">
        <v>1</v>
      </c>
    </row>
    <row r="85" spans="1:4">
      <c r="A85" s="91" t="s">
        <v>80</v>
      </c>
      <c r="B85" s="92"/>
      <c r="C85" s="92"/>
      <c r="D85" s="90">
        <v>2</v>
      </c>
    </row>
    <row r="86" spans="1:4">
      <c r="A86" s="91" t="s">
        <v>81</v>
      </c>
      <c r="B86" s="92"/>
      <c r="C86" s="92"/>
      <c r="D86" s="90">
        <v>3</v>
      </c>
    </row>
    <row r="87" spans="1:4">
      <c r="A87" s="91" t="s">
        <v>82</v>
      </c>
      <c r="B87" s="92"/>
      <c r="C87" s="92"/>
      <c r="D87" s="90">
        <v>4</v>
      </c>
    </row>
    <row r="88" spans="1:4">
      <c r="A88" s="91" t="s">
        <v>83</v>
      </c>
      <c r="B88" s="92"/>
      <c r="C88" s="92"/>
      <c r="D88" s="90">
        <v>5</v>
      </c>
    </row>
    <row r="89" spans="1:4">
      <c r="A89" s="91"/>
      <c r="B89" s="92"/>
      <c r="C89" s="92"/>
      <c r="D89" s="90"/>
    </row>
    <row r="90" spans="1:4" ht="28.9">
      <c r="A90" s="104" t="s">
        <v>84</v>
      </c>
      <c r="B90" s="108" t="s">
        <v>7</v>
      </c>
      <c r="C90" s="108" t="s">
        <v>8</v>
      </c>
      <c r="D90" s="89" t="s">
        <v>9</v>
      </c>
    </row>
    <row r="91" spans="1:4">
      <c r="A91" s="93" t="s">
        <v>85</v>
      </c>
      <c r="B91" s="95"/>
      <c r="C91" s="95"/>
      <c r="D91" s="90">
        <v>1</v>
      </c>
    </row>
    <row r="92" spans="1:4" ht="28.9">
      <c r="A92" s="93" t="s">
        <v>86</v>
      </c>
      <c r="B92" s="95"/>
      <c r="C92" s="95"/>
      <c r="D92" s="90">
        <v>2</v>
      </c>
    </row>
    <row r="93" spans="1:4" ht="28.9">
      <c r="A93" s="93" t="s">
        <v>87</v>
      </c>
      <c r="B93" s="95"/>
      <c r="C93" s="95"/>
      <c r="D93" s="90">
        <v>3</v>
      </c>
    </row>
    <row r="94" spans="1:4" ht="28.9">
      <c r="A94" s="93" t="s">
        <v>88</v>
      </c>
      <c r="B94" s="95"/>
      <c r="C94" s="95"/>
      <c r="D94" s="90">
        <v>4</v>
      </c>
    </row>
    <row r="95" spans="1:4">
      <c r="A95" s="93" t="s">
        <v>89</v>
      </c>
      <c r="B95" s="95"/>
      <c r="C95" s="95"/>
      <c r="D95" s="90">
        <v>5</v>
      </c>
    </row>
    <row r="97" spans="1:4" ht="23.45">
      <c r="A97" s="117" t="s">
        <v>90</v>
      </c>
    </row>
    <row r="98" spans="1:4" ht="28.9">
      <c r="A98" s="100" t="s">
        <v>91</v>
      </c>
      <c r="B98" s="109" t="s">
        <v>7</v>
      </c>
      <c r="C98" s="109" t="s">
        <v>8</v>
      </c>
      <c r="D98" s="89" t="s">
        <v>9</v>
      </c>
    </row>
    <row r="99" spans="1:4">
      <c r="A99" s="91" t="s">
        <v>92</v>
      </c>
      <c r="B99" s="92"/>
      <c r="C99" s="92"/>
      <c r="D99" s="90">
        <v>1</v>
      </c>
    </row>
    <row r="100" spans="1:4">
      <c r="A100" s="91" t="s">
        <v>93</v>
      </c>
      <c r="B100" s="92"/>
      <c r="C100" s="92"/>
      <c r="D100" s="90">
        <v>2</v>
      </c>
    </row>
    <row r="101" spans="1:4" ht="28.9">
      <c r="A101" s="91" t="s">
        <v>94</v>
      </c>
      <c r="B101" s="92"/>
      <c r="C101" s="92"/>
      <c r="D101" s="90">
        <v>3</v>
      </c>
    </row>
    <row r="102" spans="1:4">
      <c r="A102" s="91" t="s">
        <v>95</v>
      </c>
      <c r="B102" s="92"/>
      <c r="C102" s="92"/>
      <c r="D102" s="90">
        <v>4</v>
      </c>
    </row>
    <row r="103" spans="1:4">
      <c r="A103" s="91" t="s">
        <v>96</v>
      </c>
      <c r="B103" s="92"/>
      <c r="C103" s="92"/>
      <c r="D103" s="90">
        <v>5</v>
      </c>
    </row>
    <row r="104" spans="1:4">
      <c r="A104" s="91"/>
      <c r="B104" s="92"/>
      <c r="C104" s="92"/>
      <c r="D104" s="90"/>
    </row>
    <row r="105" spans="1:4" ht="28.9">
      <c r="A105" s="100" t="s">
        <v>97</v>
      </c>
      <c r="B105" s="109" t="s">
        <v>7</v>
      </c>
      <c r="C105" s="109" t="s">
        <v>8</v>
      </c>
      <c r="D105" s="89" t="s">
        <v>9</v>
      </c>
    </row>
    <row r="106" spans="1:4">
      <c r="A106" s="91" t="s">
        <v>98</v>
      </c>
      <c r="B106" s="92"/>
      <c r="C106" s="92"/>
      <c r="D106" s="90">
        <v>1</v>
      </c>
    </row>
    <row r="107" spans="1:4">
      <c r="A107" s="91" t="s">
        <v>99</v>
      </c>
      <c r="B107" s="92"/>
      <c r="C107" s="92"/>
      <c r="D107" s="90">
        <v>2</v>
      </c>
    </row>
    <row r="108" spans="1:4" ht="28.9">
      <c r="A108" s="91" t="s">
        <v>100</v>
      </c>
      <c r="B108" s="92"/>
      <c r="C108" s="92"/>
      <c r="D108" s="90">
        <v>3</v>
      </c>
    </row>
    <row r="109" spans="1:4">
      <c r="A109" s="91" t="s">
        <v>101</v>
      </c>
      <c r="B109" s="92"/>
      <c r="C109" s="92"/>
      <c r="D109" s="90">
        <v>4</v>
      </c>
    </row>
    <row r="110" spans="1:4" ht="28.9">
      <c r="A110" s="91" t="s">
        <v>102</v>
      </c>
      <c r="B110" s="92"/>
      <c r="C110" s="92"/>
      <c r="D110" s="90">
        <v>5</v>
      </c>
    </row>
    <row r="111" spans="1:4">
      <c r="A111" s="91"/>
      <c r="B111" s="92"/>
      <c r="C111" s="92"/>
      <c r="D111" s="90"/>
    </row>
    <row r="112" spans="1:4" ht="28.9">
      <c r="A112" s="100" t="s">
        <v>103</v>
      </c>
      <c r="B112" s="109" t="s">
        <v>7</v>
      </c>
      <c r="C112" s="109" t="s">
        <v>8</v>
      </c>
      <c r="D112" s="89" t="s">
        <v>9</v>
      </c>
    </row>
    <row r="113" spans="1:4">
      <c r="A113" s="91" t="s">
        <v>104</v>
      </c>
      <c r="B113" s="92"/>
      <c r="C113" s="92"/>
      <c r="D113" s="90">
        <v>1</v>
      </c>
    </row>
    <row r="114" spans="1:4" ht="28.9">
      <c r="A114" s="91" t="s">
        <v>105</v>
      </c>
      <c r="B114" s="92"/>
      <c r="C114" s="92"/>
      <c r="D114" s="90">
        <v>2</v>
      </c>
    </row>
    <row r="115" spans="1:4">
      <c r="A115" s="91" t="s">
        <v>106</v>
      </c>
      <c r="B115" s="92"/>
      <c r="C115" s="92"/>
      <c r="D115" s="90">
        <v>3</v>
      </c>
    </row>
    <row r="116" spans="1:4">
      <c r="A116" s="91" t="s">
        <v>107</v>
      </c>
      <c r="B116" s="92"/>
      <c r="C116" s="92"/>
      <c r="D116" s="90">
        <v>4</v>
      </c>
    </row>
    <row r="117" spans="1:4">
      <c r="A117" s="91" t="s">
        <v>108</v>
      </c>
      <c r="B117" s="92"/>
      <c r="C117" s="92"/>
      <c r="D117" s="90">
        <v>5</v>
      </c>
    </row>
    <row r="118" spans="1:4">
      <c r="A118" s="91"/>
      <c r="B118" s="92"/>
      <c r="C118" s="92"/>
      <c r="D118" s="90"/>
    </row>
    <row r="119" spans="1:4" ht="28.9">
      <c r="A119" s="100" t="s">
        <v>109</v>
      </c>
      <c r="B119" s="109" t="s">
        <v>7</v>
      </c>
      <c r="C119" s="109" t="s">
        <v>8</v>
      </c>
      <c r="D119" s="89" t="s">
        <v>9</v>
      </c>
    </row>
    <row r="120" spans="1:4">
      <c r="A120" s="91" t="s">
        <v>110</v>
      </c>
      <c r="B120" s="92"/>
      <c r="C120" s="92"/>
      <c r="D120" s="90">
        <v>1</v>
      </c>
    </row>
    <row r="121" spans="1:4">
      <c r="A121" s="91" t="s">
        <v>111</v>
      </c>
      <c r="B121" s="92"/>
      <c r="C121" s="92"/>
      <c r="D121" s="90">
        <v>2</v>
      </c>
    </row>
    <row r="122" spans="1:4" ht="28.9">
      <c r="A122" s="91" t="s">
        <v>112</v>
      </c>
      <c r="B122" s="92"/>
      <c r="C122" s="92"/>
      <c r="D122" s="90">
        <v>3</v>
      </c>
    </row>
    <row r="123" spans="1:4">
      <c r="A123" s="91" t="s">
        <v>113</v>
      </c>
      <c r="B123" s="92"/>
      <c r="C123" s="92"/>
      <c r="D123" s="90">
        <v>4</v>
      </c>
    </row>
    <row r="124" spans="1:4" ht="28.9">
      <c r="A124" s="91" t="s">
        <v>114</v>
      </c>
      <c r="B124" s="92"/>
      <c r="C124" s="92"/>
      <c r="D124" s="90">
        <v>5</v>
      </c>
    </row>
    <row r="125" spans="1:4">
      <c r="A125" s="91"/>
      <c r="B125" s="92"/>
      <c r="C125" s="92"/>
      <c r="D125" s="90"/>
    </row>
    <row r="126" spans="1:4" ht="28.9">
      <c r="A126" s="100" t="s">
        <v>115</v>
      </c>
      <c r="B126" s="109" t="s">
        <v>7</v>
      </c>
      <c r="C126" s="109" t="s">
        <v>8</v>
      </c>
      <c r="D126" s="89" t="s">
        <v>9</v>
      </c>
    </row>
    <row r="127" spans="1:4">
      <c r="A127" s="91" t="s">
        <v>116</v>
      </c>
      <c r="B127" s="92"/>
      <c r="C127" s="92"/>
      <c r="D127" s="90">
        <v>1</v>
      </c>
    </row>
    <row r="128" spans="1:4">
      <c r="A128" s="91" t="s">
        <v>117</v>
      </c>
      <c r="B128" s="92"/>
      <c r="C128" s="92"/>
      <c r="D128" s="90">
        <v>2</v>
      </c>
    </row>
    <row r="129" spans="1:4">
      <c r="A129" s="91" t="s">
        <v>118</v>
      </c>
      <c r="B129" s="92"/>
      <c r="C129" s="92"/>
      <c r="D129" s="90">
        <v>3</v>
      </c>
    </row>
    <row r="130" spans="1:4">
      <c r="A130" s="91" t="s">
        <v>119</v>
      </c>
      <c r="B130" s="92"/>
      <c r="C130" s="92"/>
      <c r="D130" s="90">
        <v>4</v>
      </c>
    </row>
    <row r="131" spans="1:4" ht="28.9">
      <c r="A131" s="91" t="s">
        <v>120</v>
      </c>
      <c r="B131" s="92"/>
      <c r="C131" s="92"/>
      <c r="D131" s="90">
        <v>5</v>
      </c>
    </row>
    <row r="132" spans="1:4">
      <c r="A132" s="91"/>
      <c r="B132" s="92"/>
      <c r="C132" s="92"/>
      <c r="D132" s="90"/>
    </row>
    <row r="133" spans="1:4" ht="28.9">
      <c r="A133" s="101" t="s">
        <v>121</v>
      </c>
      <c r="B133" s="109" t="s">
        <v>7</v>
      </c>
      <c r="C133" s="109" t="s">
        <v>8</v>
      </c>
      <c r="D133" s="89" t="s">
        <v>9</v>
      </c>
    </row>
    <row r="134" spans="1:4">
      <c r="A134" s="93" t="s">
        <v>122</v>
      </c>
      <c r="B134" s="95"/>
      <c r="C134" s="95"/>
      <c r="D134" s="90">
        <v>1</v>
      </c>
    </row>
    <row r="135" spans="1:4" ht="28.9">
      <c r="A135" s="93" t="s">
        <v>123</v>
      </c>
      <c r="B135" s="95"/>
      <c r="C135" s="95"/>
      <c r="D135" s="90">
        <v>2</v>
      </c>
    </row>
    <row r="136" spans="1:4">
      <c r="A136" s="93" t="s">
        <v>124</v>
      </c>
      <c r="B136" s="95"/>
      <c r="C136" s="95"/>
      <c r="D136" s="90">
        <v>3</v>
      </c>
    </row>
    <row r="137" spans="1:4">
      <c r="A137" s="93" t="s">
        <v>125</v>
      </c>
      <c r="B137" s="95"/>
      <c r="C137" s="95"/>
      <c r="D137" s="90">
        <v>4</v>
      </c>
    </row>
    <row r="138" spans="1:4">
      <c r="A138" s="93" t="s">
        <v>126</v>
      </c>
      <c r="B138" s="95"/>
      <c r="C138" s="95"/>
      <c r="D138" s="90">
        <v>5</v>
      </c>
    </row>
    <row r="140" spans="1:4" ht="23.45">
      <c r="A140" s="118" t="s">
        <v>127</v>
      </c>
    </row>
    <row r="141" spans="1:4" ht="28.9">
      <c r="A141" s="99" t="s">
        <v>128</v>
      </c>
      <c r="B141" s="110" t="s">
        <v>7</v>
      </c>
      <c r="C141" s="110" t="s">
        <v>8</v>
      </c>
      <c r="D141" s="89" t="s">
        <v>9</v>
      </c>
    </row>
    <row r="142" spans="1:4">
      <c r="A142" s="91"/>
      <c r="B142" s="92"/>
      <c r="C142" s="92"/>
      <c r="D142" s="90">
        <v>1</v>
      </c>
    </row>
    <row r="143" spans="1:4">
      <c r="A143" s="91" t="s">
        <v>129</v>
      </c>
      <c r="B143" s="92"/>
      <c r="C143" s="92"/>
      <c r="D143" s="90">
        <v>2</v>
      </c>
    </row>
    <row r="144" spans="1:4" ht="28.9">
      <c r="A144" s="91" t="s">
        <v>130</v>
      </c>
      <c r="B144" s="92"/>
      <c r="C144" s="92"/>
      <c r="D144" s="90">
        <v>3</v>
      </c>
    </row>
    <row r="145" spans="1:4">
      <c r="A145" s="91" t="s">
        <v>131</v>
      </c>
      <c r="B145" s="92"/>
      <c r="C145" s="92"/>
      <c r="D145" s="90">
        <v>4</v>
      </c>
    </row>
    <row r="146" spans="1:4">
      <c r="A146" s="91" t="s">
        <v>132</v>
      </c>
      <c r="B146" s="92"/>
      <c r="C146" s="92"/>
      <c r="D146" s="90">
        <v>5</v>
      </c>
    </row>
    <row r="147" spans="1:4">
      <c r="A147" s="91"/>
      <c r="B147" s="92"/>
      <c r="C147" s="92"/>
      <c r="D147" s="90"/>
    </row>
    <row r="148" spans="1:4" ht="28.9">
      <c r="A148" s="99" t="s">
        <v>133</v>
      </c>
      <c r="B148" s="110" t="s">
        <v>7</v>
      </c>
      <c r="C148" s="110" t="s">
        <v>8</v>
      </c>
      <c r="D148" s="89" t="s">
        <v>9</v>
      </c>
    </row>
    <row r="149" spans="1:4">
      <c r="A149" s="91" t="s">
        <v>134</v>
      </c>
      <c r="B149" s="92"/>
      <c r="C149" s="92"/>
      <c r="D149" s="90">
        <v>1</v>
      </c>
    </row>
    <row r="150" spans="1:4">
      <c r="A150" s="91" t="s">
        <v>135</v>
      </c>
      <c r="B150" s="92"/>
      <c r="C150" s="92"/>
      <c r="D150" s="90">
        <v>2</v>
      </c>
    </row>
    <row r="151" spans="1:4" ht="28.9">
      <c r="A151" s="91" t="s">
        <v>136</v>
      </c>
      <c r="B151" s="92"/>
      <c r="C151" s="92"/>
      <c r="D151" s="90">
        <v>3</v>
      </c>
    </row>
    <row r="152" spans="1:4">
      <c r="A152" s="91" t="s">
        <v>137</v>
      </c>
      <c r="B152" s="92"/>
      <c r="C152" s="92"/>
      <c r="D152" s="90">
        <v>4</v>
      </c>
    </row>
    <row r="153" spans="1:4" ht="28.9">
      <c r="A153" s="91" t="s">
        <v>138</v>
      </c>
      <c r="B153" s="92"/>
      <c r="C153" s="92"/>
      <c r="D153" s="90">
        <v>5</v>
      </c>
    </row>
    <row r="154" spans="1:4">
      <c r="A154" s="91"/>
      <c r="B154" s="92"/>
      <c r="C154" s="92"/>
      <c r="D154" s="90"/>
    </row>
    <row r="155" spans="1:4" ht="28.9">
      <c r="A155" s="99" t="s">
        <v>139</v>
      </c>
      <c r="B155" s="110" t="s">
        <v>7</v>
      </c>
      <c r="C155" s="110" t="s">
        <v>8</v>
      </c>
      <c r="D155" s="89" t="s">
        <v>9</v>
      </c>
    </row>
    <row r="156" spans="1:4">
      <c r="A156" s="91" t="s">
        <v>140</v>
      </c>
      <c r="B156" s="92"/>
      <c r="C156" s="92"/>
      <c r="D156" s="90">
        <v>1</v>
      </c>
    </row>
    <row r="157" spans="1:4">
      <c r="A157" s="91" t="s">
        <v>141</v>
      </c>
      <c r="B157" s="92"/>
      <c r="C157" s="92"/>
      <c r="D157" s="90">
        <v>2</v>
      </c>
    </row>
    <row r="158" spans="1:4" ht="28.9">
      <c r="A158" s="91" t="s">
        <v>142</v>
      </c>
      <c r="B158" s="92"/>
      <c r="C158" s="92"/>
      <c r="D158" s="90">
        <v>3</v>
      </c>
    </row>
    <row r="159" spans="1:4" ht="28.9">
      <c r="A159" s="91" t="s">
        <v>143</v>
      </c>
      <c r="B159" s="92"/>
      <c r="C159" s="92"/>
      <c r="D159" s="90">
        <v>4</v>
      </c>
    </row>
    <row r="160" spans="1:4" ht="28.9">
      <c r="A160" s="91" t="s">
        <v>144</v>
      </c>
      <c r="B160" s="92"/>
      <c r="C160" s="92"/>
      <c r="D160" s="90">
        <v>5</v>
      </c>
    </row>
    <row r="161" spans="1:4">
      <c r="A161" s="91"/>
      <c r="B161" s="92"/>
      <c r="C161" s="92"/>
      <c r="D161" s="90"/>
    </row>
    <row r="162" spans="1:4" ht="28.9">
      <c r="A162" s="99" t="s">
        <v>145</v>
      </c>
      <c r="B162" s="110" t="s">
        <v>7</v>
      </c>
      <c r="C162" s="110" t="s">
        <v>8</v>
      </c>
      <c r="D162" s="89" t="s">
        <v>9</v>
      </c>
    </row>
    <row r="163" spans="1:4">
      <c r="A163" s="91"/>
      <c r="B163" s="92"/>
      <c r="C163" s="92"/>
      <c r="D163" s="90">
        <v>1</v>
      </c>
    </row>
    <row r="164" spans="1:4">
      <c r="A164" s="91" t="s">
        <v>146</v>
      </c>
      <c r="B164" s="92"/>
      <c r="C164" s="92"/>
      <c r="D164" s="90">
        <v>2</v>
      </c>
    </row>
    <row r="165" spans="1:4" ht="28.9">
      <c r="A165" s="91" t="s">
        <v>147</v>
      </c>
      <c r="B165" s="92"/>
      <c r="C165" s="92"/>
      <c r="D165" s="90">
        <v>3</v>
      </c>
    </row>
    <row r="166" spans="1:4" ht="28.9">
      <c r="A166" s="91" t="s">
        <v>148</v>
      </c>
      <c r="B166" s="92"/>
      <c r="C166" s="92"/>
      <c r="D166" s="90">
        <v>4</v>
      </c>
    </row>
    <row r="167" spans="1:4" ht="28.9">
      <c r="A167" s="91" t="s">
        <v>149</v>
      </c>
      <c r="B167" s="92"/>
      <c r="C167" s="92"/>
      <c r="D167" s="90">
        <v>5</v>
      </c>
    </row>
    <row r="168" spans="1:4">
      <c r="A168" s="91"/>
      <c r="B168" s="92"/>
      <c r="C168" s="92"/>
      <c r="D168" s="90"/>
    </row>
    <row r="169" spans="1:4" ht="28.9">
      <c r="A169" s="99" t="s">
        <v>150</v>
      </c>
      <c r="B169" s="110" t="s">
        <v>7</v>
      </c>
      <c r="C169" s="110" t="s">
        <v>8</v>
      </c>
      <c r="D169" s="89" t="s">
        <v>9</v>
      </c>
    </row>
    <row r="170" spans="1:4">
      <c r="A170" s="91" t="s">
        <v>151</v>
      </c>
      <c r="B170" s="92"/>
      <c r="C170" s="92"/>
      <c r="D170" s="90">
        <v>1</v>
      </c>
    </row>
    <row r="171" spans="1:4" ht="28.9">
      <c r="A171" s="91" t="s">
        <v>152</v>
      </c>
      <c r="B171" s="92"/>
      <c r="C171" s="92"/>
      <c r="D171" s="90">
        <v>2</v>
      </c>
    </row>
    <row r="172" spans="1:4" ht="28.9">
      <c r="A172" s="91" t="s">
        <v>153</v>
      </c>
      <c r="B172" s="92"/>
      <c r="C172" s="92"/>
      <c r="D172" s="90">
        <v>3</v>
      </c>
    </row>
    <row r="173" spans="1:4" ht="28.9">
      <c r="A173" s="91" t="s">
        <v>154</v>
      </c>
      <c r="B173" s="92"/>
      <c r="C173" s="92"/>
      <c r="D173" s="90">
        <v>4</v>
      </c>
    </row>
    <row r="174" spans="1:4">
      <c r="A174" s="91" t="s">
        <v>155</v>
      </c>
      <c r="B174" s="92"/>
      <c r="C174" s="92"/>
      <c r="D174" s="90">
        <v>5</v>
      </c>
    </row>
    <row r="176" spans="1:4" ht="23.45">
      <c r="A176" s="119" t="s">
        <v>156</v>
      </c>
    </row>
    <row r="177" spans="1:4" ht="28.9">
      <c r="A177" s="98" t="s">
        <v>157</v>
      </c>
      <c r="B177" s="111" t="s">
        <v>7</v>
      </c>
      <c r="C177" s="111" t="s">
        <v>8</v>
      </c>
      <c r="D177" s="89" t="s">
        <v>9</v>
      </c>
    </row>
    <row r="178" spans="1:4">
      <c r="A178" s="91" t="s">
        <v>158</v>
      </c>
      <c r="B178" s="92"/>
      <c r="C178" s="92"/>
      <c r="D178" s="90">
        <v>1</v>
      </c>
    </row>
    <row r="179" spans="1:4">
      <c r="A179" s="91" t="s">
        <v>159</v>
      </c>
      <c r="B179" s="92"/>
      <c r="C179" s="92"/>
      <c r="D179" s="90">
        <v>2</v>
      </c>
    </row>
    <row r="180" spans="1:4">
      <c r="A180" s="91" t="s">
        <v>160</v>
      </c>
      <c r="B180" s="92"/>
      <c r="C180" s="92"/>
      <c r="D180" s="90">
        <v>3</v>
      </c>
    </row>
    <row r="181" spans="1:4" ht="28.9">
      <c r="A181" s="91" t="s">
        <v>161</v>
      </c>
      <c r="B181" s="92"/>
      <c r="C181" s="92"/>
      <c r="D181" s="90">
        <v>4</v>
      </c>
    </row>
    <row r="182" spans="1:4">
      <c r="A182" s="91" t="s">
        <v>162</v>
      </c>
      <c r="B182" s="92"/>
      <c r="C182" s="92"/>
      <c r="D182" s="90">
        <v>5</v>
      </c>
    </row>
    <row r="183" spans="1:4">
      <c r="A183" s="91"/>
      <c r="B183" s="92"/>
      <c r="C183" s="92"/>
      <c r="D183" s="90"/>
    </row>
    <row r="184" spans="1:4" ht="28.9">
      <c r="A184" s="98" t="s">
        <v>163</v>
      </c>
      <c r="B184" s="111" t="s">
        <v>7</v>
      </c>
      <c r="C184" s="111" t="s">
        <v>8</v>
      </c>
      <c r="D184" s="89" t="s">
        <v>9</v>
      </c>
    </row>
    <row r="185" spans="1:4">
      <c r="A185" s="91" t="s">
        <v>164</v>
      </c>
      <c r="B185" s="92"/>
      <c r="C185" s="92"/>
      <c r="D185" s="90">
        <v>1</v>
      </c>
    </row>
    <row r="186" spans="1:4">
      <c r="A186" s="91" t="s">
        <v>165</v>
      </c>
      <c r="B186" s="92"/>
      <c r="C186" s="92"/>
      <c r="D186" s="90">
        <v>2</v>
      </c>
    </row>
    <row r="187" spans="1:4">
      <c r="A187" s="91" t="s">
        <v>166</v>
      </c>
      <c r="B187" s="92"/>
      <c r="C187" s="92"/>
      <c r="D187" s="90">
        <v>3</v>
      </c>
    </row>
    <row r="188" spans="1:4">
      <c r="A188" s="91" t="s">
        <v>167</v>
      </c>
      <c r="B188" s="92"/>
      <c r="C188" s="92"/>
      <c r="D188" s="90">
        <v>4</v>
      </c>
    </row>
    <row r="189" spans="1:4">
      <c r="A189" s="91" t="s">
        <v>168</v>
      </c>
      <c r="B189" s="92"/>
      <c r="C189" s="92"/>
      <c r="D189" s="90">
        <v>5</v>
      </c>
    </row>
    <row r="190" spans="1:4">
      <c r="A190" s="91"/>
      <c r="B190" s="92"/>
      <c r="C190" s="92"/>
      <c r="D190" s="90"/>
    </row>
    <row r="191" spans="1:4" ht="28.9">
      <c r="A191" s="98" t="s">
        <v>169</v>
      </c>
      <c r="B191" s="111" t="s">
        <v>7</v>
      </c>
      <c r="C191" s="111" t="s">
        <v>8</v>
      </c>
      <c r="D191" s="89" t="s">
        <v>9</v>
      </c>
    </row>
    <row r="192" spans="1:4">
      <c r="A192" s="91" t="s">
        <v>170</v>
      </c>
      <c r="B192" s="92"/>
      <c r="C192" s="92"/>
      <c r="D192" s="90">
        <v>1</v>
      </c>
    </row>
    <row r="193" spans="1:4">
      <c r="A193" s="91" t="s">
        <v>171</v>
      </c>
      <c r="B193" s="92"/>
      <c r="C193" s="92"/>
      <c r="D193" s="90">
        <v>2</v>
      </c>
    </row>
    <row r="194" spans="1:4">
      <c r="A194" s="91" t="s">
        <v>172</v>
      </c>
      <c r="B194" s="92"/>
      <c r="C194" s="92"/>
      <c r="D194" s="90">
        <v>3</v>
      </c>
    </row>
    <row r="195" spans="1:4">
      <c r="A195" s="91" t="s">
        <v>173</v>
      </c>
      <c r="B195" s="92"/>
      <c r="C195" s="92"/>
      <c r="D195" s="90">
        <v>4</v>
      </c>
    </row>
    <row r="196" spans="1:4">
      <c r="A196" s="91" t="s">
        <v>174</v>
      </c>
      <c r="B196" s="92"/>
      <c r="C196" s="92"/>
      <c r="D196" s="90">
        <v>5</v>
      </c>
    </row>
    <row r="197" spans="1:4">
      <c r="A197" s="91"/>
      <c r="B197" s="92"/>
      <c r="C197" s="92"/>
      <c r="D197" s="90"/>
    </row>
    <row r="198" spans="1:4" ht="28.9">
      <c r="A198" s="98" t="s">
        <v>175</v>
      </c>
      <c r="B198" s="111" t="s">
        <v>7</v>
      </c>
      <c r="C198" s="111" t="s">
        <v>8</v>
      </c>
      <c r="D198" s="89" t="s">
        <v>9</v>
      </c>
    </row>
    <row r="199" spans="1:4">
      <c r="A199" s="91" t="s">
        <v>176</v>
      </c>
      <c r="B199" s="92"/>
      <c r="C199" s="92"/>
      <c r="D199" s="90">
        <v>1</v>
      </c>
    </row>
    <row r="200" spans="1:4">
      <c r="A200" s="91" t="s">
        <v>177</v>
      </c>
      <c r="B200" s="92"/>
      <c r="C200" s="92"/>
      <c r="D200" s="90">
        <v>2</v>
      </c>
    </row>
    <row r="201" spans="1:4">
      <c r="A201" s="91" t="s">
        <v>178</v>
      </c>
      <c r="B201" s="92"/>
      <c r="C201" s="92"/>
      <c r="D201" s="90">
        <v>3</v>
      </c>
    </row>
    <row r="202" spans="1:4">
      <c r="A202" s="91" t="s">
        <v>179</v>
      </c>
      <c r="B202" s="92"/>
      <c r="C202" s="92"/>
      <c r="D202" s="90">
        <v>4</v>
      </c>
    </row>
    <row r="203" spans="1:4">
      <c r="A203" s="91" t="s">
        <v>180</v>
      </c>
      <c r="B203" s="92"/>
      <c r="C203" s="92"/>
      <c r="D203" s="90">
        <v>5</v>
      </c>
    </row>
    <row r="204" spans="1:4">
      <c r="A204" s="91"/>
      <c r="B204" s="92"/>
      <c r="C204" s="92"/>
      <c r="D204" s="90"/>
    </row>
    <row r="205" spans="1:4" ht="28.9">
      <c r="A205" s="98" t="s">
        <v>181</v>
      </c>
      <c r="B205" s="111" t="s">
        <v>7</v>
      </c>
      <c r="C205" s="111" t="s">
        <v>8</v>
      </c>
      <c r="D205" s="89" t="s">
        <v>9</v>
      </c>
    </row>
    <row r="206" spans="1:4">
      <c r="A206" s="91" t="s">
        <v>182</v>
      </c>
      <c r="B206" s="92"/>
      <c r="C206" s="92"/>
      <c r="D206" s="90">
        <v>1</v>
      </c>
    </row>
    <row r="207" spans="1:4">
      <c r="A207" s="91" t="s">
        <v>183</v>
      </c>
      <c r="B207" s="92"/>
      <c r="C207" s="92"/>
      <c r="D207" s="90">
        <v>2</v>
      </c>
    </row>
    <row r="208" spans="1:4">
      <c r="A208" s="91" t="s">
        <v>184</v>
      </c>
      <c r="B208" s="92"/>
      <c r="C208" s="92"/>
      <c r="D208" s="90">
        <v>3</v>
      </c>
    </row>
    <row r="209" spans="1:4">
      <c r="A209" s="91" t="s">
        <v>185</v>
      </c>
      <c r="B209" s="92"/>
      <c r="C209" s="92"/>
      <c r="D209" s="90">
        <v>4</v>
      </c>
    </row>
    <row r="210" spans="1:4">
      <c r="A210" s="91" t="s">
        <v>186</v>
      </c>
      <c r="B210" s="92"/>
      <c r="C210" s="92"/>
      <c r="D210" s="90">
        <v>5</v>
      </c>
    </row>
    <row r="212" spans="1:4" ht="23.45">
      <c r="A212" s="120" t="s">
        <v>187</v>
      </c>
    </row>
    <row r="213" spans="1:4" ht="28.9">
      <c r="A213" s="97" t="s">
        <v>188</v>
      </c>
      <c r="B213" s="112" t="s">
        <v>7</v>
      </c>
      <c r="C213" s="112" t="s">
        <v>8</v>
      </c>
      <c r="D213" s="89" t="s">
        <v>9</v>
      </c>
    </row>
    <row r="214" spans="1:4">
      <c r="A214" s="91" t="s">
        <v>189</v>
      </c>
      <c r="B214" s="92"/>
      <c r="C214" s="92"/>
      <c r="D214" s="90">
        <v>1</v>
      </c>
    </row>
    <row r="215" spans="1:4">
      <c r="A215" s="91" t="s">
        <v>190</v>
      </c>
      <c r="B215" s="92"/>
      <c r="C215" s="92"/>
      <c r="D215" s="90">
        <v>2</v>
      </c>
    </row>
    <row r="216" spans="1:4" ht="28.9">
      <c r="A216" s="91" t="s">
        <v>191</v>
      </c>
      <c r="B216" s="92"/>
      <c r="C216" s="92"/>
      <c r="D216" s="90">
        <v>3</v>
      </c>
    </row>
    <row r="217" spans="1:4">
      <c r="A217" s="91" t="s">
        <v>192</v>
      </c>
      <c r="B217" s="92"/>
      <c r="C217" s="92"/>
      <c r="D217" s="90">
        <v>4</v>
      </c>
    </row>
    <row r="218" spans="1:4">
      <c r="A218" s="91" t="s">
        <v>193</v>
      </c>
      <c r="B218" s="92"/>
      <c r="C218" s="92"/>
      <c r="D218" s="90">
        <v>5</v>
      </c>
    </row>
    <row r="219" spans="1:4">
      <c r="A219" s="91"/>
      <c r="B219" s="92"/>
      <c r="C219" s="92"/>
      <c r="D219" s="90"/>
    </row>
    <row r="220" spans="1:4" ht="28.9">
      <c r="A220" s="97" t="s">
        <v>194</v>
      </c>
      <c r="B220" s="112" t="s">
        <v>7</v>
      </c>
      <c r="C220" s="112" t="s">
        <v>8</v>
      </c>
      <c r="D220" s="89" t="s">
        <v>9</v>
      </c>
    </row>
    <row r="221" spans="1:4">
      <c r="A221" s="91" t="s">
        <v>195</v>
      </c>
      <c r="B221" s="92"/>
      <c r="C221" s="92"/>
      <c r="D221" s="90">
        <v>1</v>
      </c>
    </row>
    <row r="222" spans="1:4">
      <c r="A222" s="91" t="s">
        <v>196</v>
      </c>
      <c r="B222" s="92"/>
      <c r="C222" s="92"/>
      <c r="D222" s="90">
        <v>2</v>
      </c>
    </row>
    <row r="223" spans="1:4" ht="28.9">
      <c r="A223" s="91" t="s">
        <v>197</v>
      </c>
      <c r="B223" s="92"/>
      <c r="C223" s="92"/>
      <c r="D223" s="90">
        <v>3</v>
      </c>
    </row>
    <row r="224" spans="1:4" ht="28.9">
      <c r="A224" s="91" t="s">
        <v>198</v>
      </c>
      <c r="B224" s="92"/>
      <c r="C224" s="92"/>
      <c r="D224" s="90">
        <v>4</v>
      </c>
    </row>
    <row r="225" spans="1:9">
      <c r="A225" s="91" t="s">
        <v>199</v>
      </c>
      <c r="B225" s="92"/>
      <c r="C225" s="92"/>
      <c r="D225" s="90">
        <v>5</v>
      </c>
    </row>
    <row r="226" spans="1:9">
      <c r="A226" s="91"/>
      <c r="B226" s="92"/>
      <c r="C226" s="92"/>
      <c r="D226" s="90"/>
    </row>
    <row r="227" spans="1:9" ht="28.9">
      <c r="A227" s="97" t="s">
        <v>200</v>
      </c>
      <c r="B227" s="112" t="s">
        <v>7</v>
      </c>
      <c r="C227" s="112" t="s">
        <v>8</v>
      </c>
      <c r="D227" s="89" t="s">
        <v>9</v>
      </c>
    </row>
    <row r="228" spans="1:9">
      <c r="A228" s="91" t="s">
        <v>201</v>
      </c>
      <c r="B228" s="92"/>
      <c r="C228" s="92"/>
      <c r="D228" s="90">
        <v>1</v>
      </c>
    </row>
    <row r="229" spans="1:9">
      <c r="A229" s="91" t="s">
        <v>202</v>
      </c>
      <c r="B229" s="92"/>
      <c r="C229" s="92"/>
      <c r="D229" s="90">
        <v>2</v>
      </c>
    </row>
    <row r="230" spans="1:9">
      <c r="A230" s="91" t="s">
        <v>203</v>
      </c>
      <c r="B230" s="92"/>
      <c r="C230" s="92"/>
      <c r="D230" s="90">
        <v>3</v>
      </c>
    </row>
    <row r="231" spans="1:9">
      <c r="A231" s="91" t="s">
        <v>204</v>
      </c>
      <c r="B231" s="92"/>
      <c r="C231" s="92"/>
      <c r="D231" s="90">
        <v>4</v>
      </c>
    </row>
    <row r="232" spans="1:9">
      <c r="A232" s="91" t="s">
        <v>205</v>
      </c>
      <c r="B232" s="92"/>
      <c r="C232" s="92"/>
      <c r="D232" s="90">
        <v>5</v>
      </c>
    </row>
    <row r="233" spans="1:9">
      <c r="A233" s="91"/>
      <c r="B233" s="92"/>
      <c r="C233" s="92"/>
      <c r="D233" s="90"/>
    </row>
    <row r="234" spans="1:9" ht="28.9">
      <c r="A234" s="97" t="s">
        <v>206</v>
      </c>
      <c r="B234" s="112" t="s">
        <v>7</v>
      </c>
      <c r="C234" s="112" t="s">
        <v>8</v>
      </c>
      <c r="D234" s="89" t="s">
        <v>9</v>
      </c>
    </row>
    <row r="235" spans="1:9">
      <c r="A235" s="113" t="s">
        <v>195</v>
      </c>
      <c r="B235" s="92"/>
      <c r="C235" s="92"/>
      <c r="D235" s="90">
        <v>1</v>
      </c>
    </row>
    <row r="236" spans="1:9">
      <c r="A236" s="91" t="s">
        <v>207</v>
      </c>
      <c r="B236" s="92"/>
      <c r="C236" s="92"/>
      <c r="D236" s="90">
        <v>2</v>
      </c>
    </row>
    <row r="237" spans="1:9" ht="28.9">
      <c r="A237" s="91" t="s">
        <v>208</v>
      </c>
      <c r="B237" s="92"/>
      <c r="C237" s="92"/>
      <c r="D237" s="90">
        <v>3</v>
      </c>
    </row>
    <row r="238" spans="1:9" ht="28.9">
      <c r="A238" s="91" t="s">
        <v>209</v>
      </c>
      <c r="B238" s="92"/>
      <c r="C238" s="92"/>
      <c r="D238" s="90">
        <v>4</v>
      </c>
      <c r="I238" s="106"/>
    </row>
    <row r="239" spans="1:9">
      <c r="A239" s="91" t="s">
        <v>210</v>
      </c>
      <c r="B239" s="92"/>
      <c r="C239" s="92"/>
      <c r="D239" s="90">
        <v>5</v>
      </c>
    </row>
    <row r="240" spans="1:9">
      <c r="A240" s="91"/>
      <c r="B240" s="92"/>
      <c r="C240" s="92"/>
      <c r="D240" s="90"/>
    </row>
    <row r="241" spans="1:4" ht="28.9">
      <c r="A241" s="97" t="s">
        <v>211</v>
      </c>
      <c r="B241" s="112" t="s">
        <v>7</v>
      </c>
      <c r="C241" s="112" t="s">
        <v>8</v>
      </c>
      <c r="D241" s="89" t="s">
        <v>9</v>
      </c>
    </row>
    <row r="242" spans="1:4">
      <c r="A242" s="91" t="s">
        <v>212</v>
      </c>
      <c r="B242" s="92"/>
      <c r="C242" s="92"/>
      <c r="D242" s="90">
        <v>1</v>
      </c>
    </row>
    <row r="243" spans="1:4">
      <c r="A243" s="91" t="s">
        <v>213</v>
      </c>
      <c r="B243" s="92"/>
      <c r="C243" s="92"/>
      <c r="D243" s="90">
        <v>2</v>
      </c>
    </row>
    <row r="244" spans="1:4" ht="28.9">
      <c r="A244" s="91" t="s">
        <v>214</v>
      </c>
      <c r="B244" s="92"/>
      <c r="C244" s="92"/>
      <c r="D244" s="90">
        <v>3</v>
      </c>
    </row>
    <row r="245" spans="1:4" ht="28.9">
      <c r="A245" s="91" t="s">
        <v>215</v>
      </c>
      <c r="B245" s="92"/>
      <c r="C245" s="92"/>
      <c r="D245" s="90">
        <v>4</v>
      </c>
    </row>
    <row r="246" spans="1:4" ht="28.9">
      <c r="A246" s="91" t="s">
        <v>216</v>
      </c>
      <c r="B246" s="92"/>
      <c r="C246" s="92"/>
      <c r="D246" s="90">
        <v>5</v>
      </c>
    </row>
  </sheetData>
  <mergeCells count="3">
    <mergeCell ref="F3:M3"/>
    <mergeCell ref="B3:D3"/>
    <mergeCell ref="F4:M22"/>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AK27"/>
  <sheetViews>
    <sheetView showGridLines="0" zoomScale="80" zoomScaleNormal="80" workbookViewId="0">
      <selection activeCell="AM8" sqref="AM8"/>
    </sheetView>
  </sheetViews>
  <sheetFormatPr defaultColWidth="8.7109375" defaultRowHeight="14.45"/>
  <cols>
    <col min="1" max="1" width="8.7109375" bestFit="1" customWidth="1"/>
    <col min="2" max="4" width="25.7109375" customWidth="1"/>
    <col min="5" max="37" width="6.42578125" style="27" customWidth="1"/>
  </cols>
  <sheetData>
    <row r="1" spans="1:37" s="1" customFormat="1" ht="100.9" customHeight="1">
      <c r="A1" s="36"/>
      <c r="B1" s="37"/>
      <c r="C1" s="37"/>
      <c r="D1" s="38"/>
      <c r="E1" s="39" t="s">
        <v>217</v>
      </c>
      <c r="F1" s="40" t="s">
        <v>217</v>
      </c>
      <c r="G1" s="40" t="s">
        <v>217</v>
      </c>
      <c r="H1" s="40" t="s">
        <v>217</v>
      </c>
      <c r="I1" s="41" t="s">
        <v>217</v>
      </c>
      <c r="J1" s="42" t="s">
        <v>217</v>
      </c>
      <c r="K1" s="39" t="s">
        <v>218</v>
      </c>
      <c r="L1" s="40" t="s">
        <v>218</v>
      </c>
      <c r="M1" s="40" t="s">
        <v>218</v>
      </c>
      <c r="N1" s="40" t="s">
        <v>218</v>
      </c>
      <c r="O1" s="41" t="s">
        <v>218</v>
      </c>
      <c r="P1" s="42" t="s">
        <v>218</v>
      </c>
      <c r="Q1" s="43" t="s">
        <v>219</v>
      </c>
      <c r="R1" s="40" t="s">
        <v>219</v>
      </c>
      <c r="S1" s="40" t="s">
        <v>219</v>
      </c>
      <c r="T1" s="40" t="s">
        <v>219</v>
      </c>
      <c r="U1" s="40" t="s">
        <v>219</v>
      </c>
      <c r="V1" s="41" t="s">
        <v>219</v>
      </c>
      <c r="W1" s="39" t="s">
        <v>220</v>
      </c>
      <c r="X1" s="40" t="s">
        <v>220</v>
      </c>
      <c r="Y1" s="40" t="s">
        <v>220</v>
      </c>
      <c r="Z1" s="40" t="s">
        <v>220</v>
      </c>
      <c r="AA1" s="41" t="s">
        <v>220</v>
      </c>
      <c r="AB1" s="39" t="s">
        <v>221</v>
      </c>
      <c r="AC1" s="40" t="s">
        <v>221</v>
      </c>
      <c r="AD1" s="40" t="s">
        <v>221</v>
      </c>
      <c r="AE1" s="40" t="s">
        <v>221</v>
      </c>
      <c r="AF1" s="42" t="s">
        <v>221</v>
      </c>
      <c r="AG1" s="43" t="s">
        <v>222</v>
      </c>
      <c r="AH1" s="40" t="s">
        <v>222</v>
      </c>
      <c r="AI1" s="40" t="s">
        <v>222</v>
      </c>
      <c r="AJ1" s="40" t="s">
        <v>222</v>
      </c>
      <c r="AK1" s="42" t="s">
        <v>222</v>
      </c>
    </row>
    <row r="2" spans="1:37" s="1" customFormat="1" ht="150.4" customHeight="1">
      <c r="A2" s="8"/>
      <c r="B2" s="9"/>
      <c r="C2" s="9"/>
      <c r="D2" s="10"/>
      <c r="E2" s="11" t="s">
        <v>17</v>
      </c>
      <c r="F2" s="12" t="s">
        <v>23</v>
      </c>
      <c r="G2" s="12" t="s">
        <v>29</v>
      </c>
      <c r="H2" s="12" t="s">
        <v>35</v>
      </c>
      <c r="I2" s="15" t="s">
        <v>41</v>
      </c>
      <c r="J2" s="13" t="s">
        <v>47</v>
      </c>
      <c r="K2" s="11" t="s">
        <v>54</v>
      </c>
      <c r="L2" s="12" t="s">
        <v>60</v>
      </c>
      <c r="M2" s="12" t="s">
        <v>66</v>
      </c>
      <c r="N2" s="12" t="s">
        <v>223</v>
      </c>
      <c r="O2" s="15" t="s">
        <v>78</v>
      </c>
      <c r="P2" s="13" t="s">
        <v>84</v>
      </c>
      <c r="Q2" s="14" t="s">
        <v>91</v>
      </c>
      <c r="R2" s="12" t="s">
        <v>97</v>
      </c>
      <c r="S2" s="12" t="s">
        <v>103</v>
      </c>
      <c r="T2" s="12" t="s">
        <v>109</v>
      </c>
      <c r="U2" s="15" t="s">
        <v>115</v>
      </c>
      <c r="V2" s="15" t="s">
        <v>121</v>
      </c>
      <c r="W2" s="11" t="s">
        <v>128</v>
      </c>
      <c r="X2" s="12" t="s">
        <v>133</v>
      </c>
      <c r="Y2" s="12" t="s">
        <v>139</v>
      </c>
      <c r="Z2" s="12" t="s">
        <v>145</v>
      </c>
      <c r="AA2" s="15" t="s">
        <v>224</v>
      </c>
      <c r="AB2" s="11" t="s">
        <v>157</v>
      </c>
      <c r="AC2" s="12" t="s">
        <v>163</v>
      </c>
      <c r="AD2" s="12" t="s">
        <v>169</v>
      </c>
      <c r="AE2" s="12" t="s">
        <v>225</v>
      </c>
      <c r="AF2" s="13" t="s">
        <v>181</v>
      </c>
      <c r="AG2" s="14" t="s">
        <v>188</v>
      </c>
      <c r="AH2" s="12" t="s">
        <v>194</v>
      </c>
      <c r="AI2" s="12" t="s">
        <v>200</v>
      </c>
      <c r="AJ2" s="12" t="s">
        <v>206</v>
      </c>
      <c r="AK2" s="13" t="s">
        <v>226</v>
      </c>
    </row>
    <row r="3" spans="1:37">
      <c r="A3" s="6" t="s">
        <v>227</v>
      </c>
      <c r="B3" s="2" t="s">
        <v>228</v>
      </c>
      <c r="C3" s="2" t="s">
        <v>229</v>
      </c>
      <c r="D3" s="3" t="s">
        <v>230</v>
      </c>
      <c r="E3" s="16">
        <v>1</v>
      </c>
      <c r="F3" s="17">
        <v>2</v>
      </c>
      <c r="G3" s="17">
        <v>3</v>
      </c>
      <c r="H3" s="17">
        <v>4</v>
      </c>
      <c r="I3" s="20">
        <v>5</v>
      </c>
      <c r="J3" s="18">
        <v>6</v>
      </c>
      <c r="K3" s="16">
        <v>1</v>
      </c>
      <c r="L3" s="17">
        <v>2</v>
      </c>
      <c r="M3" s="17">
        <v>3</v>
      </c>
      <c r="N3" s="17">
        <v>4</v>
      </c>
      <c r="O3" s="20">
        <v>5</v>
      </c>
      <c r="P3" s="18">
        <v>6</v>
      </c>
      <c r="Q3" s="19">
        <v>1</v>
      </c>
      <c r="R3" s="17">
        <v>2</v>
      </c>
      <c r="S3" s="17">
        <v>3</v>
      </c>
      <c r="T3" s="17">
        <v>4</v>
      </c>
      <c r="U3" s="20">
        <v>5</v>
      </c>
      <c r="V3" s="20">
        <v>6</v>
      </c>
      <c r="W3" s="16">
        <v>1</v>
      </c>
      <c r="X3" s="17">
        <v>2</v>
      </c>
      <c r="Y3" s="17">
        <v>3</v>
      </c>
      <c r="Z3" s="17">
        <v>4</v>
      </c>
      <c r="AA3" s="20">
        <v>5</v>
      </c>
      <c r="AB3" s="16">
        <v>1</v>
      </c>
      <c r="AC3" s="17">
        <v>2</v>
      </c>
      <c r="AD3" s="17">
        <v>3</v>
      </c>
      <c r="AE3" s="17">
        <v>4</v>
      </c>
      <c r="AF3" s="18">
        <v>5</v>
      </c>
      <c r="AG3" s="19">
        <v>1</v>
      </c>
      <c r="AH3" s="17">
        <v>2</v>
      </c>
      <c r="AI3" s="17">
        <v>3</v>
      </c>
      <c r="AJ3" s="17">
        <v>4</v>
      </c>
      <c r="AK3" s="18">
        <v>5</v>
      </c>
    </row>
    <row r="4" spans="1:37">
      <c r="A4" s="33" t="s">
        <v>231</v>
      </c>
      <c r="B4" s="5"/>
      <c r="C4" s="5"/>
      <c r="D4" s="5"/>
      <c r="E4" s="21"/>
      <c r="F4" s="22"/>
      <c r="G4" s="22"/>
      <c r="H4" s="22"/>
      <c r="I4" s="22"/>
      <c r="J4" s="23"/>
      <c r="K4" s="21"/>
      <c r="L4" s="22"/>
      <c r="M4" s="22"/>
      <c r="N4" s="22"/>
      <c r="O4" s="22"/>
      <c r="P4" s="23"/>
      <c r="Q4" s="22"/>
      <c r="R4" s="22"/>
      <c r="S4" s="22"/>
      <c r="T4" s="22"/>
      <c r="U4" s="22"/>
      <c r="V4" s="22"/>
      <c r="W4" s="21"/>
      <c r="X4" s="22"/>
      <c r="Y4" s="22"/>
      <c r="Z4" s="22"/>
      <c r="AA4" s="22"/>
      <c r="AB4" s="21"/>
      <c r="AC4" s="22"/>
      <c r="AD4" s="22"/>
      <c r="AE4" s="22"/>
      <c r="AF4" s="23"/>
      <c r="AG4" s="22"/>
      <c r="AH4" s="22"/>
      <c r="AI4" s="22"/>
      <c r="AJ4" s="22"/>
      <c r="AK4" s="23"/>
    </row>
    <row r="5" spans="1:37">
      <c r="A5" s="6">
        <v>1</v>
      </c>
      <c r="B5" s="34" t="s">
        <v>232</v>
      </c>
      <c r="C5" s="2"/>
      <c r="D5" s="3"/>
      <c r="E5" s="44" t="e">
        <f>SUM(Vragenlijst!$B13:$B17)/COUNT(Vragenlijst!$B13:$B17)</f>
        <v>#DIV/0!</v>
      </c>
      <c r="F5" s="45" t="e">
        <f>SUM(Vragenlijst!$B20:$B24)/COUNT(Vragenlijst!$B20:$B24)</f>
        <v>#DIV/0!</v>
      </c>
      <c r="G5" s="45" t="e">
        <f>SUM(Vragenlijst!$B27:$B31)/COUNT(Vragenlijst!$B27:$B31)</f>
        <v>#DIV/0!</v>
      </c>
      <c r="H5" s="45" t="e">
        <f>SUM(Vragenlijst!$B34:$B38)/COUNT(Vragenlijst!$B34:$B38)</f>
        <v>#DIV/0!</v>
      </c>
      <c r="I5" s="45" t="e">
        <f>SUM(Vragenlijst!$B41:$B45)/COUNT(Vragenlijst!$B41:$B45)</f>
        <v>#DIV/0!</v>
      </c>
      <c r="J5" s="46" t="e">
        <f>SUM(Vragenlijst!$B48:$B52)/COUNT(Vragenlijst!$B48:$B52)</f>
        <v>#DIV/0!</v>
      </c>
      <c r="K5" s="44" t="e">
        <f>SUM(Vragenlijst!$B56:$B60)/COUNT(Vragenlijst!$B56:$B60)</f>
        <v>#DIV/0!</v>
      </c>
      <c r="L5" s="45" t="e">
        <f>SUM(Vragenlijst!$B63:$B67)/COUNT(Vragenlijst!$B63:$B67)</f>
        <v>#DIV/0!</v>
      </c>
      <c r="M5" s="47" t="e">
        <f>SUM(Vragenlijst!$B70:$B74)/COUNT(Vragenlijst!$B70:$B74)</f>
        <v>#DIV/0!</v>
      </c>
      <c r="N5" s="45" t="e">
        <f>SUM(Vragenlijst!$B77:$B81)/COUNT(Vragenlijst!$B77:$B81)</f>
        <v>#DIV/0!</v>
      </c>
      <c r="O5" s="48" t="e">
        <f>SUM(Vragenlijst!$B84:$B88)/COUNT(Vragenlijst!$B84:$B88)</f>
        <v>#DIV/0!</v>
      </c>
      <c r="P5" s="46" t="e">
        <f>SUM(Vragenlijst!$B91:$B95)/COUNT(Vragenlijst!$B91:$B95)</f>
        <v>#DIV/0!</v>
      </c>
      <c r="Q5" s="44" t="e">
        <f>SUM(Vragenlijst!$B99:$B103)/COUNT(Vragenlijst!$B99:$B103)</f>
        <v>#DIV/0!</v>
      </c>
      <c r="R5" s="45" t="e">
        <f>SUM(Vragenlijst!$B106:$B110)/COUNT(Vragenlijst!$B106:$B110)</f>
        <v>#DIV/0!</v>
      </c>
      <c r="S5" s="45" t="e">
        <f>SUM(Vragenlijst!$B113:$B117)/COUNT(Vragenlijst!$B113:$B117)</f>
        <v>#DIV/0!</v>
      </c>
      <c r="T5" s="45" t="e">
        <f>SUM(Vragenlijst!$B120:$B124)/COUNT(Vragenlijst!$B120:$B124)</f>
        <v>#DIV/0!</v>
      </c>
      <c r="U5" s="45" t="e">
        <f>SUM(Vragenlijst!$B127:$B131)/COUNT(Vragenlijst!$B134:$B138)</f>
        <v>#DIV/0!</v>
      </c>
      <c r="V5" s="46" t="e">
        <f>SUM(Vragenlijst!$B134:$B138)/COUNT(Vragenlijst!$B134:$B138)</f>
        <v>#DIV/0!</v>
      </c>
      <c r="W5" s="44" t="e">
        <f>SUM(Vragenlijst!$B142:$B146)/COUNT(Vragenlijst!$B142:$B146)</f>
        <v>#DIV/0!</v>
      </c>
      <c r="X5" s="45" t="e">
        <f>SUM(Vragenlijst!$B149:$B153)/COUNT(Vragenlijst!$B149:$B153)</f>
        <v>#DIV/0!</v>
      </c>
      <c r="Y5" s="45" t="e">
        <f>SUM(Vragenlijst!$B156:$B160)/COUNT(Vragenlijst!$B156:$B160)</f>
        <v>#DIV/0!</v>
      </c>
      <c r="Z5" s="45" t="e">
        <f>SUM(Vragenlijst!$B163:$B167)/COUNT(Vragenlijst!$B163:$B167)</f>
        <v>#DIV/0!</v>
      </c>
      <c r="AA5" s="45" t="e">
        <f>SUM(Vragenlijst!$B170:$B174)/COUNT(Vragenlijst!$B170:$B174)</f>
        <v>#DIV/0!</v>
      </c>
      <c r="AB5" s="44" t="e">
        <f>SUM(Vragenlijst!$B178:$B182)/COUNT(Vragenlijst!$B178:$B182)</f>
        <v>#DIV/0!</v>
      </c>
      <c r="AC5" s="45" t="e">
        <f>SUM(Vragenlijst!$B185:$B189)/COUNT(Vragenlijst!$B185:$B189)</f>
        <v>#DIV/0!</v>
      </c>
      <c r="AD5" s="45" t="e">
        <f>SUM(Vragenlijst!$B192:$B196)/COUNT(Vragenlijst!$B192:$B196)</f>
        <v>#DIV/0!</v>
      </c>
      <c r="AE5" s="45" t="e">
        <f>SUM(Vragenlijst!$B199:$B203)/COUNT(Vragenlijst!$B199:$B203)</f>
        <v>#DIV/0!</v>
      </c>
      <c r="AF5" s="46" t="e">
        <f>SUM(Vragenlijst!$B206:$B210)/COUNT(Vragenlijst!$B206:$B210)</f>
        <v>#DIV/0!</v>
      </c>
      <c r="AG5" s="44" t="e">
        <f>SUM(Vragenlijst!$B214:$B218)/COUNT(Vragenlijst!$B214:$B218)</f>
        <v>#DIV/0!</v>
      </c>
      <c r="AH5" s="45" t="e">
        <f>SUM(Vragenlijst!$B221:$B225)/COUNT(Vragenlijst!$B221:$B225)</f>
        <v>#DIV/0!</v>
      </c>
      <c r="AI5" s="45" t="e">
        <f>SUM(Vragenlijst!$B228:$B232)/COUNT(Vragenlijst!$B228:$B232)</f>
        <v>#DIV/0!</v>
      </c>
      <c r="AJ5" s="45" t="e">
        <f>SUM(Vragenlijst!$B235:$B239)/COUNT(Vragenlijst!$B235:$B239)</f>
        <v>#DIV/0!</v>
      </c>
      <c r="AK5" s="46" t="e">
        <f>SUM(Vragenlijst!$B242:$B246)/COUNT(Vragenlijst!$B242:$B246)</f>
        <v>#DIV/0!</v>
      </c>
    </row>
    <row r="6" spans="1:37">
      <c r="A6" s="6">
        <v>2</v>
      </c>
      <c r="B6" s="28" t="s">
        <v>233</v>
      </c>
      <c r="C6" s="2"/>
      <c r="D6" s="3"/>
      <c r="E6" s="24"/>
      <c r="F6" s="25"/>
      <c r="G6" s="25"/>
      <c r="H6" s="25"/>
      <c r="I6" s="29"/>
      <c r="J6" s="26"/>
      <c r="K6" s="24"/>
      <c r="L6" s="29"/>
      <c r="M6" s="32"/>
      <c r="N6" s="30"/>
      <c r="O6" s="35"/>
      <c r="P6" s="26"/>
      <c r="Q6" s="24"/>
      <c r="R6" s="25"/>
      <c r="S6" s="25"/>
      <c r="T6" s="25"/>
      <c r="U6" s="29"/>
      <c r="V6" s="26"/>
      <c r="W6" s="24"/>
      <c r="X6" s="25"/>
      <c r="Y6" s="25"/>
      <c r="Z6" s="25"/>
      <c r="AA6" s="25"/>
      <c r="AB6" s="24"/>
      <c r="AC6" s="25"/>
      <c r="AD6" s="25"/>
      <c r="AE6" s="25"/>
      <c r="AF6" s="26"/>
      <c r="AG6" s="24"/>
      <c r="AH6" s="25"/>
      <c r="AI6" s="25"/>
      <c r="AJ6" s="25"/>
      <c r="AK6" s="26"/>
    </row>
    <row r="7" spans="1:37">
      <c r="A7" s="6">
        <v>3</v>
      </c>
      <c r="B7" s="28" t="s">
        <v>234</v>
      </c>
      <c r="C7" s="2"/>
      <c r="D7" s="3"/>
      <c r="E7" s="24"/>
      <c r="F7" s="25"/>
      <c r="G7" s="25"/>
      <c r="H7" s="25"/>
      <c r="I7" s="29"/>
      <c r="J7" s="26"/>
      <c r="K7" s="24"/>
      <c r="L7" s="25"/>
      <c r="M7" s="32"/>
      <c r="N7" s="25"/>
      <c r="O7" s="29"/>
      <c r="P7" s="26"/>
      <c r="Q7" s="24"/>
      <c r="R7" s="25"/>
      <c r="S7" s="25"/>
      <c r="T7" s="25"/>
      <c r="U7" s="29"/>
      <c r="V7" s="26"/>
      <c r="W7" s="24"/>
      <c r="X7" s="25"/>
      <c r="Y7" s="25"/>
      <c r="Z7" s="25"/>
      <c r="AA7" s="25"/>
      <c r="AB7" s="24"/>
      <c r="AC7" s="25"/>
      <c r="AD7" s="25"/>
      <c r="AE7" s="25"/>
      <c r="AF7" s="26"/>
      <c r="AG7" s="24"/>
      <c r="AH7" s="25"/>
      <c r="AI7" s="25"/>
      <c r="AJ7" s="25"/>
      <c r="AK7" s="26"/>
    </row>
    <row r="8" spans="1:37">
      <c r="A8" s="6">
        <v>4</v>
      </c>
      <c r="B8" s="2"/>
      <c r="C8" s="2"/>
      <c r="D8" s="3"/>
      <c r="E8" s="24"/>
      <c r="F8" s="25"/>
      <c r="G8" s="25"/>
      <c r="H8" s="25"/>
      <c r="I8" s="29"/>
      <c r="J8" s="31"/>
      <c r="K8" s="24"/>
      <c r="L8" s="25"/>
      <c r="M8" s="32"/>
      <c r="N8" s="25"/>
      <c r="O8" s="29"/>
      <c r="P8" s="31"/>
      <c r="Q8" s="24"/>
      <c r="R8" s="25"/>
      <c r="S8" s="25"/>
      <c r="T8" s="25"/>
      <c r="U8" s="29"/>
      <c r="V8" s="26"/>
      <c r="W8" s="24"/>
      <c r="X8" s="25"/>
      <c r="Y8" s="25"/>
      <c r="Z8" s="25"/>
      <c r="AA8" s="25"/>
      <c r="AB8" s="24"/>
      <c r="AC8" s="25"/>
      <c r="AD8" s="25"/>
      <c r="AE8" s="25"/>
      <c r="AF8" s="26"/>
      <c r="AG8" s="24"/>
      <c r="AH8" s="25"/>
      <c r="AI8" s="25"/>
      <c r="AJ8" s="25"/>
      <c r="AK8" s="26"/>
    </row>
    <row r="9" spans="1:37">
      <c r="A9" s="6">
        <v>5</v>
      </c>
      <c r="B9" s="3"/>
      <c r="C9" s="3"/>
      <c r="D9" s="3"/>
      <c r="E9" s="24"/>
      <c r="F9" s="25"/>
      <c r="G9" s="25"/>
      <c r="H9" s="25"/>
      <c r="I9" s="29"/>
      <c r="J9" s="26"/>
      <c r="K9" s="24"/>
      <c r="L9" s="25"/>
      <c r="M9" s="32"/>
      <c r="N9" s="25"/>
      <c r="O9" s="29"/>
      <c r="P9" s="31"/>
      <c r="Q9" s="24"/>
      <c r="R9" s="25"/>
      <c r="S9" s="25"/>
      <c r="T9" s="25"/>
      <c r="U9" s="29"/>
      <c r="V9" s="26"/>
      <c r="W9" s="24"/>
      <c r="X9" s="25"/>
      <c r="Y9" s="25"/>
      <c r="Z9" s="25"/>
      <c r="AA9" s="25"/>
      <c r="AB9" s="24"/>
      <c r="AC9" s="25"/>
      <c r="AD9" s="25"/>
      <c r="AE9" s="25"/>
      <c r="AF9" s="26"/>
      <c r="AG9" s="24"/>
      <c r="AH9" s="25"/>
      <c r="AI9" s="25"/>
      <c r="AJ9" s="25"/>
      <c r="AK9" s="26"/>
    </row>
    <row r="10" spans="1:37">
      <c r="A10" s="6">
        <v>6</v>
      </c>
      <c r="B10" s="2"/>
      <c r="C10" s="2"/>
      <c r="D10" s="3"/>
      <c r="E10" s="24"/>
      <c r="F10" s="25"/>
      <c r="G10" s="25"/>
      <c r="J10" s="26"/>
      <c r="K10" s="24"/>
      <c r="L10" s="25"/>
      <c r="M10" s="32"/>
      <c r="N10" s="25"/>
      <c r="O10" s="29"/>
      <c r="P10" s="31"/>
      <c r="Q10" s="24"/>
      <c r="R10" s="25"/>
      <c r="S10" s="25"/>
      <c r="T10" s="25"/>
      <c r="U10" s="29"/>
      <c r="V10" s="26"/>
      <c r="W10" s="24"/>
      <c r="X10" s="25"/>
      <c r="Y10" s="25"/>
      <c r="Z10" s="25"/>
      <c r="AA10" s="25"/>
      <c r="AB10" s="24"/>
      <c r="AC10" s="25"/>
      <c r="AD10" s="25"/>
      <c r="AE10" s="25"/>
      <c r="AF10" s="26"/>
      <c r="AG10" s="24"/>
      <c r="AH10" s="25"/>
      <c r="AI10" s="25"/>
      <c r="AJ10" s="25"/>
      <c r="AK10" s="26"/>
    </row>
    <row r="11" spans="1:37">
      <c r="A11" s="6">
        <v>7</v>
      </c>
      <c r="B11" s="2"/>
      <c r="C11" s="2"/>
      <c r="D11" s="3"/>
      <c r="E11" s="24"/>
      <c r="F11" s="25"/>
      <c r="G11" s="25"/>
      <c r="H11" s="25"/>
      <c r="I11" s="29"/>
      <c r="J11" s="26"/>
      <c r="K11" s="24"/>
      <c r="L11" s="25"/>
      <c r="M11" s="32"/>
      <c r="N11" s="25"/>
      <c r="O11" s="29"/>
      <c r="P11" s="31"/>
      <c r="Q11" s="24"/>
      <c r="R11" s="25"/>
      <c r="S11" s="25"/>
      <c r="T11" s="25"/>
      <c r="U11" s="29"/>
      <c r="V11" s="26"/>
      <c r="W11" s="24"/>
      <c r="X11" s="25"/>
      <c r="Y11" s="25"/>
      <c r="Z11" s="25"/>
      <c r="AA11" s="25"/>
      <c r="AB11" s="24"/>
      <c r="AC11" s="25"/>
      <c r="AD11" s="25"/>
      <c r="AE11" s="25"/>
      <c r="AF11" s="26"/>
      <c r="AG11" s="24"/>
      <c r="AH11" s="25"/>
      <c r="AI11" s="25"/>
      <c r="AJ11" s="25"/>
      <c r="AK11" s="26"/>
    </row>
    <row r="12" spans="1:37">
      <c r="A12" s="6">
        <v>8</v>
      </c>
      <c r="B12" s="2"/>
      <c r="C12" s="2"/>
      <c r="D12" s="3"/>
      <c r="E12" s="24"/>
      <c r="F12" s="25"/>
      <c r="G12" s="25"/>
      <c r="H12" s="25"/>
      <c r="I12" s="29"/>
      <c r="J12" s="26"/>
      <c r="K12" s="24"/>
      <c r="L12" s="25"/>
      <c r="M12" s="32"/>
      <c r="N12" s="25"/>
      <c r="O12" s="29"/>
      <c r="P12" s="31"/>
      <c r="Q12" s="24"/>
      <c r="R12" s="25"/>
      <c r="S12" s="25"/>
      <c r="T12" s="25"/>
      <c r="U12" s="29"/>
      <c r="V12" s="26"/>
      <c r="W12" s="24"/>
      <c r="X12" s="25"/>
      <c r="Y12" s="25"/>
      <c r="Z12" s="25"/>
      <c r="AA12" s="25"/>
      <c r="AB12" s="24"/>
      <c r="AC12" s="25"/>
      <c r="AD12" s="25"/>
      <c r="AE12" s="32"/>
      <c r="AF12" s="26"/>
      <c r="AG12" s="24"/>
      <c r="AH12" s="25"/>
      <c r="AI12" s="25"/>
      <c r="AJ12" s="32"/>
      <c r="AK12" s="26"/>
    </row>
    <row r="13" spans="1:37">
      <c r="A13" s="6">
        <v>9</v>
      </c>
      <c r="B13" s="2"/>
      <c r="C13" s="2"/>
      <c r="D13" s="3"/>
      <c r="E13" s="24"/>
      <c r="F13" s="25"/>
      <c r="G13" s="25"/>
      <c r="H13" s="25"/>
      <c r="I13" s="29"/>
      <c r="J13" s="26"/>
      <c r="K13" s="24"/>
      <c r="L13" s="25"/>
      <c r="M13" s="32"/>
      <c r="N13" s="25"/>
      <c r="O13" s="29"/>
      <c r="P13" s="31"/>
      <c r="Q13" s="24"/>
      <c r="R13" s="25"/>
      <c r="S13" s="25"/>
      <c r="T13" s="25"/>
      <c r="U13" s="29"/>
      <c r="V13" s="26"/>
      <c r="W13" s="24"/>
      <c r="X13" s="25"/>
      <c r="Y13" s="25"/>
      <c r="Z13" s="25"/>
      <c r="AA13" s="25"/>
      <c r="AB13" s="24"/>
      <c r="AC13" s="25"/>
      <c r="AD13" s="25"/>
      <c r="AE13" s="25"/>
      <c r="AF13" s="26"/>
      <c r="AG13" s="24"/>
      <c r="AH13" s="25"/>
      <c r="AI13" s="25"/>
      <c r="AJ13" s="25"/>
      <c r="AK13" s="26"/>
    </row>
    <row r="14" spans="1:37">
      <c r="A14" s="6">
        <v>10</v>
      </c>
      <c r="B14" s="2"/>
      <c r="C14" s="2"/>
      <c r="D14" s="3"/>
      <c r="E14" s="24"/>
      <c r="F14" s="25"/>
      <c r="G14" s="25"/>
      <c r="H14" s="25"/>
      <c r="I14" s="29"/>
      <c r="J14" s="26"/>
      <c r="K14" s="24"/>
      <c r="L14" s="25"/>
      <c r="M14" s="32"/>
      <c r="N14" s="25"/>
      <c r="O14" s="29"/>
      <c r="P14" s="31"/>
      <c r="Q14" s="24"/>
      <c r="R14" s="25"/>
      <c r="S14" s="25"/>
      <c r="T14" s="25"/>
      <c r="U14" s="29"/>
      <c r="V14" s="26"/>
      <c r="W14" s="24"/>
      <c r="X14" s="25"/>
      <c r="Y14" s="25"/>
      <c r="Z14" s="25"/>
      <c r="AA14" s="25"/>
      <c r="AB14" s="24"/>
      <c r="AC14" s="25"/>
      <c r="AD14" s="25"/>
      <c r="AE14" s="25"/>
      <c r="AF14" s="26"/>
      <c r="AG14" s="24"/>
      <c r="AH14" s="25"/>
      <c r="AI14" s="25"/>
      <c r="AJ14" s="25"/>
      <c r="AK14" s="26"/>
    </row>
    <row r="15" spans="1:37">
      <c r="A15" s="7"/>
      <c r="C15" s="4"/>
    </row>
    <row r="16" spans="1:37">
      <c r="A16" s="33" t="s">
        <v>235</v>
      </c>
      <c r="B16" s="5"/>
      <c r="C16" s="5"/>
      <c r="D16" s="5"/>
      <c r="E16" s="21"/>
      <c r="F16" s="22"/>
      <c r="G16" s="22"/>
      <c r="H16" s="22"/>
      <c r="I16" s="22"/>
      <c r="J16" s="23"/>
      <c r="K16" s="21"/>
      <c r="L16" s="22"/>
      <c r="M16" s="22"/>
      <c r="N16" s="22"/>
      <c r="O16" s="22"/>
      <c r="P16" s="23"/>
      <c r="Q16" s="22"/>
      <c r="R16" s="22"/>
      <c r="S16" s="22"/>
      <c r="T16" s="22"/>
      <c r="U16" s="22"/>
      <c r="V16" s="22"/>
      <c r="W16" s="21"/>
      <c r="X16" s="22"/>
      <c r="Y16" s="22"/>
      <c r="Z16" s="22"/>
      <c r="AA16" s="22"/>
      <c r="AB16" s="22"/>
      <c r="AC16" s="22"/>
      <c r="AD16" s="22"/>
      <c r="AE16" s="22"/>
      <c r="AF16" s="23"/>
      <c r="AG16" s="22"/>
      <c r="AH16" s="22"/>
      <c r="AI16" s="22"/>
      <c r="AJ16" s="22"/>
      <c r="AK16" s="23"/>
    </row>
    <row r="17" spans="1:37">
      <c r="A17" s="6" t="s">
        <v>227</v>
      </c>
      <c r="B17" s="2" t="s">
        <v>228</v>
      </c>
      <c r="C17" s="2" t="s">
        <v>229</v>
      </c>
      <c r="D17" s="3" t="s">
        <v>230</v>
      </c>
      <c r="E17" s="16">
        <v>1</v>
      </c>
      <c r="F17" s="17">
        <v>2</v>
      </c>
      <c r="G17" s="17">
        <v>3</v>
      </c>
      <c r="H17" s="17">
        <v>4</v>
      </c>
      <c r="I17" s="20">
        <v>5</v>
      </c>
      <c r="J17" s="18">
        <v>6</v>
      </c>
      <c r="K17" s="16">
        <v>1</v>
      </c>
      <c r="L17" s="17">
        <v>2</v>
      </c>
      <c r="M17" s="17">
        <v>3</v>
      </c>
      <c r="N17" s="17">
        <v>4</v>
      </c>
      <c r="O17" s="20">
        <v>5</v>
      </c>
      <c r="P17" s="18">
        <v>6</v>
      </c>
      <c r="Q17" s="19">
        <v>1</v>
      </c>
      <c r="R17" s="17">
        <v>2</v>
      </c>
      <c r="S17" s="17">
        <v>3</v>
      </c>
      <c r="T17" s="17">
        <v>4</v>
      </c>
      <c r="U17" s="20">
        <v>5</v>
      </c>
      <c r="V17" s="20">
        <v>6</v>
      </c>
      <c r="W17" s="16">
        <v>1</v>
      </c>
      <c r="X17" s="17">
        <v>2</v>
      </c>
      <c r="Y17" s="17">
        <v>3</v>
      </c>
      <c r="Z17" s="17">
        <v>4</v>
      </c>
      <c r="AA17" s="17">
        <v>5</v>
      </c>
      <c r="AB17" s="19">
        <v>1</v>
      </c>
      <c r="AC17" s="17">
        <v>2</v>
      </c>
      <c r="AD17" s="17">
        <v>3</v>
      </c>
      <c r="AE17" s="17">
        <v>4</v>
      </c>
      <c r="AF17" s="18">
        <v>5</v>
      </c>
      <c r="AG17" s="19">
        <v>1</v>
      </c>
      <c r="AH17" s="17">
        <v>2</v>
      </c>
      <c r="AI17" s="17">
        <v>3</v>
      </c>
      <c r="AJ17" s="17">
        <v>4</v>
      </c>
      <c r="AK17" s="18">
        <v>5</v>
      </c>
    </row>
    <row r="18" spans="1:37">
      <c r="A18" s="6">
        <f t="shared" ref="A18:D27" si="0">A5</f>
        <v>1</v>
      </c>
      <c r="B18" s="34" t="str">
        <f t="shared" si="0"/>
        <v>Jijzelf (verplicht)</v>
      </c>
      <c r="C18" s="2">
        <f t="shared" si="0"/>
        <v>0</v>
      </c>
      <c r="D18" s="2">
        <f t="shared" si="0"/>
        <v>0</v>
      </c>
      <c r="E18" s="44" t="e">
        <f>SUM(Vragenlijst!$C13:$C17)/COUNT(Vragenlijst!$C13:$C17)</f>
        <v>#DIV/0!</v>
      </c>
      <c r="F18" s="45" t="e">
        <f>SUM(Vragenlijst!$C20:$C24)/COUNT(Vragenlijst!$C20:$C24)</f>
        <v>#DIV/0!</v>
      </c>
      <c r="G18" s="45" t="e">
        <f>SUM(Vragenlijst!$C27:$C31)/COUNT(Vragenlijst!$C27:$C31)</f>
        <v>#DIV/0!</v>
      </c>
      <c r="H18" s="45" t="e">
        <f>SUM(Vragenlijst!$C34:$C38)/COUNT(Vragenlijst!$C34:$C38)</f>
        <v>#DIV/0!</v>
      </c>
      <c r="I18" s="45" t="e">
        <f>SUM(Vragenlijst!$C41:$C45)/COUNT(Vragenlijst!$C41:$C45)</f>
        <v>#DIV/0!</v>
      </c>
      <c r="J18" s="46" t="e">
        <f>SUM(Vragenlijst!$C48:$C52)/COUNT(Vragenlijst!$C48:$C52)</f>
        <v>#DIV/0!</v>
      </c>
      <c r="K18" s="44" t="e">
        <f>SUM(Vragenlijst!$C56:$C60)/COUNT(Vragenlijst!$C56:$C60)</f>
        <v>#DIV/0!</v>
      </c>
      <c r="L18" s="45" t="e">
        <f>SUM(Vragenlijst!$C63:$C67)/COUNT(Vragenlijst!$C63:$C67)</f>
        <v>#DIV/0!</v>
      </c>
      <c r="M18" s="47" t="e">
        <f>SUM(Vragenlijst!$C70:$C74)/COUNT(Vragenlijst!$C70:$C74)</f>
        <v>#DIV/0!</v>
      </c>
      <c r="N18" s="45" t="e">
        <f>SUM(Vragenlijst!$C77:$C81)/COUNT(Vragenlijst!$C77:$C81)</f>
        <v>#DIV/0!</v>
      </c>
      <c r="O18" s="48" t="e">
        <f>SUM(Vragenlijst!$C84:$C88)/COUNT(Vragenlijst!$C84:$C88)</f>
        <v>#DIV/0!</v>
      </c>
      <c r="P18" s="46" t="e">
        <f>SUM(Vragenlijst!$C91:$C95)/COUNT(Vragenlijst!$C91:$C95)</f>
        <v>#DIV/0!</v>
      </c>
      <c r="Q18" s="44" t="e">
        <f>SUM(Vragenlijst!$C99:$C103)/COUNT(Vragenlijst!$C99:$C103)</f>
        <v>#DIV/0!</v>
      </c>
      <c r="R18" s="45" t="e">
        <f>SUM(Vragenlijst!$C106:$C110)/COUNT(Vragenlijst!$C106:$C110)</f>
        <v>#DIV/0!</v>
      </c>
      <c r="S18" s="45" t="e">
        <f>SUM(Vragenlijst!$C113:$C117)/COUNT(Vragenlijst!$C113:$C117)</f>
        <v>#DIV/0!</v>
      </c>
      <c r="T18" s="45" t="e">
        <f>SUM(Vragenlijst!$C120:$C124)/COUNT(Vragenlijst!$C120:$C124)</f>
        <v>#DIV/0!</v>
      </c>
      <c r="U18" s="45" t="e">
        <f>SUM(Vragenlijst!$C127:$C131)/COUNT(Vragenlijst!$C127:$C131)</f>
        <v>#DIV/0!</v>
      </c>
      <c r="V18" s="46" t="e">
        <f>SUM(Vragenlijst!$C134:$C138)/COUNT(Vragenlijst!$C134:$C138)</f>
        <v>#DIV/0!</v>
      </c>
      <c r="W18" s="44" t="e">
        <f>SUM(Vragenlijst!$C142:$C146)/COUNT(Vragenlijst!$C142:$C146)</f>
        <v>#DIV/0!</v>
      </c>
      <c r="X18" s="45" t="e">
        <f>SUM(Vragenlijst!$C149:$C153)/COUNT(Vragenlijst!$C149:$C153)</f>
        <v>#DIV/0!</v>
      </c>
      <c r="Y18" s="45" t="e">
        <f>SUM(Vragenlijst!$C156:$C160)/COUNT(Vragenlijst!$C156:$C160)</f>
        <v>#DIV/0!</v>
      </c>
      <c r="Z18" s="45" t="e">
        <f>SUM(Vragenlijst!$C163:$C167)/COUNT(Vragenlijst!$C163:$C167)</f>
        <v>#DIV/0!</v>
      </c>
      <c r="AA18" s="45" t="e">
        <f>SUM(Vragenlijst!$C170:$C174)/COUNT(Vragenlijst!$C170:$C174)</f>
        <v>#DIV/0!</v>
      </c>
      <c r="AB18" s="44" t="e">
        <f>SUM(Vragenlijst!$C178:$C182)/COUNT(Vragenlijst!$C178:$C182)</f>
        <v>#DIV/0!</v>
      </c>
      <c r="AC18" s="45" t="e">
        <f>SUM(Vragenlijst!$C185:$C189)/COUNT(Vragenlijst!$C185:$C189)</f>
        <v>#DIV/0!</v>
      </c>
      <c r="AD18" s="45" t="e">
        <f>SUM(Vragenlijst!$C192:$C196)/COUNT(Vragenlijst!$C192:$C196)</f>
        <v>#DIV/0!</v>
      </c>
      <c r="AE18" s="45" t="e">
        <f>SUM(Vragenlijst!$C199:$C203)/COUNT(Vragenlijst!$C199:$C203)</f>
        <v>#DIV/0!</v>
      </c>
      <c r="AF18" s="46" t="e">
        <f>SUM(Vragenlijst!$C206:$C210)/COUNT(Vragenlijst!$C206:$C210)</f>
        <v>#DIV/0!</v>
      </c>
      <c r="AG18" s="44" t="e">
        <f>SUM(Vragenlijst!$C214:$C218)/COUNT(Vragenlijst!$C214:$C218)</f>
        <v>#DIV/0!</v>
      </c>
      <c r="AH18" s="45" t="e">
        <f>SUM(Vragenlijst!$C221:$C225)/COUNT(Vragenlijst!$C221:$C225)</f>
        <v>#DIV/0!</v>
      </c>
      <c r="AI18" s="45" t="e">
        <f>SUM(Vragenlijst!$C228:$C232)/COUNT(Vragenlijst!$C228:$C232)</f>
        <v>#DIV/0!</v>
      </c>
      <c r="AJ18" s="45" t="e">
        <f>SUM(Vragenlijst!$C235:$C239)/COUNT(Vragenlijst!$C235:$C239)</f>
        <v>#DIV/0!</v>
      </c>
      <c r="AK18" s="46" t="e">
        <f>SUM(Vragenlijst!$C242:$C246)/COUNT(Vragenlijst!$C242:$C246)</f>
        <v>#DIV/0!</v>
      </c>
    </row>
    <row r="19" spans="1:37">
      <c r="A19" s="6">
        <f t="shared" si="0"/>
        <v>2</v>
      </c>
      <c r="B19" s="28" t="str">
        <f t="shared" si="0"/>
        <v>Feedback gever 1 (optioneel)</v>
      </c>
      <c r="C19" s="2">
        <f t="shared" si="0"/>
        <v>0</v>
      </c>
      <c r="D19" s="2">
        <f t="shared" si="0"/>
        <v>0</v>
      </c>
      <c r="E19" s="24"/>
      <c r="F19" s="25"/>
      <c r="G19" s="25"/>
      <c r="H19" s="25"/>
      <c r="I19" s="29"/>
      <c r="J19" s="26"/>
      <c r="K19" s="24"/>
      <c r="L19" s="25"/>
      <c r="M19" s="25"/>
      <c r="N19" s="25"/>
      <c r="O19" s="29"/>
      <c r="P19" s="26"/>
      <c r="Q19" s="24"/>
      <c r="R19" s="25"/>
      <c r="S19" s="25"/>
      <c r="T19" s="25"/>
      <c r="U19" s="29"/>
      <c r="V19" s="26"/>
      <c r="W19" s="24"/>
      <c r="X19" s="25"/>
      <c r="Y19" s="25"/>
      <c r="Z19" s="25"/>
      <c r="AA19" s="25"/>
      <c r="AB19" s="24"/>
      <c r="AC19" s="25"/>
      <c r="AD19" s="25"/>
      <c r="AE19" s="25"/>
      <c r="AF19" s="26"/>
      <c r="AG19" s="24"/>
      <c r="AH19" s="25"/>
      <c r="AI19" s="25"/>
      <c r="AJ19" s="25"/>
      <c r="AK19" s="26"/>
    </row>
    <row r="20" spans="1:37">
      <c r="A20" s="6">
        <f t="shared" si="0"/>
        <v>3</v>
      </c>
      <c r="B20" s="28" t="str">
        <f t="shared" si="0"/>
        <v>Feedback gever 2 (optioneel)</v>
      </c>
      <c r="C20" s="2">
        <f t="shared" si="0"/>
        <v>0</v>
      </c>
      <c r="D20" s="2">
        <f t="shared" si="0"/>
        <v>0</v>
      </c>
      <c r="E20" s="24"/>
      <c r="F20" s="25"/>
      <c r="G20" s="25"/>
      <c r="H20" s="25"/>
      <c r="I20" s="29"/>
      <c r="J20" s="26"/>
      <c r="K20" s="24"/>
      <c r="L20" s="25"/>
      <c r="M20" s="25"/>
      <c r="N20" s="25"/>
      <c r="O20" s="29"/>
      <c r="P20" s="26"/>
      <c r="Q20" s="24"/>
      <c r="R20" s="25"/>
      <c r="S20" s="25"/>
      <c r="T20" s="25"/>
      <c r="U20" s="29"/>
      <c r="V20" s="26"/>
      <c r="W20" s="24"/>
      <c r="X20" s="25"/>
      <c r="Y20" s="25"/>
      <c r="Z20" s="25"/>
      <c r="AA20" s="25"/>
      <c r="AB20" s="24"/>
      <c r="AC20" s="25"/>
      <c r="AD20" s="25"/>
      <c r="AE20" s="25"/>
      <c r="AF20" s="26"/>
      <c r="AG20" s="24"/>
      <c r="AH20" s="25"/>
      <c r="AI20" s="25"/>
      <c r="AJ20" s="25"/>
      <c r="AK20" s="26"/>
    </row>
    <row r="21" spans="1:37">
      <c r="A21" s="6">
        <f t="shared" si="0"/>
        <v>4</v>
      </c>
      <c r="B21" s="2">
        <f t="shared" si="0"/>
        <v>0</v>
      </c>
      <c r="C21" s="2">
        <f t="shared" si="0"/>
        <v>0</v>
      </c>
      <c r="D21" s="2">
        <f t="shared" si="0"/>
        <v>0</v>
      </c>
      <c r="E21" s="24"/>
      <c r="F21" s="25"/>
      <c r="G21" s="25"/>
      <c r="H21" s="25"/>
      <c r="I21" s="29"/>
      <c r="J21" s="26"/>
      <c r="K21" s="24"/>
      <c r="L21" s="25"/>
      <c r="M21" s="25"/>
      <c r="N21" s="25"/>
      <c r="O21" s="29"/>
      <c r="P21" s="26"/>
      <c r="Q21" s="24"/>
      <c r="R21" s="25"/>
      <c r="S21" s="25"/>
      <c r="T21" s="25"/>
      <c r="U21" s="29"/>
      <c r="V21" s="26"/>
      <c r="W21" s="24"/>
      <c r="X21" s="25"/>
      <c r="Y21" s="25"/>
      <c r="Z21" s="25"/>
      <c r="AA21" s="25"/>
      <c r="AB21" s="24"/>
      <c r="AC21" s="25"/>
      <c r="AD21" s="25"/>
      <c r="AE21" s="25"/>
      <c r="AF21" s="26"/>
      <c r="AG21" s="24"/>
      <c r="AH21" s="25"/>
      <c r="AI21" s="25"/>
      <c r="AJ21" s="25"/>
      <c r="AK21" s="26"/>
    </row>
    <row r="22" spans="1:37">
      <c r="A22" s="6">
        <f t="shared" si="0"/>
        <v>5</v>
      </c>
      <c r="B22" s="2">
        <f t="shared" si="0"/>
        <v>0</v>
      </c>
      <c r="C22" s="2">
        <f t="shared" si="0"/>
        <v>0</v>
      </c>
      <c r="D22" s="2">
        <f t="shared" si="0"/>
        <v>0</v>
      </c>
      <c r="E22" s="24"/>
      <c r="F22" s="25"/>
      <c r="G22" s="25"/>
      <c r="H22" s="25"/>
      <c r="I22" s="29"/>
      <c r="J22" s="26"/>
      <c r="K22" s="24"/>
      <c r="L22" s="25"/>
      <c r="M22" s="25"/>
      <c r="N22" s="25"/>
      <c r="O22" s="29"/>
      <c r="P22" s="26"/>
      <c r="Q22" s="24"/>
      <c r="R22" s="25"/>
      <c r="S22" s="25"/>
      <c r="T22" s="25"/>
      <c r="U22" s="29"/>
      <c r="V22" s="26"/>
      <c r="W22" s="24"/>
      <c r="X22" s="25"/>
      <c r="Y22" s="25"/>
      <c r="Z22" s="25"/>
      <c r="AA22" s="25"/>
      <c r="AB22" s="24"/>
      <c r="AC22" s="25"/>
      <c r="AD22" s="25"/>
      <c r="AE22" s="25"/>
      <c r="AF22" s="26"/>
      <c r="AG22" s="24"/>
      <c r="AH22" s="25"/>
      <c r="AI22" s="25"/>
      <c r="AJ22" s="25"/>
      <c r="AK22" s="26"/>
    </row>
    <row r="23" spans="1:37">
      <c r="A23" s="6">
        <f t="shared" si="0"/>
        <v>6</v>
      </c>
      <c r="B23" s="2">
        <f t="shared" si="0"/>
        <v>0</v>
      </c>
      <c r="C23" s="2">
        <f t="shared" si="0"/>
        <v>0</v>
      </c>
      <c r="D23" s="2">
        <f t="shared" si="0"/>
        <v>0</v>
      </c>
      <c r="E23" s="24"/>
      <c r="F23" s="25"/>
      <c r="G23" s="25"/>
      <c r="H23" s="25"/>
      <c r="I23" s="29"/>
      <c r="J23" s="26"/>
      <c r="K23" s="24"/>
      <c r="L23" s="25"/>
      <c r="M23" s="25"/>
      <c r="N23" s="25"/>
      <c r="O23" s="29"/>
      <c r="P23" s="26"/>
      <c r="Q23" s="24"/>
      <c r="R23" s="25"/>
      <c r="S23" s="25"/>
      <c r="T23" s="25"/>
      <c r="U23" s="29"/>
      <c r="V23" s="26"/>
      <c r="W23" s="24"/>
      <c r="X23" s="25"/>
      <c r="Y23" s="25"/>
      <c r="Z23" s="25"/>
      <c r="AA23" s="25"/>
      <c r="AB23" s="24"/>
      <c r="AC23" s="25"/>
      <c r="AD23" s="25"/>
      <c r="AE23" s="25"/>
      <c r="AF23" s="26"/>
      <c r="AG23" s="24"/>
      <c r="AH23" s="25"/>
      <c r="AI23" s="25"/>
      <c r="AJ23" s="25"/>
      <c r="AK23" s="26"/>
    </row>
    <row r="24" spans="1:37">
      <c r="A24" s="6">
        <f t="shared" si="0"/>
        <v>7</v>
      </c>
      <c r="B24" s="2">
        <f t="shared" si="0"/>
        <v>0</v>
      </c>
      <c r="C24" s="2">
        <f t="shared" si="0"/>
        <v>0</v>
      </c>
      <c r="D24" s="2">
        <f t="shared" si="0"/>
        <v>0</v>
      </c>
      <c r="E24" s="24"/>
      <c r="F24" s="25"/>
      <c r="G24" s="25"/>
      <c r="H24" s="25"/>
      <c r="I24" s="29"/>
      <c r="J24" s="26"/>
      <c r="K24" s="24"/>
      <c r="L24" s="25"/>
      <c r="M24" s="25"/>
      <c r="N24" s="25"/>
      <c r="O24" s="29"/>
      <c r="P24" s="26"/>
      <c r="Q24" s="24"/>
      <c r="R24" s="25"/>
      <c r="S24" s="25"/>
      <c r="T24" s="25"/>
      <c r="U24" s="29"/>
      <c r="V24" s="26"/>
      <c r="W24" s="24"/>
      <c r="X24" s="25"/>
      <c r="Y24" s="25"/>
      <c r="Z24" s="25"/>
      <c r="AA24" s="25"/>
      <c r="AB24" s="24"/>
      <c r="AC24" s="25"/>
      <c r="AD24" s="25"/>
      <c r="AE24" s="25"/>
      <c r="AF24" s="26"/>
      <c r="AG24" s="24"/>
      <c r="AH24" s="25"/>
      <c r="AI24" s="25"/>
      <c r="AJ24" s="25"/>
      <c r="AK24" s="26"/>
    </row>
    <row r="25" spans="1:37">
      <c r="A25" s="6">
        <f t="shared" si="0"/>
        <v>8</v>
      </c>
      <c r="B25" s="2">
        <f t="shared" si="0"/>
        <v>0</v>
      </c>
      <c r="C25" s="2">
        <f t="shared" si="0"/>
        <v>0</v>
      </c>
      <c r="D25" s="2">
        <f t="shared" si="0"/>
        <v>0</v>
      </c>
      <c r="E25" s="24"/>
      <c r="F25" s="25"/>
      <c r="G25" s="25"/>
      <c r="H25" s="25"/>
      <c r="I25" s="29"/>
      <c r="J25" s="26"/>
      <c r="K25" s="24"/>
      <c r="L25" s="25"/>
      <c r="M25" s="25"/>
      <c r="N25" s="25"/>
      <c r="O25" s="29"/>
      <c r="P25" s="26"/>
      <c r="Q25" s="24"/>
      <c r="R25" s="25"/>
      <c r="S25" s="25"/>
      <c r="T25" s="25"/>
      <c r="U25" s="29"/>
      <c r="V25" s="26"/>
      <c r="W25" s="24"/>
      <c r="X25" s="25"/>
      <c r="Y25" s="25"/>
      <c r="Z25" s="25"/>
      <c r="AA25" s="25"/>
      <c r="AB25" s="24"/>
      <c r="AC25" s="25"/>
      <c r="AD25" s="25"/>
      <c r="AE25" s="25"/>
      <c r="AF25" s="26"/>
      <c r="AG25" s="24"/>
      <c r="AH25" s="25"/>
      <c r="AI25" s="25"/>
      <c r="AJ25" s="25"/>
      <c r="AK25" s="26"/>
    </row>
    <row r="26" spans="1:37">
      <c r="A26" s="6">
        <f t="shared" si="0"/>
        <v>9</v>
      </c>
      <c r="B26" s="2">
        <f t="shared" si="0"/>
        <v>0</v>
      </c>
      <c r="C26" s="2">
        <f t="shared" si="0"/>
        <v>0</v>
      </c>
      <c r="D26" s="2">
        <f t="shared" si="0"/>
        <v>0</v>
      </c>
      <c r="E26" s="24"/>
      <c r="F26" s="25"/>
      <c r="G26" s="25"/>
      <c r="H26" s="25"/>
      <c r="I26" s="29"/>
      <c r="J26" s="26"/>
      <c r="K26" s="24"/>
      <c r="L26" s="25"/>
      <c r="M26" s="25"/>
      <c r="N26" s="25"/>
      <c r="O26" s="29"/>
      <c r="P26" s="26"/>
      <c r="Q26" s="24"/>
      <c r="R26" s="25"/>
      <c r="S26" s="25"/>
      <c r="T26" s="25"/>
      <c r="U26" s="29"/>
      <c r="V26" s="26"/>
      <c r="W26" s="24"/>
      <c r="X26" s="25"/>
      <c r="Y26" s="25"/>
      <c r="Z26" s="25"/>
      <c r="AA26" s="25"/>
      <c r="AB26" s="24"/>
      <c r="AC26" s="25"/>
      <c r="AD26" s="25"/>
      <c r="AE26" s="25"/>
      <c r="AF26" s="26"/>
      <c r="AG26" s="24"/>
      <c r="AH26" s="25"/>
      <c r="AI26" s="25"/>
      <c r="AJ26" s="25"/>
      <c r="AK26" s="26"/>
    </row>
    <row r="27" spans="1:37">
      <c r="A27" s="6">
        <f t="shared" si="0"/>
        <v>10</v>
      </c>
      <c r="B27" s="2">
        <f t="shared" si="0"/>
        <v>0</v>
      </c>
      <c r="C27" s="2">
        <f t="shared" si="0"/>
        <v>0</v>
      </c>
      <c r="D27" s="2">
        <f t="shared" si="0"/>
        <v>0</v>
      </c>
      <c r="E27" s="24"/>
      <c r="F27" s="25"/>
      <c r="G27" s="25"/>
      <c r="H27" s="25"/>
      <c r="I27" s="29"/>
      <c r="J27" s="26"/>
      <c r="K27" s="24"/>
      <c r="L27" s="25"/>
      <c r="M27" s="25"/>
      <c r="N27" s="25"/>
      <c r="O27" s="29"/>
      <c r="P27" s="26"/>
      <c r="Q27" s="24"/>
      <c r="R27" s="25"/>
      <c r="S27" s="25"/>
      <c r="T27" s="25"/>
      <c r="U27" s="29"/>
      <c r="V27" s="26"/>
      <c r="W27" s="24"/>
      <c r="X27" s="25"/>
      <c r="Y27" s="25"/>
      <c r="Z27" s="25"/>
      <c r="AA27" s="25"/>
      <c r="AB27" s="24"/>
      <c r="AC27" s="25"/>
      <c r="AD27" s="25"/>
      <c r="AE27" s="25"/>
      <c r="AF27" s="26"/>
      <c r="AG27" s="24"/>
      <c r="AH27" s="25"/>
      <c r="AI27" s="25"/>
      <c r="AJ27" s="25"/>
      <c r="AK27" s="26"/>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A1:AH8"/>
  <sheetViews>
    <sheetView showGridLines="0" topLeftCell="A13" zoomScale="80" zoomScaleNormal="80" workbookViewId="0">
      <selection activeCell="Z43" sqref="Z43"/>
    </sheetView>
  </sheetViews>
  <sheetFormatPr defaultColWidth="8.7109375" defaultRowHeight="14.45"/>
  <cols>
    <col min="1" max="1" width="25" style="50" bestFit="1" customWidth="1"/>
    <col min="2" max="34" width="6.28515625" style="84" customWidth="1"/>
    <col min="35" max="16384" width="8.7109375" style="50"/>
  </cols>
  <sheetData>
    <row r="1" spans="1:34" ht="114">
      <c r="A1" s="52"/>
      <c r="B1" s="53" t="str">
        <f>'Data (NIET BEWERKEN!!)'!E1</f>
        <v>Digital Power Basic Skills</v>
      </c>
      <c r="C1" s="54" t="str">
        <f>'Data (NIET BEWERKEN!!)'!F1</f>
        <v>Digital Power Basic Skills</v>
      </c>
      <c r="D1" s="54" t="str">
        <f>'Data (NIET BEWERKEN!!)'!G1</f>
        <v>Digital Power Basic Skills</v>
      </c>
      <c r="E1" s="54" t="str">
        <f>'Data (NIET BEWERKEN!!)'!H1</f>
        <v>Digital Power Basic Skills</v>
      </c>
      <c r="F1" s="55" t="str">
        <f>'Data (NIET BEWERKEN!!)'!I1</f>
        <v>Digital Power Basic Skills</v>
      </c>
      <c r="G1" s="56" t="str">
        <f>'Data (NIET BEWERKEN!!)'!J1</f>
        <v>Digital Power Basic Skills</v>
      </c>
      <c r="H1" s="53" t="str">
        <f>'Data (NIET BEWERKEN!!)'!K1</f>
        <v>Domein Skills</v>
      </c>
      <c r="I1" s="54" t="str">
        <f>'Data (NIET BEWERKEN!!)'!L1</f>
        <v>Domein Skills</v>
      </c>
      <c r="J1" s="54" t="str">
        <f>'Data (NIET BEWERKEN!!)'!M1</f>
        <v>Domein Skills</v>
      </c>
      <c r="K1" s="54" t="str">
        <f>'Data (NIET BEWERKEN!!)'!N1</f>
        <v>Domein Skills</v>
      </c>
      <c r="L1" s="55" t="str">
        <f>'Data (NIET BEWERKEN!!)'!O1</f>
        <v>Domein Skills</v>
      </c>
      <c r="M1" s="56" t="str">
        <f>'Data (NIET BEWERKEN!!)'!P1</f>
        <v>Domein Skills</v>
      </c>
      <c r="N1" s="57" t="str">
        <f>'Data (NIET BEWERKEN!!)'!Q1</f>
        <v>Hardskills</v>
      </c>
      <c r="O1" s="54" t="str">
        <f>'Data (NIET BEWERKEN!!)'!R1</f>
        <v>Hardskills</v>
      </c>
      <c r="P1" s="54" t="str">
        <f>'Data (NIET BEWERKEN!!)'!S1</f>
        <v>Hardskills</v>
      </c>
      <c r="Q1" s="54" t="str">
        <f>'Data (NIET BEWERKEN!!)'!T1</f>
        <v>Hardskills</v>
      </c>
      <c r="R1" s="54" t="str">
        <f>'Data (NIET BEWERKEN!!)'!U1</f>
        <v>Hardskills</v>
      </c>
      <c r="S1" s="55" t="str">
        <f>'Data (NIET BEWERKEN!!)'!V1</f>
        <v>Hardskills</v>
      </c>
      <c r="T1" s="53" t="str">
        <f>'Data (NIET BEWERKEN!!)'!W1</f>
        <v>Basic Consultancy Skills</v>
      </c>
      <c r="U1" s="54" t="str">
        <f>'Data (NIET BEWERKEN!!)'!X1</f>
        <v>Basic Consultancy Skills</v>
      </c>
      <c r="V1" s="54" t="str">
        <f>'Data (NIET BEWERKEN!!)'!Y1</f>
        <v>Basic Consultancy Skills</v>
      </c>
      <c r="W1" s="54" t="str">
        <f>'Data (NIET BEWERKEN!!)'!Z1</f>
        <v>Basic Consultancy Skills</v>
      </c>
      <c r="X1" s="55" t="str">
        <f>'Data (NIET BEWERKEN!!)'!AA1</f>
        <v>Basic Consultancy Skills</v>
      </c>
      <c r="Y1" s="53" t="str">
        <f>'Data (NIET BEWERKEN!!)'!AB1</f>
        <v>Business Skills</v>
      </c>
      <c r="Z1" s="54" t="str">
        <f>'Data (NIET BEWERKEN!!)'!AC1</f>
        <v>Business Skills</v>
      </c>
      <c r="AA1" s="54" t="str">
        <f>'Data (NIET BEWERKEN!!)'!AD1</f>
        <v>Business Skills</v>
      </c>
      <c r="AB1" s="54" t="str">
        <f>'Data (NIET BEWERKEN!!)'!AE1</f>
        <v>Business Skills</v>
      </c>
      <c r="AC1" s="56" t="str">
        <f>'Data (NIET BEWERKEN!!)'!AF1</f>
        <v>Business Skills</v>
      </c>
      <c r="AD1" s="57" t="str">
        <f>'Data (NIET BEWERKEN!!)'!AG1</f>
        <v>Expert Consultancy Skills</v>
      </c>
      <c r="AE1" s="54" t="str">
        <f>'Data (NIET BEWERKEN!!)'!AH1</f>
        <v>Expert Consultancy Skills</v>
      </c>
      <c r="AF1" s="54" t="str">
        <f>'Data (NIET BEWERKEN!!)'!AI1</f>
        <v>Expert Consultancy Skills</v>
      </c>
      <c r="AG1" s="54" t="str">
        <f>'Data (NIET BEWERKEN!!)'!AJ1</f>
        <v>Expert Consultancy Skills</v>
      </c>
      <c r="AH1" s="56" t="str">
        <f>'Data (NIET BEWERKEN!!)'!AK1</f>
        <v>Expert Consultancy Skills</v>
      </c>
    </row>
    <row r="2" spans="1:34" ht="118.5" customHeight="1">
      <c r="A2" s="58"/>
      <c r="B2" s="59" t="str">
        <f>'Data (NIET BEWERKEN!!)'!E2</f>
        <v>Leren &amp; reflecteren</v>
      </c>
      <c r="C2" s="60" t="str">
        <f>'Data (NIET BEWERKEN!!)'!F2</f>
        <v>Ondersteunen &amp; samenwerken</v>
      </c>
      <c r="D2" s="60" t="str">
        <f>'Data (NIET BEWERKEN!!)'!G2</f>
        <v>Ondernemen &amp; resultaatgericht</v>
      </c>
      <c r="E2" s="60" t="str">
        <f>'Data (NIET BEWERKEN!!)'!H2</f>
        <v>Klantgericht</v>
      </c>
      <c r="F2" s="61" t="str">
        <f>'Data (NIET BEWERKEN!!)'!I2</f>
        <v>Kennisdeling</v>
      </c>
      <c r="G2" s="62" t="str">
        <f>'Data (NIET BEWERKEN!!)'!J2</f>
        <v>Coaching &amp; begeleiding</v>
      </c>
      <c r="H2" s="59" t="str">
        <f>'Data (NIET BEWERKEN!!)'!K2</f>
        <v>Domeinkennis</v>
      </c>
      <c r="I2" s="60" t="str">
        <f>'Data (NIET BEWERKEN!!)'!L2</f>
        <v>Data architectuur</v>
      </c>
      <c r="J2" s="60" t="str">
        <f>'Data (NIET BEWERKEN!!)'!M2</f>
        <v>Informatica</v>
      </c>
      <c r="K2" s="60" t="str">
        <f>'Data (NIET BEWERKEN!!)'!N2</f>
        <v>Data governance
(+AVG +ethiek)</v>
      </c>
      <c r="L2" s="61" t="str">
        <f>'Data (NIET BEWERKEN!!)'!O2</f>
        <v>Data kwaliteit</v>
      </c>
      <c r="M2" s="62" t="str">
        <f>'Data (NIET BEWERKEN!!)'!P2</f>
        <v>Beveiliging</v>
      </c>
      <c r="N2" s="63" t="str">
        <f>'Data (NIET BEWERKEN!!)'!Q2</f>
        <v>Programmeren</v>
      </c>
      <c r="O2" s="60" t="str">
        <f>'Data (NIET BEWERKEN!!)'!R2</f>
        <v>Data verwerking</v>
      </c>
      <c r="P2" s="60" t="str">
        <f>'Data (NIET BEWERKEN!!)'!S2</f>
        <v>Testen en deployments</v>
      </c>
      <c r="Q2" s="60" t="str">
        <f>'Data (NIET BEWERKEN!!)'!T2</f>
        <v>Infrastructuur en cloud oplossingen</v>
      </c>
      <c r="R2" s="60" t="str">
        <f>'Data (NIET BEWERKEN!!)'!U2</f>
        <v>Data modelleren</v>
      </c>
      <c r="S2" s="61" t="str">
        <f>'Data (NIET BEWERKEN!!)'!V2</f>
        <v>Virtualisatie en containerisatie</v>
      </c>
      <c r="T2" s="59" t="str">
        <f>'Data (NIET BEWERKEN!!)'!W2</f>
        <v>Adviseren</v>
      </c>
      <c r="U2" s="60" t="str">
        <f>'Data (NIET BEWERKEN!!)'!X2</f>
        <v>Doortastend &amp; probleemoplossend</v>
      </c>
      <c r="V2" s="60" t="str">
        <f>'Data (NIET BEWERKEN!!)'!Y2</f>
        <v>Interpersoonlijk communicatie</v>
      </c>
      <c r="W2" s="60" t="str">
        <f>'Data (NIET BEWERKEN!!)'!Z2</f>
        <v>Verwachtingsmanagement</v>
      </c>
      <c r="X2" s="61" t="str">
        <f>'Data (NIET BEWERKEN!!)'!AA2</f>
        <v>Schriftelijke en mondelinge communicatie</v>
      </c>
      <c r="Y2" s="59" t="str">
        <f>'Data (NIET BEWERKEN!!)'!AB2</f>
        <v>Organisatie- en managementidentificatie</v>
      </c>
      <c r="Z2" s="60" t="str">
        <f>'Data (NIET BEWERKEN!!)'!AC2</f>
        <v>Strategische conceptualisatie</v>
      </c>
      <c r="AA2" s="60" t="str">
        <f>'Data (NIET BEWERKEN!!)'!AD2</f>
        <v>Projectmanagement</v>
      </c>
      <c r="AB2" s="60" t="str">
        <f>'Data (NIET BEWERKEN!!)'!AE2</f>
        <v>Verandermanagement</v>
      </c>
      <c r="AC2" s="62" t="str">
        <f>'Data (NIET BEWERKEN!!)'!AF2</f>
        <v>Leidinggeven</v>
      </c>
      <c r="AD2" s="63" t="str">
        <f>'Data (NIET BEWERKEN!!)'!AG2</f>
        <v>Situationele communicatie</v>
      </c>
      <c r="AE2" s="60" t="str">
        <f>'Data (NIET BEWERKEN!!)'!AH2</f>
        <v>Doelgerichte &amp; effectieve communicatie</v>
      </c>
      <c r="AF2" s="60" t="str">
        <f>'Data (NIET BEWERKEN!!)'!AI2</f>
        <v>Besluitvaardigheid</v>
      </c>
      <c r="AG2" s="60" t="str">
        <f>'Data (NIET BEWERKEN!!)'!AJ2</f>
        <v>Overtuigen &amp; beinvloeden</v>
      </c>
      <c r="AH2" s="62" t="str">
        <f>'Data (NIET BEWERKEN!!)'!AK2</f>
        <v>Opbouwende feedback &amp; slecht nieuws gesprekken</v>
      </c>
    </row>
    <row r="3" spans="1:34">
      <c r="A3" s="58"/>
      <c r="B3" s="64">
        <v>1</v>
      </c>
      <c r="C3" s="65">
        <v>2</v>
      </c>
      <c r="D3" s="65">
        <v>3</v>
      </c>
      <c r="E3" s="65">
        <v>4</v>
      </c>
      <c r="F3" s="66">
        <v>5</v>
      </c>
      <c r="G3" s="67">
        <v>6</v>
      </c>
      <c r="H3" s="64">
        <v>7</v>
      </c>
      <c r="I3" s="65">
        <v>8</v>
      </c>
      <c r="J3" s="65">
        <v>9</v>
      </c>
      <c r="K3" s="65">
        <v>10</v>
      </c>
      <c r="L3" s="66">
        <v>11</v>
      </c>
      <c r="M3" s="67">
        <v>12</v>
      </c>
      <c r="N3" s="68">
        <v>13</v>
      </c>
      <c r="O3" s="65">
        <v>14</v>
      </c>
      <c r="P3" s="65">
        <v>15</v>
      </c>
      <c r="Q3" s="65">
        <v>16</v>
      </c>
      <c r="R3" s="65">
        <v>17</v>
      </c>
      <c r="S3" s="66">
        <v>18</v>
      </c>
      <c r="T3" s="64">
        <v>19</v>
      </c>
      <c r="U3" s="65">
        <v>20</v>
      </c>
      <c r="V3" s="65">
        <v>21</v>
      </c>
      <c r="W3" s="65">
        <v>22</v>
      </c>
      <c r="X3" s="66">
        <v>23</v>
      </c>
      <c r="Y3" s="64">
        <v>25</v>
      </c>
      <c r="Z3" s="65">
        <v>26</v>
      </c>
      <c r="AA3" s="65">
        <v>27</v>
      </c>
      <c r="AB3" s="65">
        <v>28</v>
      </c>
      <c r="AC3" s="67">
        <v>29</v>
      </c>
      <c r="AD3" s="68">
        <v>30</v>
      </c>
      <c r="AE3" s="65">
        <v>31</v>
      </c>
      <c r="AF3" s="65">
        <v>32</v>
      </c>
      <c r="AG3" s="65">
        <v>33</v>
      </c>
      <c r="AH3" s="67">
        <v>34</v>
      </c>
    </row>
    <row r="4" spans="1:34">
      <c r="A4" s="69" t="s">
        <v>236</v>
      </c>
      <c r="B4" s="70" t="e">
        <f>'Data (NIET BEWERKEN!!)'!E5</f>
        <v>#DIV/0!</v>
      </c>
      <c r="C4" s="71" t="e">
        <f>'Data (NIET BEWERKEN!!)'!F5</f>
        <v>#DIV/0!</v>
      </c>
      <c r="D4" s="71" t="e">
        <f>'Data (NIET BEWERKEN!!)'!G5</f>
        <v>#DIV/0!</v>
      </c>
      <c r="E4" s="71" t="e">
        <f>'Data (NIET BEWERKEN!!)'!H5</f>
        <v>#DIV/0!</v>
      </c>
      <c r="F4" s="72" t="e">
        <f>'Data (NIET BEWERKEN!!)'!I5</f>
        <v>#DIV/0!</v>
      </c>
      <c r="G4" s="73" t="e">
        <f>'Data (NIET BEWERKEN!!)'!J5</f>
        <v>#DIV/0!</v>
      </c>
      <c r="H4" s="70" t="e">
        <f>'Data (NIET BEWERKEN!!)'!K5</f>
        <v>#DIV/0!</v>
      </c>
      <c r="I4" s="71" t="e">
        <f>'Data (NIET BEWERKEN!!)'!L5</f>
        <v>#DIV/0!</v>
      </c>
      <c r="J4" s="71" t="e">
        <f>'Data (NIET BEWERKEN!!)'!M5</f>
        <v>#DIV/0!</v>
      </c>
      <c r="K4" s="71" t="e">
        <f>'Data (NIET BEWERKEN!!)'!N5</f>
        <v>#DIV/0!</v>
      </c>
      <c r="L4" s="72" t="e">
        <f>'Data (NIET BEWERKEN!!)'!O5</f>
        <v>#DIV/0!</v>
      </c>
      <c r="M4" s="73" t="e">
        <f>'Data (NIET BEWERKEN!!)'!P5</f>
        <v>#DIV/0!</v>
      </c>
      <c r="N4" s="70" t="e">
        <f>'Data (NIET BEWERKEN!!)'!Q5</f>
        <v>#DIV/0!</v>
      </c>
      <c r="O4" s="71" t="e">
        <f>'Data (NIET BEWERKEN!!)'!R5</f>
        <v>#DIV/0!</v>
      </c>
      <c r="P4" s="71" t="e">
        <f>'Data (NIET BEWERKEN!!)'!S5</f>
        <v>#DIV/0!</v>
      </c>
      <c r="Q4" s="71" t="e">
        <f>'Data (NIET BEWERKEN!!)'!T5</f>
        <v>#DIV/0!</v>
      </c>
      <c r="R4" s="71" t="e">
        <f>'Data (NIET BEWERKEN!!)'!U5</f>
        <v>#DIV/0!</v>
      </c>
      <c r="S4" s="73" t="e">
        <f>'Data (NIET BEWERKEN!!)'!V5</f>
        <v>#DIV/0!</v>
      </c>
      <c r="T4" s="70" t="e">
        <f>'Data (NIET BEWERKEN!!)'!W5</f>
        <v>#DIV/0!</v>
      </c>
      <c r="U4" s="71" t="e">
        <f>'Data (NIET BEWERKEN!!)'!X5</f>
        <v>#DIV/0!</v>
      </c>
      <c r="V4" s="71" t="e">
        <f>'Data (NIET BEWERKEN!!)'!Y5</f>
        <v>#DIV/0!</v>
      </c>
      <c r="W4" s="71" t="e">
        <f>'Data (NIET BEWERKEN!!)'!Z5</f>
        <v>#DIV/0!</v>
      </c>
      <c r="X4" s="72" t="e">
        <f>'Data (NIET BEWERKEN!!)'!AA5</f>
        <v>#DIV/0!</v>
      </c>
      <c r="Y4" s="70" t="e">
        <f>'Data (NIET BEWERKEN!!)'!AB5</f>
        <v>#DIV/0!</v>
      </c>
      <c r="Z4" s="71" t="e">
        <f>'Data (NIET BEWERKEN!!)'!AC5</f>
        <v>#DIV/0!</v>
      </c>
      <c r="AA4" s="71" t="e">
        <f>'Data (NIET BEWERKEN!!)'!AD5</f>
        <v>#DIV/0!</v>
      </c>
      <c r="AB4" s="71" t="e">
        <f>'Data (NIET BEWERKEN!!)'!AE5</f>
        <v>#DIV/0!</v>
      </c>
      <c r="AC4" s="73" t="e">
        <f>'Data (NIET BEWERKEN!!)'!AF5</f>
        <v>#DIV/0!</v>
      </c>
      <c r="AD4" s="70" t="e">
        <f>'Data (NIET BEWERKEN!!)'!AG5</f>
        <v>#DIV/0!</v>
      </c>
      <c r="AE4" s="71" t="e">
        <f>'Data (NIET BEWERKEN!!)'!AH5</f>
        <v>#DIV/0!</v>
      </c>
      <c r="AF4" s="71" t="e">
        <f>'Data (NIET BEWERKEN!!)'!AI5</f>
        <v>#DIV/0!</v>
      </c>
      <c r="AG4" s="71" t="e">
        <f>'Data (NIET BEWERKEN!!)'!AJ5</f>
        <v>#DIV/0!</v>
      </c>
      <c r="AH4" s="73" t="e">
        <f>'Data (NIET BEWERKEN!!)'!AK5</f>
        <v>#DIV/0!</v>
      </c>
    </row>
    <row r="5" spans="1:34" ht="15" thickBot="1">
      <c r="A5" s="74" t="s">
        <v>237</v>
      </c>
      <c r="B5" s="75"/>
      <c r="C5" s="76"/>
      <c r="D5" s="76"/>
      <c r="E5" s="76"/>
      <c r="F5" s="76"/>
      <c r="G5" s="77" t="e">
        <f>AVERAGE(B4:G4)</f>
        <v>#DIV/0!</v>
      </c>
      <c r="H5" s="75"/>
      <c r="I5" s="76"/>
      <c r="J5" s="76"/>
      <c r="K5" s="76"/>
      <c r="L5" s="76"/>
      <c r="M5" s="77" t="e">
        <f>AVERAGE(H4:M4)</f>
        <v>#DIV/0!</v>
      </c>
      <c r="N5" s="75"/>
      <c r="O5" s="76"/>
      <c r="P5" s="76"/>
      <c r="Q5" s="76"/>
      <c r="R5" s="76"/>
      <c r="S5" s="77" t="e">
        <f>AVERAGE(N4:S4)</f>
        <v>#DIV/0!</v>
      </c>
      <c r="T5" s="75"/>
      <c r="U5" s="76"/>
      <c r="V5" s="76"/>
      <c r="W5" s="76"/>
      <c r="X5" s="77" t="e">
        <f>AVERAGE(T4:X4)</f>
        <v>#DIV/0!</v>
      </c>
      <c r="Y5" s="75"/>
      <c r="Z5" s="76"/>
      <c r="AA5" s="76"/>
      <c r="AB5" s="76"/>
      <c r="AC5" s="77" t="e">
        <f>AVERAGE(Y4:AC4)</f>
        <v>#DIV/0!</v>
      </c>
      <c r="AD5" s="75"/>
      <c r="AE5" s="76"/>
      <c r="AF5" s="76"/>
      <c r="AG5" s="76"/>
      <c r="AH5" s="77" t="e">
        <f>AVERAGE(AD4:AH4)</f>
        <v>#DIV/0!</v>
      </c>
    </row>
    <row r="6" spans="1:34">
      <c r="A6" s="78"/>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row>
    <row r="7" spans="1:34">
      <c r="A7" s="80" t="s">
        <v>238</v>
      </c>
      <c r="B7" s="70" t="e">
        <f>'Data (NIET BEWERKEN!!)'!E18</f>
        <v>#DIV/0!</v>
      </c>
      <c r="C7" s="71" t="e">
        <f>'Data (NIET BEWERKEN!!)'!F18</f>
        <v>#DIV/0!</v>
      </c>
      <c r="D7" s="71" t="e">
        <f>'Data (NIET BEWERKEN!!)'!G18</f>
        <v>#DIV/0!</v>
      </c>
      <c r="E7" s="71" t="e">
        <f>'Data (NIET BEWERKEN!!)'!H18</f>
        <v>#DIV/0!</v>
      </c>
      <c r="F7" s="72" t="e">
        <f>'Data (NIET BEWERKEN!!)'!I18</f>
        <v>#DIV/0!</v>
      </c>
      <c r="G7" s="73" t="e">
        <f>'Data (NIET BEWERKEN!!)'!J18</f>
        <v>#DIV/0!</v>
      </c>
      <c r="H7" s="70" t="e">
        <f>'Data (NIET BEWERKEN!!)'!K18</f>
        <v>#DIV/0!</v>
      </c>
      <c r="I7" s="71" t="e">
        <f>'Data (NIET BEWERKEN!!)'!L18</f>
        <v>#DIV/0!</v>
      </c>
      <c r="J7" s="71" t="e">
        <f>'Data (NIET BEWERKEN!!)'!M18</f>
        <v>#DIV/0!</v>
      </c>
      <c r="K7" s="71" t="e">
        <f>'Data (NIET BEWERKEN!!)'!N18</f>
        <v>#DIV/0!</v>
      </c>
      <c r="L7" s="72" t="e">
        <f>'Data (NIET BEWERKEN!!)'!O18</f>
        <v>#DIV/0!</v>
      </c>
      <c r="M7" s="73" t="e">
        <f>'Data (NIET BEWERKEN!!)'!P18</f>
        <v>#DIV/0!</v>
      </c>
      <c r="N7" s="70" t="e">
        <f>'Data (NIET BEWERKEN!!)'!Q18</f>
        <v>#DIV/0!</v>
      </c>
      <c r="O7" s="71" t="e">
        <f>'Data (NIET BEWERKEN!!)'!R18</f>
        <v>#DIV/0!</v>
      </c>
      <c r="P7" s="71" t="e">
        <f>'Data (NIET BEWERKEN!!)'!S18</f>
        <v>#DIV/0!</v>
      </c>
      <c r="Q7" s="71" t="e">
        <f>'Data (NIET BEWERKEN!!)'!T18</f>
        <v>#DIV/0!</v>
      </c>
      <c r="R7" s="71" t="e">
        <f>'Data (NIET BEWERKEN!!)'!U18</f>
        <v>#DIV/0!</v>
      </c>
      <c r="S7" s="73" t="e">
        <f>'Data (NIET BEWERKEN!!)'!V18</f>
        <v>#DIV/0!</v>
      </c>
      <c r="T7" s="70" t="e">
        <f>'Data (NIET BEWERKEN!!)'!W18</f>
        <v>#DIV/0!</v>
      </c>
      <c r="U7" s="71" t="e">
        <f>'Data (NIET BEWERKEN!!)'!X18</f>
        <v>#DIV/0!</v>
      </c>
      <c r="V7" s="71" t="e">
        <f>'Data (NIET BEWERKEN!!)'!Y18</f>
        <v>#DIV/0!</v>
      </c>
      <c r="W7" s="71" t="e">
        <f>'Data (NIET BEWERKEN!!)'!Z18</f>
        <v>#DIV/0!</v>
      </c>
      <c r="X7" s="71" t="e">
        <f>'Data (NIET BEWERKEN!!)'!AA18</f>
        <v>#DIV/0!</v>
      </c>
      <c r="Y7" s="70" t="e">
        <f>'Data (NIET BEWERKEN!!)'!AB18</f>
        <v>#DIV/0!</v>
      </c>
      <c r="Z7" s="71" t="e">
        <f>'Data (NIET BEWERKEN!!)'!AC18</f>
        <v>#DIV/0!</v>
      </c>
      <c r="AA7" s="71" t="e">
        <f>'Data (NIET BEWERKEN!!)'!AD18</f>
        <v>#DIV/0!</v>
      </c>
      <c r="AB7" s="71" t="e">
        <f>'Data (NIET BEWERKEN!!)'!AE18</f>
        <v>#DIV/0!</v>
      </c>
      <c r="AC7" s="73" t="e">
        <f>'Data (NIET BEWERKEN!!)'!AF18</f>
        <v>#DIV/0!</v>
      </c>
      <c r="AD7" s="70" t="e">
        <f>'Data (NIET BEWERKEN!!)'!AG18</f>
        <v>#DIV/0!</v>
      </c>
      <c r="AE7" s="71" t="e">
        <f>'Data (NIET BEWERKEN!!)'!AH18</f>
        <v>#DIV/0!</v>
      </c>
      <c r="AF7" s="71" t="e">
        <f>'Data (NIET BEWERKEN!!)'!AI18</f>
        <v>#DIV/0!</v>
      </c>
      <c r="AG7" s="71" t="e">
        <f>'Data (NIET BEWERKEN!!)'!AJ18</f>
        <v>#DIV/0!</v>
      </c>
      <c r="AH7" s="73" t="e">
        <f>'Data (NIET BEWERKEN!!)'!AK18</f>
        <v>#DIV/0!</v>
      </c>
    </row>
    <row r="8" spans="1:34" ht="15" thickBot="1">
      <c r="A8" s="81" t="s">
        <v>237</v>
      </c>
      <c r="B8" s="82"/>
      <c r="C8" s="83"/>
      <c r="D8" s="83"/>
      <c r="E8" s="83"/>
      <c r="F8" s="83"/>
      <c r="G8" s="77" t="e">
        <f>AVERAGE(B7:G7)</f>
        <v>#DIV/0!</v>
      </c>
      <c r="H8" s="82"/>
      <c r="I8" s="83"/>
      <c r="J8" s="83"/>
      <c r="K8" s="83"/>
      <c r="L8" s="83"/>
      <c r="M8" s="77" t="e">
        <f>AVERAGE(H7:M7)</f>
        <v>#DIV/0!</v>
      </c>
      <c r="N8" s="82"/>
      <c r="O8" s="83"/>
      <c r="P8" s="83"/>
      <c r="Q8" s="83"/>
      <c r="R8" s="83"/>
      <c r="S8" s="77" t="e">
        <f>AVERAGE(N7:S7)</f>
        <v>#DIV/0!</v>
      </c>
      <c r="T8" s="82"/>
      <c r="U8" s="83"/>
      <c r="V8" s="83"/>
      <c r="W8" s="83"/>
      <c r="X8" s="83" t="e">
        <f>AVERAGE(T7:X7)</f>
        <v>#DIV/0!</v>
      </c>
      <c r="Y8" s="82"/>
      <c r="Z8" s="83"/>
      <c r="AA8" s="83"/>
      <c r="AB8" s="83"/>
      <c r="AC8" s="77" t="e">
        <f>AVERAGE(Y7:AC7)</f>
        <v>#DIV/0!</v>
      </c>
      <c r="AD8" s="82"/>
      <c r="AE8" s="83"/>
      <c r="AF8" s="83"/>
      <c r="AG8" s="83"/>
      <c r="AH8" s="77" t="e">
        <f>AVERAGE(AD7:AH7)</f>
        <v>#DIV/0!</v>
      </c>
    </row>
  </sheetData>
  <conditionalFormatting sqref="AC5 M5 G5 S5">
    <cfRule type="colorScale" priority="10">
      <colorScale>
        <cfvo type="min"/>
        <cfvo type="percentile" val="50"/>
        <cfvo type="max"/>
        <color rgb="FFF8696B"/>
        <color rgb="FFFFEB84"/>
        <color rgb="FF63BE7B"/>
      </colorScale>
    </cfRule>
  </conditionalFormatting>
  <conditionalFormatting sqref="AD4:AH4">
    <cfRule type="colorScale" priority="15">
      <colorScale>
        <cfvo type="min"/>
        <cfvo type="percentile" val="50"/>
        <cfvo type="max"/>
        <color rgb="FFF8696B"/>
        <color rgb="FFFFEB84"/>
        <color rgb="FF63BE7B"/>
      </colorScale>
    </cfRule>
  </conditionalFormatting>
  <conditionalFormatting sqref="AH5">
    <cfRule type="colorScale" priority="16">
      <colorScale>
        <cfvo type="min"/>
        <cfvo type="percentile" val="50"/>
        <cfvo type="max"/>
        <color rgb="FFF8696B"/>
        <color rgb="FFFFEB84"/>
        <color rgb="FF63BE7B"/>
      </colorScale>
    </cfRule>
  </conditionalFormatting>
  <conditionalFormatting sqref="B4:AC4">
    <cfRule type="colorScale" priority="17">
      <colorScale>
        <cfvo type="min"/>
        <cfvo type="percentile" val="50"/>
        <cfvo type="max"/>
        <color rgb="FFF8696B"/>
        <color rgb="FFFFEB84"/>
        <color rgb="FF63BE7B"/>
      </colorScale>
    </cfRule>
  </conditionalFormatting>
  <conditionalFormatting sqref="X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345B4F2-3B30-4162-9FB0-76A0A8117CF5}"/>
</file>

<file path=customXml/itemProps2.xml><?xml version="1.0" encoding="utf-8"?>
<ds:datastoreItem xmlns:ds="http://schemas.openxmlformats.org/officeDocument/2006/customXml" ds:itemID="{B931CFB9-F32C-49D5-B8D0-53B29C36566D}"/>
</file>

<file path=customXml/itemProps3.xml><?xml version="1.0" encoding="utf-8"?>
<ds:datastoreItem xmlns:ds="http://schemas.openxmlformats.org/officeDocument/2006/customXml" ds:itemID="{2F8831F9-55D2-4C2F-A326-040BC0788E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Roy Klip</cp:lastModifiedBy>
  <cp:revision/>
  <dcterms:created xsi:type="dcterms:W3CDTF">2020-11-26T09:31:06Z</dcterms:created>
  <dcterms:modified xsi:type="dcterms:W3CDTF">2022-04-15T15:50:54Z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Order">
    <vt:r8>45358900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