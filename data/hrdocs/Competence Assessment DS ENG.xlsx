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2"/>
  <workbookPr defaultThemeVersion="166925"/>
  <mc:AlternateContent xmlns:mc="http://schemas.openxmlformats.org/markup-compatibility/2006">
    <mc:Choice Requires="x15">
      <x15ac:absPath xmlns:x15ac="http://schemas.microsoft.com/office/spreadsheetml/2010/11/ac" url="https://digitalpower.sharepoint.com/sites/PilotgroepBeoordelingsystematiek/Gedeelde documenten/General/Competentie Assessments/"/>
    </mc:Choice>
  </mc:AlternateContent>
  <xr:revisionPtr revIDLastSave="349" documentId="13_ncr:1_{E53B4E96-0F04-3B45-9AD6-B17F6B5BFE53}" xr6:coauthVersionLast="47" xr6:coauthVersionMax="47" xr10:uidLastSave="{FB8D5B1C-D404-4CB6-8811-B4F1FC200C98}"/>
  <bookViews>
    <workbookView xWindow="-108" yWindow="-108" windowWidth="23256" windowHeight="12720" firstSheet="1" activeTab="2" xr2:uid="{1A6BDAE8-BB84-437C-BCD8-D1E44F47BBAC}"/>
  </bookViews>
  <sheets>
    <sheet name="Theory" sheetId="4" r:id="rId1"/>
    <sheet name="Questions" sheetId="1" r:id="rId2"/>
    <sheet name="Data (DO NOT EDIT!!)" sheetId="3" r:id="rId3"/>
    <sheet name="Results (DO NOT EDIT!!)" sheetId="2" r:id="rId4"/>
  </sheets>
  <externalReferences>
    <externalReference r:id="rId5"/>
    <externalReference r:id="rId6"/>
  </externalReferences>
  <definedNames>
    <definedName name="_xlnm.Print_Area" localSheetId="1">Questions!$A$12:$D$203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 i="2" l="1"/>
  <c r="M7" i="2"/>
  <c r="N7" i="2"/>
  <c r="M4" i="2"/>
  <c r="N4" i="2"/>
  <c r="R8" i="2"/>
  <c r="R5" i="2"/>
  <c r="O8" i="2"/>
  <c r="G8" i="2"/>
  <c r="G5" i="2"/>
  <c r="R1" i="2"/>
  <c r="R2" i="2"/>
  <c r="Q2" i="2"/>
  <c r="Q1" i="2"/>
  <c r="R18" i="3"/>
  <c r="O7" i="2" s="1"/>
  <c r="Q18" i="3"/>
  <c r="P18" i="3"/>
  <c r="R5" i="3"/>
  <c r="O4" i="2" s="1"/>
  <c r="Q5" i="3"/>
  <c r="P5" i="3"/>
  <c r="AJ18" i="3"/>
  <c r="AG7" i="2" s="1"/>
  <c r="AI18" i="3"/>
  <c r="AF7" i="2" s="1"/>
  <c r="AH18" i="3"/>
  <c r="AE7" i="2" s="1"/>
  <c r="AG18" i="3"/>
  <c r="AD7" i="2" s="1"/>
  <c r="AF18" i="3"/>
  <c r="AC7" i="2" s="1"/>
  <c r="AE18" i="3"/>
  <c r="AB7" i="2" s="1"/>
  <c r="AD18" i="3"/>
  <c r="AA7" i="2" s="1"/>
  <c r="AC18" i="3"/>
  <c r="Z7" i="2" s="1"/>
  <c r="AB18" i="3"/>
  <c r="Y7" i="2" s="1"/>
  <c r="AA18" i="3"/>
  <c r="X7" i="2" s="1"/>
  <c r="Z18" i="3"/>
  <c r="W7" i="2" s="1"/>
  <c r="Y18" i="3"/>
  <c r="V7" i="2" s="1"/>
  <c r="X18" i="3"/>
  <c r="U7" i="2" s="1"/>
  <c r="W18" i="3"/>
  <c r="T7" i="2" s="1"/>
  <c r="V18" i="3"/>
  <c r="S7" i="2" s="1"/>
  <c r="U18" i="3"/>
  <c r="R7" i="2" s="1"/>
  <c r="T18" i="3"/>
  <c r="Q7" i="2" s="1"/>
  <c r="S18" i="3"/>
  <c r="P7" i="2" s="1"/>
  <c r="O18" i="3"/>
  <c r="L7" i="2" s="1"/>
  <c r="N18" i="3"/>
  <c r="K7" i="2" s="1"/>
  <c r="M18" i="3"/>
  <c r="J7" i="2" s="1"/>
  <c r="L18" i="3"/>
  <c r="I7" i="2" s="1"/>
  <c r="K18" i="3"/>
  <c r="H7" i="2" s="1"/>
  <c r="J18" i="3"/>
  <c r="G7" i="2" s="1"/>
  <c r="I18" i="3"/>
  <c r="F7" i="2" s="1"/>
  <c r="H18" i="3"/>
  <c r="E7" i="2" s="1"/>
  <c r="G18" i="3"/>
  <c r="D7" i="2" s="1"/>
  <c r="F18" i="3"/>
  <c r="C7" i="2" s="1"/>
  <c r="E18" i="3"/>
  <c r="B7" i="2" s="1"/>
  <c r="E5" i="3"/>
  <c r="B4" i="2" s="1"/>
  <c r="L5" i="3"/>
  <c r="I4" i="2" s="1"/>
  <c r="T5" i="3"/>
  <c r="Q4" i="2" s="1"/>
  <c r="I1" i="2"/>
  <c r="I2" i="2"/>
  <c r="N1" i="2"/>
  <c r="N2" i="2"/>
  <c r="C27" i="3"/>
  <c r="C26" i="3"/>
  <c r="C25" i="3"/>
  <c r="C24" i="3"/>
  <c r="C23" i="3"/>
  <c r="C22" i="3"/>
  <c r="AJ5" i="3"/>
  <c r="AI5" i="3"/>
  <c r="AF4" i="2" s="1"/>
  <c r="AH5" i="3"/>
  <c r="AE4" i="2" s="1"/>
  <c r="AG5" i="3"/>
  <c r="AD4" i="2" s="1"/>
  <c r="AF5" i="3"/>
  <c r="AC4" i="2" s="1"/>
  <c r="AG5" i="2" s="1"/>
  <c r="AE5" i="3"/>
  <c r="AB4" i="2" s="1"/>
  <c r="AD5" i="3"/>
  <c r="AA4" i="2" s="1"/>
  <c r="AC5" i="3"/>
  <c r="Z4" i="2" s="1"/>
  <c r="AB5" i="3"/>
  <c r="Y4" i="2" s="1"/>
  <c r="AA5" i="3"/>
  <c r="X4" i="2" s="1"/>
  <c r="Z5" i="3"/>
  <c r="W4" i="2" s="1"/>
  <c r="Y5" i="3"/>
  <c r="V4" i="2" s="1"/>
  <c r="X5" i="3"/>
  <c r="U4" i="2" s="1"/>
  <c r="W5" i="3"/>
  <c r="T4" i="2" s="1"/>
  <c r="V5" i="3"/>
  <c r="S4" i="2" s="1"/>
  <c r="U5" i="3"/>
  <c r="R4" i="2" s="1"/>
  <c r="S5" i="3"/>
  <c r="P4" i="2" s="1"/>
  <c r="O5" i="3"/>
  <c r="L4" i="2" s="1"/>
  <c r="N5" i="3"/>
  <c r="K4" i="2" s="1"/>
  <c r="M5" i="3"/>
  <c r="J4" i="2" s="1"/>
  <c r="K5" i="3"/>
  <c r="H4" i="2" s="1"/>
  <c r="O5" i="2" s="1"/>
  <c r="J5" i="3"/>
  <c r="G4" i="2" s="1"/>
  <c r="I5" i="3"/>
  <c r="F4" i="2" s="1"/>
  <c r="H5" i="3"/>
  <c r="E4" i="2" s="1"/>
  <c r="G5" i="3"/>
  <c r="D4" i="2" s="1"/>
  <c r="F5" i="3"/>
  <c r="C4" i="2" s="1"/>
  <c r="AB5" i="2" l="1"/>
  <c r="W5" i="2"/>
  <c r="W8" i="2"/>
  <c r="AB8" i="2"/>
  <c r="AG8" i="2"/>
  <c r="AG2" i="2"/>
  <c r="AF2" i="2"/>
  <c r="AE2" i="2"/>
  <c r="AD2" i="2"/>
  <c r="AC2" i="2"/>
  <c r="AB2" i="2"/>
  <c r="AA2" i="2"/>
  <c r="Z2" i="2"/>
  <c r="Y2" i="2"/>
  <c r="X2" i="2"/>
  <c r="W2" i="2"/>
  <c r="V2" i="2"/>
  <c r="U2" i="2"/>
  <c r="T2" i="2"/>
  <c r="S2" i="2"/>
  <c r="P2" i="2"/>
  <c r="O2" i="2"/>
  <c r="M2" i="2"/>
  <c r="L2" i="2"/>
  <c r="K2" i="2"/>
  <c r="J2" i="2"/>
  <c r="H2" i="2"/>
  <c r="G2" i="2"/>
  <c r="F2" i="2"/>
  <c r="E2" i="2"/>
  <c r="D2" i="2"/>
  <c r="C2" i="2"/>
  <c r="AG1" i="2"/>
  <c r="AF1" i="2"/>
  <c r="AE1" i="2"/>
  <c r="AD1" i="2"/>
  <c r="AC1" i="2"/>
  <c r="AB1" i="2"/>
  <c r="AA1" i="2"/>
  <c r="Z1" i="2"/>
  <c r="Y1" i="2"/>
  <c r="X1" i="2"/>
  <c r="W1" i="2"/>
  <c r="V1" i="2"/>
  <c r="U1" i="2"/>
  <c r="T1" i="2"/>
  <c r="S1" i="2"/>
  <c r="P1" i="2"/>
  <c r="O1" i="2"/>
  <c r="M1" i="2"/>
  <c r="L1" i="2"/>
  <c r="K1" i="2"/>
  <c r="J1" i="2"/>
  <c r="H1" i="2"/>
  <c r="G1" i="2"/>
  <c r="F1" i="2"/>
  <c r="E1" i="2"/>
  <c r="D1" i="2"/>
  <c r="C1" i="2"/>
  <c r="B2" i="2"/>
  <c r="B1" i="2"/>
  <c r="A23" i="3"/>
  <c r="B23" i="3"/>
  <c r="D23" i="3"/>
  <c r="A24" i="3"/>
  <c r="B24" i="3"/>
  <c r="D24" i="3"/>
  <c r="A25" i="3"/>
  <c r="B25" i="3"/>
  <c r="D25" i="3"/>
  <c r="A26" i="3"/>
  <c r="B26" i="3"/>
  <c r="D26" i="3"/>
  <c r="A27" i="3"/>
  <c r="B27" i="3"/>
  <c r="D27" i="3"/>
  <c r="A22" i="3"/>
  <c r="B22" i="3"/>
  <c r="D22" i="3"/>
</calcChain>
</file>

<file path=xl/sharedStrings.xml><?xml version="1.0" encoding="utf-8"?>
<sst xmlns="http://schemas.openxmlformats.org/spreadsheetml/2006/main" count="394" uniqueCount="231">
  <si>
    <t>Digital Power Competentiehuis</t>
  </si>
  <si>
    <t>Competentiegebieden</t>
  </si>
  <si>
    <t>Question list</t>
  </si>
  <si>
    <t>Example competence area</t>
  </si>
  <si>
    <t>For each situation, enter the corresponding value for the most appropriate competency description</t>
  </si>
  <si>
    <t>Instructions</t>
  </si>
  <si>
    <t>Example competency</t>
  </si>
  <si>
    <t>Competency level to date</t>
  </si>
  <si>
    <t>Desired competency level</t>
  </si>
  <si>
    <t>Input value</t>
  </si>
  <si>
    <t>Each competency area (6), which can be recognized by the different colours, consists of a number of specific competencies.
Determine for each competency where your ambition (desired competency level) lies and where you are now (competency level to date).
- Do this by scoring yourself on the indicated scale (see example)
- If you have no ambition (yet) for a competence, you keep the score that reflects toward your current competency level.
Determine for each competency which description best fits the situation (present/desired). Do not only look at knowledge and skills, but also at the sphere of influence and degree of (personal) leadership in your role with the customer.
Create your desired profile based on your ambition! And develop those competencies that give substance to the realization of this ambition.
The aim is not to test whether or not you are a good consultant within this domain. The goal is that you develop competencies that match your ambition.
Be realistic when filling it out. Only then will you use it to its full potential.
Good luck!</t>
  </si>
  <si>
    <t>Competency description example: Acts on competency A with customers.</t>
  </si>
  <si>
    <t>Competency description example: Acts with customers in addition to competency A, also on competency B.</t>
  </si>
  <si>
    <t>Competency description example: Acts with customers in addition to competency A , B,  and also on competency C.</t>
  </si>
  <si>
    <t>Competency description example: Acts with customers in addition to competency A, B, C, and also on competency D.</t>
  </si>
  <si>
    <t>Competency description example: Acts with customers in addition to competency A, B, C, D and also on competency E.</t>
  </si>
  <si>
    <t>Digital Power basic competencies</t>
  </si>
  <si>
    <t>Learning &amp; reflection</t>
  </si>
  <si>
    <t xml:space="preserve">Has a growth mindset </t>
  </si>
  <si>
    <t>Receives positive and constructive feedback with an open attitude, is able to use this for self-reflection, incorporate it into their own development and undertake the necessary development with training and courses.</t>
  </si>
  <si>
    <t>In addition to the indicated external stimulus (feedback from others), is able to remain critical of their own knowledge and lack of experience. Takes the necessary actions in this respect and takes control of their own development.</t>
  </si>
  <si>
    <t>Takes on an exemplary role in the previously indicated competencies and also actively promotes them by taking on a guiding role to juniors and mediors.</t>
  </si>
  <si>
    <t>Takes on a leadership role in the indicated competencies and actively carries this  out in the role of supervisor and/or by taking responsibility within the organisation.</t>
  </si>
  <si>
    <t>Support &amp; collaboration</t>
  </si>
  <si>
    <t>Has a collaborative mindset</t>
  </si>
  <si>
    <t>Is helpful and involved with both internal and external colleagues</t>
  </si>
  <si>
    <t>Actively seeks cooperation. Both within and outside the team that they are (temporarily) part of.</t>
  </si>
  <si>
    <t>Acts like an example in seeking cooperation. Takes responsibility to support others and provides assistance to ensure team members become self-reliant in their work.</t>
  </si>
  <si>
    <t>-</t>
  </si>
  <si>
    <t>Entrepreneurial &amp; result-oriented</t>
  </si>
  <si>
    <t>Has an entrepreneurial &amp; result-oriented mindset</t>
  </si>
  <si>
    <t>Focused on acting effectively and delivering agreed work on time, within the agreed timeframe.</t>
  </si>
  <si>
    <t>In addition to the previously mentioned competencies, is able to recognize opportunities and be proactive in helping customers and/or furthering profile of DiP. Is able to translate customer objectives into concrete and practical actions.</t>
  </si>
  <si>
    <t>In addition to the previously mentioned competencies, able to increase commercial activities (such as increasing hours, generating additional assignments, etc.). Develops projects within DiP and oversees and/or guides them towards the intended result.</t>
  </si>
  <si>
    <t>In addition to the previously mentioned competencies, is responsible for the development of a specialism within DiP. This includes ensuring expertise in this domain continuously develops and stays up-to-date with the market.</t>
  </si>
  <si>
    <t>Customer-oriented</t>
  </si>
  <si>
    <t>Has a customer-oriented mindset</t>
  </si>
  <si>
    <t>Recognizes customer needs and interests; adopts a helpful attitude and takes the needs and interests of the customer into account in their work.</t>
  </si>
  <si>
    <t>In addition to the previously mentioned competencies, actively thinks along with the client. Shares insights of the client organization within DiP in order to further expand commercial activities. Actively strives to increase customer satisfaction and improve quality of work.</t>
  </si>
  <si>
    <t>In addition to the previously mentioned competencies, stimulates and facilitates others to actively act in a customer-oriented manner. Is able to expand customer activity through expertise. Exceeds customer expectations.</t>
  </si>
  <si>
    <t>In addition to the previously mentioned competencies, bears responsibility for a customer-oriented approach. Is committed to maintaining a high level of customer focus on a structural basis.</t>
  </si>
  <si>
    <t>Knowledge sharing</t>
  </si>
  <si>
    <t>Actively learns from the DiP organisation.</t>
  </si>
  <si>
    <t>Learns from the DiP organization and actively shares own experiences with colleagues.</t>
  </si>
  <si>
    <t>In addition to the previously stated competencies, actively shares own experiences and knowledge in DiP meet-ups, peer groups and provides training, etc. Also shares knowledge externally in meet-ups, conferences, training courses, blogs, inspiration sessions, etc.</t>
  </si>
  <si>
    <t>In addition to the previously stated activities, can act as a source of information for other consultants through acquired knowledge and experience. Also contributes to the team spirit.</t>
  </si>
  <si>
    <t>In addition to the previously mentioned activities, bears responsibility for the level of knowledge sharing. Ensures that knowledge sharing remains up to date in terms of content and frequency.</t>
  </si>
  <si>
    <t>Coaching &amp; guidance</t>
  </si>
  <si>
    <t>Has never (in)formally provided coaching or guidance in a professional field</t>
  </si>
  <si>
    <t>Has followed one or more trainings/courses about coaching and/or guiding in a professional field.</t>
  </si>
  <si>
    <t>Has informally coached and/or supervised one or more colleagues (within DiP) in the professional field.</t>
  </si>
  <si>
    <t>Formally supervises one or more junior/medior consultants (within DiP) in their professional development.</t>
  </si>
  <si>
    <t>Has formally supervised one or more junior/medior/senior consultants in their professional development (within DiP) for more than 4 years.</t>
  </si>
  <si>
    <t>Data Science domain competencies</t>
  </si>
  <si>
    <t>Data quality</t>
  </si>
  <si>
    <t>Understands data quality and recognizes problems pertaining to this</t>
  </si>
  <si>
    <t>Can use data analysis to detect data quality issues and communicate them to other data professionals</t>
  </si>
  <si>
    <t>Can use data analysis to detect and solve data quality issues within their own scope (quality risk assessment and mitigation) and communicate these issues to non-data professionals</t>
  </si>
  <si>
    <t xml:space="preserve">Can put data quality issues on the agenda outside your own department </t>
  </si>
  <si>
    <t>Can initiate solutions and create support within the organization</t>
  </si>
  <si>
    <t>Data exploration</t>
  </si>
  <si>
    <t>Is able to describe the characteristics of a structured dataset, recognize variables, and provide insight into important characteristics of single variables (execute)</t>
  </si>
  <si>
    <t>Is able to combine structured data from different sources and use analyses to illustrate (cor)relations between variables in a dataset, for example bivariate analysis (execute)</t>
  </si>
  <si>
    <t>Is able to use data exploration to zoom in on and finetune the business question, and adjust if necessary. Knows how to link a suitable technique to an issue and masters new techniques when necessary (e.g. feature engineering, PCA, clustering) (executing and advising)</t>
  </si>
  <si>
    <t>In addition to previously mentioned competencies, can estimate the potential business value of data within organization and sees which existing data sources (also unstructured ones) can still be tapped into (advising)</t>
  </si>
  <si>
    <t>Is able to determine what new data still needs to be collected to achieve organizational goals. Does not act on demand, can initiate data acquisition on own initiative (advising)</t>
  </si>
  <si>
    <t>Analysis &amp; visualization</t>
  </si>
  <si>
    <t>Can describe a dataset and visualize key trends for data experts</t>
  </si>
  <si>
    <t>Can analyze a dataset within a certain context/project and can use supporting visualizations. The target group are direct colleagues, fellow experts</t>
  </si>
  <si>
    <t>Can do a high-quality and value-based analysis on a dataset and make connections to the broader context. Effectively uses visualizations to support analysis. Knows how to present this to colleagues who are not data experts, but who do have affinity with data</t>
  </si>
  <si>
    <t>Can visualize and articulate an analysis in such a way that stakeholders (at any level, with and without knowledge of data) can take action on the outcomes</t>
  </si>
  <si>
    <t>Effectively uses translation and visualization of analyses to support an organization's goals and encourage stakeholders to take action</t>
  </si>
  <si>
    <t>Modeling (knowledge of and working with)</t>
  </si>
  <si>
    <t>Does not need specific knowledge of DS models yet, but knows what (DS) models are</t>
  </si>
  <si>
    <t>Has basic knowledge of (a number of) common data science models, knows when which model can be applied, and knows how to assess the performance of (simple) models</t>
  </si>
  <si>
    <t xml:space="preserve">Has extensive knowledge of the most common models, and can recognize and convey the value of models for the business </t>
  </si>
  <si>
    <t>In addition to the above, also has knowledge of more complex models, and can see opportunities and initiate projects within organization</t>
  </si>
  <si>
    <t>In addition to the previously mentioned competencies, able to describe systems from reality in mathematics on a first-principles basis</t>
  </si>
  <si>
    <t>Statistics &amp; mathematics</t>
  </si>
  <si>
    <t>Basic knowledge of statistics and mathematics</t>
  </si>
  <si>
    <t>Can set up hypotheses and test them using data</t>
  </si>
  <si>
    <t>Thorougly understands the mathematical foundation of the standard models they use</t>
  </si>
  <si>
    <t>Practical knowledge of calculus, differential equations, and linear algebra</t>
  </si>
  <si>
    <t>In addition to the previously mentioned competencies, has broad (and/or extensive) knowledge of data science models and their mathematical foundation</t>
  </si>
  <si>
    <t>Domain knowledge (DS) and business-specific domain knowledge (scope)</t>
  </si>
  <si>
    <t>Has no knowledge of the DS domain</t>
  </si>
  <si>
    <t>Has general domain knowledge in the field of DS: knows what DS is, the role it plays within the organization, and how it relates to analytics and engineering</t>
  </si>
  <si>
    <t>Has extensive knowledge of the DS domain: knows in which direction the field is moving/developing, has basic business-specific domain knowledge</t>
  </si>
  <si>
    <t>Has business-specific knowledge in one or more areas (e.g. marketing, insurance, predictive maintenance, etc.)</t>
  </si>
  <si>
    <t>Has stellar business-specific knowledge in one or more areas, can take the lead internally and externally in that field</t>
  </si>
  <si>
    <t>Deployment</t>
  </si>
  <si>
    <t>No specific knowledge</t>
  </si>
  <si>
    <t>Can communicate what a developed model needs in terms of data, both in advance (based on availability) and in hindsight (explaining to an engineer)</t>
  </si>
  <si>
    <t>Can think along with deployment requirements, design solutions together with an engineer to deploy your own developed model</t>
  </si>
  <si>
    <t>Can formulate general deployment requirements, and develop a deployment strategy/architecture for a data science department together with engineers</t>
  </si>
  <si>
    <t>In addition to the previously mentioned competencies, can also devise specific cutting edge deployments and co-design with engineers. Think of specialized programming languages or (cloud) tools, or special (performance or legal) requirements.</t>
  </si>
  <si>
    <t>Ethics, legislation</t>
  </si>
  <si>
    <t xml:space="preserve">Acts from a moral compass </t>
  </si>
  <si>
    <t>Has basic knowledge of the GDPR and is aware of ethical questions regarding working with data. Can make a connection between the basics of the GDPR and their own activities</t>
  </si>
  <si>
    <t>Can make a connection between ethics, the GDPR, and a project and can explain this link to colleagues in a project team</t>
  </si>
  <si>
    <t>Can analyze a project based on various ethical principles and the GDPR, and present its implications to various stakeholders to allow them to take action. Makes choices in their tasks (whether or not to execute) based on ethics and the GDPR</t>
  </si>
  <si>
    <t>Provides (un)solicited advice to organizations and their stakeholders about ethics and the GDPR. Acts as a moral compass for the organization, and inspires others to work in the same way</t>
  </si>
  <si>
    <t>Data Science Hardskills</t>
  </si>
  <si>
    <t>Programming</t>
  </si>
  <si>
    <t xml:space="preserve">Knows the basics of programming languages such as Python (Jupyter Notebook) or R (Rstudio). SQL or HTML do not count. </t>
  </si>
  <si>
    <t>Knows Python/R/equivalents well enough that they can use this to build data acquisition, exploration, and modeling</t>
  </si>
  <si>
    <t>Knows their primary programming language very well (including the environments outside of Jupyter Notebook and Rstudio), and an additional programming language at the junior level</t>
  </si>
  <si>
    <t>Can contribute to the development of their own primary programming language, set up custom packages/libraries, and is seen internally as an expert in the language</t>
  </si>
  <si>
    <t>Is seen as an esteemed contributer in their primary programming language by internal and external peers</t>
  </si>
  <si>
    <t>Engineering</t>
  </si>
  <si>
    <t>Can set up their data science software following known best practices</t>
  </si>
  <si>
    <t>Can improve their data science software by selectively deviating from best practices and propose improvements in those best practices where appropriate (better maintainable code, performance tuning, data decoupling, etc.)</t>
  </si>
  <si>
    <t>Can think about and work on engineering solutions with regard to data science outside the scope of own department</t>
  </si>
  <si>
    <t>Can generally think along and contribute to engineering solutions in the field of data science</t>
  </si>
  <si>
    <t>Machine learning (developing and building)</t>
  </si>
  <si>
    <t xml:space="preserve">Knows the basic packages for data frames (e.g. pandas, numpy, data.frame) in their primary data science tool </t>
  </si>
  <si>
    <t>Can set up simple machine learning algorithms (e.g. logistic regression, decision trees, random forest, xgboost, arima) and provide insights about performance in practice according to a valid train/test/dev setup</t>
  </si>
  <si>
    <t>Can tune machine learning algorithms using hyperparameter tuning, and work with more complicated evaluations. In addition to this, can correctly set up most of the frequently used models</t>
  </si>
  <si>
    <t>Can work with deep learning in one of the DL frameworks. Has knowledge of one of the more specific types of deep learning networks (RNN, CNN) and reuse existing networks through transfer learning</t>
  </si>
  <si>
    <t>Can work with specific, custom tailored, machine learning methodologies, for example in deep learning</t>
  </si>
  <si>
    <t>Basic consultancy competencies</t>
  </si>
  <si>
    <t>Advising</t>
  </si>
  <si>
    <t>Gives advice on questions from the direct business (stakeholders). Mostly operationally.</t>
  </si>
  <si>
    <t>In addition to the previously mentioned competencies, provides proactive advice on related analyses and insights. Is able to view insights from perspectives other than their own business (stakeholders) and involves them in the process.</t>
  </si>
  <si>
    <t>In addition to the previously mentioned competencies, provides advice with an organization-wide impact.</t>
  </si>
  <si>
    <t>In addition to the previously mentioned competencies, gives advice at management and/or organizational level.</t>
  </si>
  <si>
    <t xml:space="preserve">Decisive &amp; problem-solving </t>
  </si>
  <si>
    <t>Has a curious and pragmatic mindset.</t>
  </si>
  <si>
    <t>Able to ask critical questions within your department/project. Able to come up with a suitable solution for your own business (stakeholders).</t>
  </si>
  <si>
    <t>In addition to the previously mentioned competencies, is able to get to the core of the problem with a departmental and/or assignment-transcending impact. Able to address this and come to a solution that is more widely supported.</t>
  </si>
  <si>
    <t>In addition to the previously mentioned competencies, able to get to the core of the problem with an organization-wide impact.</t>
  </si>
  <si>
    <t>In addition to the previously mentioned competencies, able to get to the core of the problem with an organization-wide impact. Able to address this and come to a solution that is supported throughout the organization.</t>
  </si>
  <si>
    <t>Interpersonal communication</t>
  </si>
  <si>
    <t>Has an accessible attitude.</t>
  </si>
  <si>
    <t>Has a visible and approachable demeanor. Is a good listener and provides feedback and is able to put themselves in others' shoes.</t>
  </si>
  <si>
    <t>In addition to the previously mentioned competencies, adopts an assertive attitude and maintains a healthy balance between moving along with the client and guarding one's own boundaries.</t>
  </si>
  <si>
    <t>In addition to the previously mentioned competencies, actively promotes communication between yourself and your client(s). And also with the team(s) and department(s) you work with.</t>
  </si>
  <si>
    <t>In addition to the previously mentioned competencies, actively provides tools and resources to shape and promote communication between teams and departments.</t>
  </si>
  <si>
    <t>Expectation management</t>
  </si>
  <si>
    <t>Tests expectations of his/her work; way of working, scope, goal, timelines, content, etc.</t>
  </si>
  <si>
    <t>In addition to the previously mentioned competency, makes an inventory of the underlying interests. Takes this information into account when setting priorities and proactively communicates this.</t>
  </si>
  <si>
    <t>Sets and discusses expectations from personal and/or DiP interests and takes the initiative in determining cooperation, scope, priorities, goal, timelines, content, etc.</t>
  </si>
  <si>
    <t>Sets expectations and actively ensures that the interests and expectations of all parties involved are expressed and coordinated in the best possible way.</t>
  </si>
  <si>
    <t>Written and oral communication (presentation, proposal, result, advice)</t>
  </si>
  <si>
    <t>Speaks ánd writes comprehensible and correct Dutch and English for a business target group. Is well understood in both volume and pronunciation.</t>
  </si>
  <si>
    <t>In addition to the previously mentioned competencies, adjusts the speaking and/or writing style to the intended goal or target group. Is clear and to-the-point, so that the message is well understood. Checks whether the message has come across correctly.</t>
  </si>
  <si>
    <t>In addition to the previously mentioned competencies, is able to make complex subjects understandable to others and displays a collaborative attitude.</t>
  </si>
  <si>
    <t>Applies situational communication in addition to the previously mentioned competencies. You give implicit guidance to the outcome of the verbal transaction (presentation, bila, conversation, advice, etc.)</t>
  </si>
  <si>
    <t>In addition to the previously mentioned competencies, applies situational leadership in which implicit control shifts to explicit control or leadership.</t>
  </si>
  <si>
    <t>Business competencies</t>
  </si>
  <si>
    <t>Organizational and management identification</t>
  </si>
  <si>
    <t>Has no/little knowledge of organizational structure at a client.</t>
  </si>
  <si>
    <t>Has knowledge of organizational structure at a client.</t>
  </si>
  <si>
    <t>Has a sense of relationships within the organization. Recognizes interests of stakeholders.</t>
  </si>
  <si>
    <t>Has feeling for relationships within the organization. Recognizes stakeholder interests and overlooks consequences of approach and makes connections with other stakeholders and/or issues.</t>
  </si>
  <si>
    <t>Is positioned as Business Analyst</t>
  </si>
  <si>
    <t>Strategic conceptualization</t>
  </si>
  <si>
    <t>Is able to recognize operational strategy and goals</t>
  </si>
  <si>
    <t>Is able to connect and conceptualize operational strategy and goals</t>
  </si>
  <si>
    <t>Is able to connect and conceptualize strategy and goals of management and operations</t>
  </si>
  <si>
    <t>Is able to connect and conceptualize strategy and goals of the board, management and operations</t>
  </si>
  <si>
    <t>Is positioned as a Strategist</t>
  </si>
  <si>
    <t>Project management</t>
  </si>
  <si>
    <t>Kept client and/or stakeholders informed of progress on own assignment or project schedule</t>
  </si>
  <si>
    <t>Kept client and stakeholders informed of progress on project or assignment schedule</t>
  </si>
  <si>
    <t>Has managed one or more projects without using a methodical approach</t>
  </si>
  <si>
    <t>Has managed one or more projects using project management methods such as (Agile, Scrum, Kanban, Lean, Six Sigma, Prince2, etc.)</t>
  </si>
  <si>
    <t>Is positioned as a Project Manager/ Product Owner</t>
  </si>
  <si>
    <t>Change management (towards data-driven work)</t>
  </si>
  <si>
    <t>Has never experienced a change process toward data-driven work</t>
  </si>
  <si>
    <t>Has participated and played an active role in one or more change processes towards data-driven work</t>
  </si>
  <si>
    <t>Has led one or more change processes towards data-driven work, without using a methodical approach</t>
  </si>
  <si>
    <t>Has led one or more change processes towards data-driven work using a methodical approach</t>
  </si>
  <si>
    <t>Is positioned as a Change Manager</t>
  </si>
  <si>
    <t>Leadership</t>
  </si>
  <si>
    <t>Has never (in)formally led in the field of data</t>
  </si>
  <si>
    <t>Participated in assignments and/or projects in the field of data</t>
  </si>
  <si>
    <t>Recognizes strategic data opportunities and has actively participated in this by taking on an advisory role</t>
  </si>
  <si>
    <t>Demonstrates leadership and has acted as the driving force behind strategic data choices in one or more assignments</t>
  </si>
  <si>
    <t>Has acted from a leadership position in one or more assignments as a driving force behind strategic choices in the area of data</t>
  </si>
  <si>
    <t>Expert consultancy competencies</t>
  </si>
  <si>
    <t>Situational communication</t>
  </si>
  <si>
    <t>Adopts a communication style that is true to themselves.</t>
  </si>
  <si>
    <t>Is aware of own communication style and effect on conversational partners.</t>
  </si>
  <si>
    <t xml:space="preserve">In addition to the above, has knowledge of different situations and communication styles and actively uses this knowledge to adapt own communication. </t>
  </si>
  <si>
    <t>In addition to previously mentioned competencies, uses situational communication/situational leadership to provide direction.</t>
  </si>
  <si>
    <t>In addition to previously mentioned, uses situational leadership in management.</t>
  </si>
  <si>
    <t>Goal-oriented &amp; effective communication</t>
  </si>
  <si>
    <t>Communicates in a structured manner and avoids technical jargon.</t>
  </si>
  <si>
    <t>In addition to the above, communicates in a no-nonsense, purposeful way, so that content, goal, and expectations are clear to (all) partners and/or participants within the project.</t>
  </si>
  <si>
    <t xml:space="preserve">Uses the above mentioned competencies on a cross-departmental level. Knows how to bring the parties involved towards the intended goal by means of catchy examples, stimulating propositions and outlining (implication) scenarios. </t>
  </si>
  <si>
    <t>Uses previously mentioned competencies at the organizational level.</t>
  </si>
  <si>
    <t>Decision-making</t>
  </si>
  <si>
    <t>Makes independent, informed decisions and is accountable for them.</t>
  </si>
  <si>
    <t>In addition to previously mentioned, has made decisions that require courage and boldness due to the difficult nature of the decision, within your project or assignment.</t>
  </si>
  <si>
    <t>In addition to the above-mentioned setting, has to take difficult decisions that have an impact on the project or assignment.</t>
  </si>
  <si>
    <t>In addition to the above-mentioned setting, has to take difficult decisions that have a cross-departmental impact.</t>
  </si>
  <si>
    <t>In addition to previously mentioned setting, had to make difficult decisions that had organization-wide impact.</t>
  </si>
  <si>
    <t>Persuading &amp; influencing</t>
  </si>
  <si>
    <t>Has confidence in own ability and judgment when presenting findings and opinions.</t>
  </si>
  <si>
    <t>In addition to the competencies mentioned above, acts with self-confidence when explaining (their own) views and opinions. Listens and seeks connection to create a win-win situation.</t>
  </si>
  <si>
    <t>In addition to previously mentioned competencies, when persuading and influencing, makes active use of thought-provoking statements and illustrations to promote position taking. Is able to recognize communication and behavioral styles and to adapt his/her own communication and/or behavioral style accordingly.</t>
  </si>
  <si>
    <t>Uses previously mentioned competencies to effectively provide direction and leadership in a broader setting (team, department, organization, etc.)</t>
  </si>
  <si>
    <t>Constructive (negative) feedback &amp; bad news conversations</t>
  </si>
  <si>
    <t>Has given constructive feedback when asked.</t>
  </si>
  <si>
    <t>In addition to the previously mentioned, has given unsolicited constructive feedback when dealing with an equal power relationship (peers/ consultants).</t>
  </si>
  <si>
    <t>In addition to the mentioned competencies, has given unsolicited constructive feedback in an unequal power relationship (manager/client) and has been able to turn this into a future-proof situation and/or relationship.</t>
  </si>
  <si>
    <t>In addition to the previously mentioned, has held a bad news conversation in the role of supervising consultant/manager, has had to take a position and turn it into a future-proof situation.</t>
  </si>
  <si>
    <t>In addition to previously mentioned, has held a bad news conversation from the supervising consultant/leadership role, had to take a stand in it and make a negative decision.</t>
  </si>
  <si>
    <t>Digital Power Basic Skills</t>
  </si>
  <si>
    <t>Domain skills</t>
  </si>
  <si>
    <t>Hardskills</t>
  </si>
  <si>
    <t>Basic Consultancy Skills</t>
  </si>
  <si>
    <t>Business Skills</t>
  </si>
  <si>
    <t>Expert Consultancy Skills</t>
  </si>
  <si>
    <t>Domain knowledge</t>
  </si>
  <si>
    <t>Machine learning</t>
  </si>
  <si>
    <t>Written and oral communication</t>
  </si>
  <si>
    <t>Change management</t>
  </si>
  <si>
    <t>ID</t>
  </si>
  <si>
    <t>Name</t>
  </si>
  <si>
    <t>Function</t>
  </si>
  <si>
    <t>Specialization</t>
  </si>
  <si>
    <t>Current</t>
  </si>
  <si>
    <t>You (mandatory)</t>
  </si>
  <si>
    <t>Reviewer 1 (optional)</t>
  </si>
  <si>
    <t>Reviewer 2 (optional)</t>
  </si>
  <si>
    <t>Ambition</t>
  </si>
  <si>
    <t>Score current situation</t>
  </si>
  <si>
    <t>Total average</t>
  </si>
  <si>
    <t>Score ambition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</si>
</sst>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color theme="1"/>
      <name val="Calibri Light"/>
      <family val="2"/>
      <scheme val="major"/>
    </font>
    <font>
      <b/>
      <sz val="20"/>
      <color theme="1"/>
      <name val="Calibri"/>
      <family val="2"/>
      <scheme val="minor"/>
    </font>
    <font>
      <i/>
      <sz val="11"/>
      <color theme="0" tint="-0.34998626667073579"/>
      <name val="Calibri"/>
      <family val="2"/>
      <scheme val="minor"/>
    </font>
    <font>
      <b/>
      <sz val="11"/>
      <color theme="0"/>
      <name val="Calibri"/>
      <family val="2"/>
      <scheme val="minor"/>
    </font>
    <font>
      <b/>
      <sz val="18"/>
      <color theme="1"/>
      <name val="Calibri"/>
      <family val="2"/>
      <scheme val="minor"/>
    </font>
    <font>
      <b/>
      <sz val="18"/>
      <color theme="0"/>
      <name val="Calibri"/>
      <family val="2"/>
      <scheme val="minor"/>
    </font>
    <font>
      <u/>
      <sz val="11"/>
      <color theme="1"/>
      <name val="Calibri"/>
      <family val="2"/>
      <scheme val="minor"/>
    </font>
    <font>
      <b/>
      <i/>
      <sz val="11"/>
      <color theme="1"/>
      <name val="Calibri"/>
      <family val="2"/>
      <scheme val="minor"/>
    </font>
    <font>
      <b/>
      <i/>
      <sz val="18"/>
      <color theme="1"/>
      <name val="Calibri"/>
      <family val="2"/>
      <scheme val="minor"/>
    </font>
    <font>
      <i/>
      <strike/>
      <sz val="11"/>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theme="7"/>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top style="thin">
        <color indexed="64"/>
      </top>
      <bottom style="hair">
        <color indexed="64"/>
      </bottom>
      <diagonal/>
    </border>
    <border>
      <left/>
      <right/>
      <top style="hair">
        <color indexed="64"/>
      </top>
      <bottom style="hair">
        <color indexed="64"/>
      </bottom>
      <diagonal/>
    </border>
    <border>
      <left/>
      <right/>
      <top style="thin">
        <color indexed="64"/>
      </top>
      <bottom/>
      <diagonal/>
    </border>
    <border>
      <left style="hair">
        <color indexed="64"/>
      </left>
      <right style="thin">
        <color indexed="64"/>
      </right>
      <top style="medium">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42">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7" xfId="0" applyBorder="1" applyAlignment="1">
      <alignment horizontal="center"/>
    </xf>
    <xf numFmtId="0" fontId="0" fillId="0" borderId="28"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34" xfId="0" applyBorder="1" applyAlignment="1">
      <alignment horizontal="center"/>
    </xf>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29" xfId="0" applyFill="1" applyBorder="1" applyAlignment="1">
      <alignment horizontal="center"/>
    </xf>
    <xf numFmtId="0" fontId="0" fillId="5" borderId="33"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30" xfId="0" applyFill="1" applyBorder="1"/>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2"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14" xfId="0" applyFill="1" applyBorder="1" applyAlignment="1">
      <alignment horizontal="center" textRotation="90" wrapText="1"/>
    </xf>
    <xf numFmtId="0" fontId="0" fillId="6" borderId="9" xfId="0" applyFill="1" applyBorder="1"/>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2" xfId="0" applyFill="1" applyBorder="1" applyAlignment="1">
      <alignment horizontal="center" textRotation="90" wrapText="1"/>
    </xf>
    <xf numFmtId="0" fontId="0" fillId="6" borderId="6" xfId="0" applyFill="1" applyBorder="1" applyAlignment="1">
      <alignment horizontal="center" textRotation="90" wrapText="1"/>
    </xf>
    <xf numFmtId="0" fontId="0" fillId="6" borderId="4" xfId="0" applyFill="1" applyBorder="1" applyAlignment="1">
      <alignment horizontal="center" textRotation="90" wrapText="1"/>
    </xf>
    <xf numFmtId="0" fontId="0" fillId="6" borderId="5" xfId="0" applyFill="1" applyBorder="1" applyAlignment="1">
      <alignment horizontal="center" wrapText="1"/>
    </xf>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6" xfId="0" applyFill="1" applyBorder="1" applyAlignment="1">
      <alignment horizontal="center" wrapText="1"/>
    </xf>
    <xf numFmtId="0" fontId="0" fillId="6" borderId="4" xfId="0" applyFill="1" applyBorder="1" applyAlignment="1">
      <alignment horizontal="center" wrapText="1"/>
    </xf>
    <xf numFmtId="164" fontId="0" fillId="6" borderId="31" xfId="0" applyNumberFormat="1" applyFill="1" applyBorder="1"/>
    <xf numFmtId="164" fontId="0" fillId="6" borderId="18" xfId="1" applyNumberFormat="1" applyFont="1" applyFill="1" applyBorder="1" applyAlignment="1">
      <alignment horizontal="center" wrapText="1"/>
    </xf>
    <xf numFmtId="164" fontId="0" fillId="6" borderId="19" xfId="1" applyNumberFormat="1" applyFont="1" applyFill="1" applyBorder="1" applyAlignment="1">
      <alignment horizontal="center" wrapText="1"/>
    </xf>
    <xf numFmtId="164" fontId="0" fillId="6" borderId="27" xfId="1" applyNumberFormat="1" applyFont="1" applyFill="1" applyBorder="1" applyAlignment="1">
      <alignment horizontal="center" wrapText="1"/>
    </xf>
    <xf numFmtId="164" fontId="0" fillId="6" borderId="20" xfId="1" applyNumberFormat="1" applyFont="1" applyFill="1" applyBorder="1" applyAlignment="1">
      <alignment horizontal="center" wrapText="1"/>
    </xf>
    <xf numFmtId="164" fontId="0" fillId="6" borderId="32" xfId="0" applyNumberFormat="1" applyFill="1" applyBorder="1"/>
    <xf numFmtId="164" fontId="0" fillId="6" borderId="21" xfId="1" applyNumberFormat="1" applyFont="1" applyFill="1" applyBorder="1" applyAlignment="1">
      <alignment horizontal="center" wrapText="1"/>
    </xf>
    <xf numFmtId="164" fontId="0" fillId="6" borderId="22" xfId="1" applyNumberFormat="1" applyFont="1" applyFill="1" applyBorder="1" applyAlignment="1">
      <alignment horizontal="center" wrapText="1"/>
    </xf>
    <xf numFmtId="164" fontId="0" fillId="6" borderId="26" xfId="1" applyNumberFormat="1" applyFont="1" applyFill="1" applyBorder="1" applyAlignment="1">
      <alignment horizontal="center" wrapText="1"/>
    </xf>
    <xf numFmtId="164" fontId="0" fillId="6" borderId="0" xfId="0" applyNumberFormat="1" applyFill="1"/>
    <xf numFmtId="164" fontId="0" fillId="6" borderId="0" xfId="1" applyNumberFormat="1" applyFont="1" applyFill="1" applyBorder="1" applyAlignment="1">
      <alignment horizontal="center" wrapText="1"/>
    </xf>
    <xf numFmtId="164" fontId="0" fillId="6" borderId="8" xfId="0" applyNumberFormat="1" applyFill="1" applyBorder="1"/>
    <xf numFmtId="164" fontId="0" fillId="6" borderId="23" xfId="0" applyNumberFormat="1" applyFill="1" applyBorder="1"/>
    <xf numFmtId="164" fontId="0" fillId="6" borderId="24" xfId="1" applyNumberFormat="1" applyFont="1" applyFill="1" applyBorder="1" applyAlignment="1">
      <alignment horizontal="center" wrapText="1"/>
    </xf>
    <xf numFmtId="164" fontId="0" fillId="6" borderId="25" xfId="1" applyNumberFormat="1" applyFont="1" applyFill="1" applyBorder="1" applyAlignment="1">
      <alignment horizontal="center" wrapText="1"/>
    </xf>
    <xf numFmtId="0" fontId="0" fillId="6" borderId="0" xfId="0" applyFill="1" applyAlignment="1">
      <alignment horizontal="center" wrapText="1"/>
    </xf>
    <xf numFmtId="0" fontId="8"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6" fillId="0" borderId="0" xfId="0" quotePrefix="1"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5" fillId="0" borderId="0" xfId="0" applyFont="1" applyAlignment="1">
      <alignment horizontal="center" vertical="center" wrapText="1"/>
    </xf>
    <xf numFmtId="0" fontId="9" fillId="11" borderId="1" xfId="0" applyFont="1" applyFill="1" applyBorder="1" applyAlignment="1">
      <alignment vertical="center" wrapText="1"/>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4" fillId="8" borderId="1" xfId="0" applyFont="1" applyFill="1" applyBorder="1" applyAlignment="1">
      <alignment vertical="center" wrapText="1"/>
    </xf>
    <xf numFmtId="0" fontId="4" fillId="4" borderId="1" xfId="0" applyFont="1" applyFill="1" applyBorder="1" applyAlignment="1">
      <alignment vertical="center" wrapText="1"/>
    </xf>
    <xf numFmtId="0" fontId="13" fillId="2" borderId="1" xfId="0" applyFont="1" applyFill="1" applyBorder="1" applyAlignment="1">
      <alignment vertical="center" wrapText="1"/>
    </xf>
    <xf numFmtId="0" fontId="9" fillId="7" borderId="1" xfId="0" applyFont="1" applyFill="1" applyBorder="1" applyAlignment="1">
      <alignment vertical="center" wrapText="1"/>
    </xf>
    <xf numFmtId="0" fontId="7" fillId="0" borderId="0" xfId="0" applyFont="1" applyAlignment="1">
      <alignment vertical="center"/>
    </xf>
    <xf numFmtId="0" fontId="12" fillId="0" borderId="0" xfId="0" applyFont="1" applyAlignment="1">
      <alignment vertical="center" wrapText="1"/>
    </xf>
    <xf numFmtId="0" fontId="4" fillId="4"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0" fillId="0" borderId="1" xfId="0" quotePrefix="1" applyBorder="1" applyAlignment="1">
      <alignment vertical="center" wrapText="1"/>
    </xf>
    <xf numFmtId="0" fontId="14" fillId="2" borderId="1" xfId="0" applyFont="1" applyFill="1" applyBorder="1" applyAlignment="1">
      <alignment vertical="center" wrapText="1"/>
    </xf>
    <xf numFmtId="0" fontId="10" fillId="4" borderId="1" xfId="0" applyFont="1" applyFill="1" applyBorder="1" applyAlignment="1">
      <alignment vertical="center" wrapText="1"/>
    </xf>
    <xf numFmtId="0" fontId="11" fillId="7" borderId="1" xfId="0" applyFont="1" applyFill="1" applyBorder="1" applyAlignment="1">
      <alignment vertical="center" wrapText="1"/>
    </xf>
    <xf numFmtId="0" fontId="10" fillId="8" borderId="1" xfId="0" applyFont="1" applyFill="1" applyBorder="1" applyAlignment="1">
      <alignment vertical="center" wrapText="1"/>
    </xf>
    <xf numFmtId="0" fontId="10" fillId="9" borderId="1" xfId="0" applyFont="1" applyFill="1" applyBorder="1" applyAlignment="1">
      <alignment vertical="center" wrapText="1"/>
    </xf>
    <xf numFmtId="0" fontId="10" fillId="10" borderId="1" xfId="0" applyFont="1" applyFill="1" applyBorder="1" applyAlignment="1">
      <alignment vertical="center" wrapText="1"/>
    </xf>
    <xf numFmtId="0" fontId="11" fillId="11" borderId="1" xfId="0" applyFont="1" applyFill="1" applyBorder="1" applyAlignment="1">
      <alignment vertical="center" wrapText="1"/>
    </xf>
    <xf numFmtId="0" fontId="0" fillId="0" borderId="1" xfId="0" applyBorder="1" applyAlignment="1">
      <alignment wrapText="1"/>
    </xf>
    <xf numFmtId="0" fontId="0" fillId="0" borderId="1" xfId="0" applyBorder="1" applyAlignment="1">
      <alignment vertical="top" wrapText="1"/>
    </xf>
    <xf numFmtId="0" fontId="0" fillId="0" borderId="3" xfId="0" applyBorder="1" applyAlignment="1">
      <alignment horizontal="center" textRotation="90" wrapText="1"/>
    </xf>
    <xf numFmtId="0" fontId="0" fillId="0" borderId="3" xfId="0" applyBorder="1" applyAlignment="1">
      <alignment horizontal="center"/>
    </xf>
    <xf numFmtId="164" fontId="0" fillId="6" borderId="28" xfId="1" applyNumberFormat="1" applyFont="1" applyFill="1" applyBorder="1" applyAlignment="1">
      <alignment horizontal="center" wrapText="1"/>
    </xf>
    <xf numFmtId="0" fontId="0" fillId="6" borderId="36" xfId="0" applyFill="1" applyBorder="1" applyAlignment="1">
      <alignment horizontal="center" textRotation="90" wrapText="1"/>
    </xf>
    <xf numFmtId="0" fontId="0" fillId="6" borderId="37" xfId="0" applyFill="1" applyBorder="1" applyAlignment="1">
      <alignment horizontal="center" textRotation="90" wrapText="1"/>
    </xf>
    <xf numFmtId="0" fontId="0" fillId="6" borderId="37" xfId="0" applyFill="1" applyBorder="1" applyAlignment="1">
      <alignment horizontal="center" wrapText="1"/>
    </xf>
    <xf numFmtId="0" fontId="15" fillId="0" borderId="1" xfId="0" applyFont="1" applyBorder="1" applyAlignment="1">
      <alignment horizontal="center" vertical="center" wrapText="1"/>
    </xf>
    <xf numFmtId="0" fontId="14" fillId="2" borderId="2" xfId="0" applyFont="1" applyFill="1" applyBorder="1" applyAlignment="1">
      <alignment horizontal="left" vertical="center" wrapText="1"/>
    </xf>
    <xf numFmtId="0" fontId="14" fillId="2" borderId="3"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0" borderId="38" xfId="0" quotePrefix="1" applyFont="1" applyBorder="1" applyAlignment="1">
      <alignment horizontal="left" vertical="center" wrapText="1"/>
    </xf>
    <xf numFmtId="0" fontId="6" fillId="0" borderId="35" xfId="0" quotePrefix="1" applyFont="1" applyBorder="1" applyAlignment="1">
      <alignment horizontal="left" vertical="center" wrapText="1"/>
    </xf>
    <xf numFmtId="0" fontId="6" fillId="0" borderId="39" xfId="0" quotePrefix="1" applyFont="1" applyBorder="1" applyAlignment="1">
      <alignment horizontal="left" vertical="center" wrapText="1"/>
    </xf>
    <xf numFmtId="0" fontId="6" fillId="0" borderId="40" xfId="0" quotePrefix="1" applyFont="1" applyBorder="1" applyAlignment="1">
      <alignment horizontal="left" vertical="center" wrapText="1"/>
    </xf>
    <xf numFmtId="0" fontId="6" fillId="0" borderId="0" xfId="0" quotePrefix="1" applyFont="1" applyAlignment="1">
      <alignment horizontal="left" vertical="center" wrapText="1"/>
    </xf>
    <xf numFmtId="0" fontId="6" fillId="0" borderId="41" xfId="0" quotePrefix="1" applyFont="1" applyBorder="1" applyAlignment="1">
      <alignment horizontal="left" vertical="center" wrapText="1"/>
    </xf>
    <xf numFmtId="0" fontId="6" fillId="0" borderId="42" xfId="0" quotePrefix="1" applyFont="1" applyBorder="1" applyAlignment="1">
      <alignment horizontal="left" vertical="center" wrapText="1"/>
    </xf>
    <xf numFmtId="0" fontId="6" fillId="0" borderId="43" xfId="0" quotePrefix="1" applyFont="1" applyBorder="1" applyAlignment="1">
      <alignment horizontal="left" vertical="center" wrapText="1"/>
    </xf>
    <xf numFmtId="0" fontId="6" fillId="0" borderId="44" xfId="0" quotePrefix="1"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colors>
    <mruColors>
      <color rgb="FF43661C"/>
      <color rgb="FFC0E399"/>
      <color rgb="FF5A8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skills versus ambition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Current</c:v>
          </c:tx>
          <c:spPr>
            <a:ln w="28575" cap="rnd">
              <a:solidFill>
                <a:schemeClr val="accent6"/>
              </a:solidFill>
              <a:round/>
            </a:ln>
            <a:effectLst/>
          </c:spPr>
          <c:marker>
            <c:symbol val="none"/>
          </c:marker>
          <c:cat>
            <c:strRef>
              <c:f>('Results (DO NOT EDIT!!)'!$B$1,'Results (DO NOT EDIT!!)'!$H$1,'Results (DO NOT EDIT!!)'!$M$1,'Results (DO NOT EDIT!!)'!$S$1,'Results (DO NOT EDIT!!)'!$X$1,'Results (DO NOT EDIT!!)'!$AC$1)</c:f>
              <c:strCache>
                <c:ptCount val="6"/>
                <c:pt idx="0">
                  <c:v>Digital Power Basic Skills</c:v>
                </c:pt>
                <c:pt idx="1">
                  <c:v>Domain skills</c:v>
                </c:pt>
                <c:pt idx="2">
                  <c:v>Domain skills</c:v>
                </c:pt>
                <c:pt idx="3">
                  <c:v>Basic Consultancy Skills</c:v>
                </c:pt>
                <c:pt idx="4">
                  <c:v>Business Skills</c:v>
                </c:pt>
                <c:pt idx="5">
                  <c:v>Expert Consultancy Skills</c:v>
                </c:pt>
              </c:strCache>
            </c:strRef>
          </c:cat>
          <c:val>
            <c:numRef>
              <c:f>('Results (DO NOT EDIT!!)'!$G$5,'Results (DO NOT EDIT!!)'!$O$5,'Results (DO NOT EDIT!!)'!$R$5,'Results (DO NOT EDIT!!)'!$W$5,'Results (DO NOT EDIT!!)'!$AB$5,'Results (DO NOT EDIT!!)'!$AG$5)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Ambition</c:v>
          </c:tx>
          <c:spPr>
            <a:ln w="28575" cap="rnd">
              <a:solidFill>
                <a:schemeClr val="accent5"/>
              </a:solidFill>
              <a:round/>
            </a:ln>
            <a:effectLst/>
          </c:spPr>
          <c:marker>
            <c:symbol val="none"/>
          </c:marker>
          <c:cat>
            <c:strRef>
              <c:f>('Results (DO NOT EDIT!!)'!$B$1,'Results (DO NOT EDIT!!)'!$H$1,'Results (DO NOT EDIT!!)'!$M$1,'Results (DO NOT EDIT!!)'!$S$1,'Results (DO NOT EDIT!!)'!$X$1,'Results (DO NOT EDIT!!)'!$AC$1)</c:f>
              <c:strCache>
                <c:ptCount val="6"/>
                <c:pt idx="0">
                  <c:v>Digital Power Basic Skills</c:v>
                </c:pt>
                <c:pt idx="1">
                  <c:v>Domain skills</c:v>
                </c:pt>
                <c:pt idx="2">
                  <c:v>Domain skills</c:v>
                </c:pt>
                <c:pt idx="3">
                  <c:v>Basic Consultancy Skills</c:v>
                </c:pt>
                <c:pt idx="4">
                  <c:v>Business Skills</c:v>
                </c:pt>
                <c:pt idx="5">
                  <c:v>Expert Consultancy Skills</c:v>
                </c:pt>
              </c:strCache>
            </c:strRef>
          </c:cat>
          <c:val>
            <c:numRef>
              <c:f>('Results (DO NOT EDIT!!)'!$G$8,'Results (DO NOT EDIT!!)'!$O$8,'Results (DO NOT EDIT!!)'!$R$8,'Results (DO NOT EDIT!!)'!$W$8,'Results (DO NOT EDIT!!)'!$AB$8,'Results (DO NOT EDIT!!)'!$AG$8)</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EDIT!!)'!$B$2:$G$2</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EDIT!!)'!$B$4:$G$4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Ambition</c:v>
          </c:tx>
          <c:spPr>
            <a:ln w="28575" cap="rnd">
              <a:solidFill>
                <a:schemeClr val="accent5"/>
              </a:solidFill>
              <a:round/>
            </a:ln>
            <a:effectLst/>
          </c:spPr>
          <c:marker>
            <c:symbol val="none"/>
          </c:marker>
          <c:cat>
            <c:strRef>
              <c:f>'Results (DO NOT EDIT!!)'!$B$2:$G$2</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EDIT!!)'!$B$7:$G$7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EDIT!!)'!$H$2:$O$2</c:f>
              <c:strCache>
                <c:ptCount val="8"/>
                <c:pt idx="0">
                  <c:v>Data quality</c:v>
                </c:pt>
                <c:pt idx="1">
                  <c:v>Data exploration</c:v>
                </c:pt>
                <c:pt idx="2">
                  <c:v>Analysis &amp; visualization</c:v>
                </c:pt>
                <c:pt idx="3">
                  <c:v>Modeling (knowledge of and working with)</c:v>
                </c:pt>
                <c:pt idx="4">
                  <c:v>Statistics &amp; mathematics</c:v>
                </c:pt>
                <c:pt idx="5">
                  <c:v>Domain knowledge</c:v>
                </c:pt>
                <c:pt idx="6">
                  <c:v>Deployment</c:v>
                </c:pt>
                <c:pt idx="7">
                  <c:v>Ethics, legislation</c:v>
                </c:pt>
              </c:strCache>
            </c:strRef>
          </c:cat>
          <c:val>
            <c:numRef>
              <c:f>'Results (DO NOT EDIT!!)'!$H$4:$O$4</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4121-458C-ABA3-856BD7FC94F5}"/>
            </c:ext>
          </c:extLst>
        </c:ser>
        <c:ser>
          <c:idx val="1"/>
          <c:order val="1"/>
          <c:tx>
            <c:v>Ambition</c:v>
          </c:tx>
          <c:spPr>
            <a:ln w="28575" cap="rnd">
              <a:solidFill>
                <a:schemeClr val="accent5"/>
              </a:solidFill>
              <a:round/>
            </a:ln>
            <a:effectLst/>
          </c:spPr>
          <c:marker>
            <c:symbol val="none"/>
          </c:marker>
          <c:cat>
            <c:strRef>
              <c:f>'Results (DO NOT EDIT!!)'!$H$2:$O$2</c:f>
              <c:strCache>
                <c:ptCount val="8"/>
                <c:pt idx="0">
                  <c:v>Data quality</c:v>
                </c:pt>
                <c:pt idx="1">
                  <c:v>Data exploration</c:v>
                </c:pt>
                <c:pt idx="2">
                  <c:v>Analysis &amp; visualization</c:v>
                </c:pt>
                <c:pt idx="3">
                  <c:v>Modeling (knowledge of and working with)</c:v>
                </c:pt>
                <c:pt idx="4">
                  <c:v>Statistics &amp; mathematics</c:v>
                </c:pt>
                <c:pt idx="5">
                  <c:v>Domain knowledge</c:v>
                </c:pt>
                <c:pt idx="6">
                  <c:v>Deployment</c:v>
                </c:pt>
                <c:pt idx="7">
                  <c:v>Ethics, legislation</c:v>
                </c:pt>
              </c:strCache>
            </c:strRef>
          </c:cat>
          <c:val>
            <c:numRef>
              <c:f>'Results (DO NOT EDIT!!)'!$H$7:$O$7</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'[2]Uitwerking (NIET BEWERKEN!!)'!$P$2:$R$2</c:f>
              <c:strCache>
                <c:ptCount val="3"/>
              </c:strCache>
            </c:strRef>
          </c:cat>
          <c:val>
            <c:numRef>
              <c:f>'[2]Uitwerking (NIET BEWERKEN!!)'!$P$4:$S$4</c:f>
              <c:numCache>
                <c:formatCode>General</c:formatCode>
                <c:ptCount val="4"/>
              </c:numCache>
            </c:numRef>
          </c:val>
          <c:extLst>
            <c:ext xmlns:c16="http://schemas.microsoft.com/office/drawing/2014/chart" uri="{C3380CC4-5D6E-409C-BE32-E72D297353CC}">
              <c16:uniqueId val="{00000000-F4D2-4679-8459-1DD705E21CE1}"/>
            </c:ext>
          </c:extLst>
        </c:ser>
        <c:ser>
          <c:idx val="1"/>
          <c:order val="1"/>
          <c:tx>
            <c:v>Ambition</c:v>
          </c:tx>
          <c:spPr>
            <a:ln w="28575" cap="rnd">
              <a:solidFill>
                <a:schemeClr val="accent5"/>
              </a:solidFill>
              <a:round/>
            </a:ln>
            <a:effectLst/>
          </c:spPr>
          <c:marker>
            <c:symbol val="none"/>
          </c:marker>
          <c:cat>
            <c:strRef>
              <c:f>'[2]Uitwerking (NIET BEWERKEN!!)'!$P$2:$R$2</c:f>
              <c:strCache>
                <c:ptCount val="3"/>
              </c:strCache>
            </c:strRef>
          </c:cat>
          <c:val>
            <c:numRef>
              <c:f>'[2]Uitwerking (NIET BEWERKEN!!)'!$P$7:$R$7</c:f>
              <c:numCache>
                <c:formatCode>General</c:formatCode>
                <c:ptCount val="3"/>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EDIT!!)'!$S$2:$W$2</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EDIT!!)'!$S$4:$W$4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Ambition</c:v>
          </c:tx>
          <c:spPr>
            <a:ln w="28575" cap="rnd">
              <a:solidFill>
                <a:schemeClr val="accent5"/>
              </a:solidFill>
              <a:round/>
            </a:ln>
            <a:effectLst/>
          </c:spPr>
          <c:marker>
            <c:symbol val="none"/>
          </c:marker>
          <c:cat>
            <c:strRef>
              <c:f>'Results (DO NOT EDIT!!)'!$S$2:$W$2</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EDIT!!)'!$S$7:$W$7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Spread current versus ambition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'Results (DO NOT EDIT!!)'!$A$7</c:f>
              <c:strCache>
                <c:ptCount val="1"/>
                <c:pt idx="0">
                  <c:v>Score ambition</c:v>
                </c:pt>
              </c:strCache>
            </c:strRef>
          </c:tx>
          <c:spPr>
            <a:solidFill>
              <a:schemeClr val="accent6"/>
            </a:solidFill>
            <a:ln w="25400">
              <a:noFill/>
            </a:ln>
            <a:effectLst/>
          </c:spPr>
          <c:cat>
            <c:strRef>
              <c:f>'Results (DO NOT EDIT!!)'!$B$2:$AG$2</c:f>
              <c:strCache>
                <c:ptCount val="32"/>
                <c:pt idx="0">
                  <c:v>Learning &amp; reflection</c:v>
                </c:pt>
                <c:pt idx="1">
                  <c:v>Support &amp; collaboration</c:v>
                </c:pt>
                <c:pt idx="2">
                  <c:v>Entrepreneurial &amp; result-oriented</c:v>
                </c:pt>
                <c:pt idx="3">
                  <c:v>Customer-oriented</c:v>
                </c:pt>
                <c:pt idx="4">
                  <c:v>Knowledge sharing</c:v>
                </c:pt>
                <c:pt idx="5">
                  <c:v>Coaching &amp; guidance</c:v>
                </c:pt>
                <c:pt idx="6">
                  <c:v>Data quality</c:v>
                </c:pt>
                <c:pt idx="7">
                  <c:v>Data exploration</c:v>
                </c:pt>
                <c:pt idx="8">
                  <c:v>Analysis &amp; visualization</c:v>
                </c:pt>
                <c:pt idx="9">
                  <c:v>Modeling (knowledge of and working with)</c:v>
                </c:pt>
                <c:pt idx="10">
                  <c:v>Statistics &amp; mathematics</c:v>
                </c:pt>
                <c:pt idx="11">
                  <c:v>Domain knowledge</c:v>
                </c:pt>
                <c:pt idx="12">
                  <c:v>Deployment</c:v>
                </c:pt>
                <c:pt idx="13">
                  <c:v>Ethics, legislation</c:v>
                </c:pt>
                <c:pt idx="14">
                  <c:v>Programming</c:v>
                </c:pt>
                <c:pt idx="15">
                  <c:v>Engineering</c:v>
                </c:pt>
                <c:pt idx="16">
                  <c:v>Machine learning</c:v>
                </c:pt>
                <c:pt idx="17">
                  <c:v>Advising</c:v>
                </c:pt>
                <c:pt idx="18">
                  <c:v>Decisive &amp; problem-solving </c:v>
                </c:pt>
                <c:pt idx="19">
                  <c:v>Interpersonal communication</c:v>
                </c:pt>
                <c:pt idx="20">
                  <c:v>Expectation management</c:v>
                </c:pt>
                <c:pt idx="21">
                  <c:v>Written and oral communication</c:v>
                </c:pt>
                <c:pt idx="22">
                  <c:v>Organizational and management identification</c:v>
                </c:pt>
                <c:pt idx="23">
                  <c:v>Strategic conceptualization</c:v>
                </c:pt>
                <c:pt idx="24">
                  <c:v>Project management</c:v>
                </c:pt>
                <c:pt idx="25">
                  <c:v>Change management</c:v>
                </c:pt>
                <c:pt idx="26">
                  <c:v>Leadership</c:v>
                </c:pt>
                <c:pt idx="27">
                  <c:v>Situational communication</c:v>
                </c:pt>
                <c:pt idx="28">
                  <c:v>Goal-oriented &amp; effective communication</c:v>
                </c:pt>
                <c:pt idx="29">
                  <c:v>Decision-making</c:v>
                </c:pt>
                <c:pt idx="30">
                  <c:v>Persuading &amp; influencing</c:v>
                </c:pt>
                <c:pt idx="31">
                  <c:v>Constructive (negative) feedback &amp; bad news conversations</c:v>
                </c:pt>
              </c:strCache>
            </c:strRef>
          </c:cat>
          <c:val>
            <c:numRef>
              <c:f>'Results (DO NOT EDIT!!)'!$B$7:$AG$7</c:f>
              <c:numCache>
                <c:formatCode>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1-C510-45C6-AE4C-93012B94423C}"/>
            </c:ext>
          </c:extLst>
        </c:ser>
        <c:ser>
          <c:idx val="1"/>
          <c:order val="1"/>
          <c:tx>
            <c:strRef>
              <c:f>'Results (DO NOT EDIT!!)'!$A$4</c:f>
              <c:strCache>
                <c:ptCount val="1"/>
                <c:pt idx="0">
                  <c:v>Score current situation</c:v>
                </c:pt>
              </c:strCache>
            </c:strRef>
          </c:tx>
          <c:spPr>
            <a:solidFill>
              <a:schemeClr val="accent5"/>
            </a:solidFill>
            <a:ln w="25400">
              <a:noFill/>
            </a:ln>
            <a:effectLst/>
          </c:spPr>
          <c:cat>
            <c:strRef>
              <c:f>'Results (DO NOT EDIT!!)'!$B$2:$AG$2</c:f>
              <c:strCache>
                <c:ptCount val="32"/>
                <c:pt idx="0">
                  <c:v>Learning &amp; reflection</c:v>
                </c:pt>
                <c:pt idx="1">
                  <c:v>Support &amp; collaboration</c:v>
                </c:pt>
                <c:pt idx="2">
                  <c:v>Entrepreneurial &amp; result-oriented</c:v>
                </c:pt>
                <c:pt idx="3">
                  <c:v>Customer-oriented</c:v>
                </c:pt>
                <c:pt idx="4">
                  <c:v>Knowledge sharing</c:v>
                </c:pt>
                <c:pt idx="5">
                  <c:v>Coaching &amp; guidance</c:v>
                </c:pt>
                <c:pt idx="6">
                  <c:v>Data quality</c:v>
                </c:pt>
                <c:pt idx="7">
                  <c:v>Data exploration</c:v>
                </c:pt>
                <c:pt idx="8">
                  <c:v>Analysis &amp; visualization</c:v>
                </c:pt>
                <c:pt idx="9">
                  <c:v>Modeling (knowledge of and working with)</c:v>
                </c:pt>
                <c:pt idx="10">
                  <c:v>Statistics &amp; mathematics</c:v>
                </c:pt>
                <c:pt idx="11">
                  <c:v>Domain knowledge</c:v>
                </c:pt>
                <c:pt idx="12">
                  <c:v>Deployment</c:v>
                </c:pt>
                <c:pt idx="13">
                  <c:v>Ethics, legislation</c:v>
                </c:pt>
                <c:pt idx="14">
                  <c:v>Programming</c:v>
                </c:pt>
                <c:pt idx="15">
                  <c:v>Engineering</c:v>
                </c:pt>
                <c:pt idx="16">
                  <c:v>Machine learning</c:v>
                </c:pt>
                <c:pt idx="17">
                  <c:v>Advising</c:v>
                </c:pt>
                <c:pt idx="18">
                  <c:v>Decisive &amp; problem-solving </c:v>
                </c:pt>
                <c:pt idx="19">
                  <c:v>Interpersonal communication</c:v>
                </c:pt>
                <c:pt idx="20">
                  <c:v>Expectation management</c:v>
                </c:pt>
                <c:pt idx="21">
                  <c:v>Written and oral communication</c:v>
                </c:pt>
                <c:pt idx="22">
                  <c:v>Organizational and management identification</c:v>
                </c:pt>
                <c:pt idx="23">
                  <c:v>Strategic conceptualization</c:v>
                </c:pt>
                <c:pt idx="24">
                  <c:v>Project management</c:v>
                </c:pt>
                <c:pt idx="25">
                  <c:v>Change management</c:v>
                </c:pt>
                <c:pt idx="26">
                  <c:v>Leadership</c:v>
                </c:pt>
                <c:pt idx="27">
                  <c:v>Situational communication</c:v>
                </c:pt>
                <c:pt idx="28">
                  <c:v>Goal-oriented &amp; effective communication</c:v>
                </c:pt>
                <c:pt idx="29">
                  <c:v>Decision-making</c:v>
                </c:pt>
                <c:pt idx="30">
                  <c:v>Persuading &amp; influencing</c:v>
                </c:pt>
                <c:pt idx="31">
                  <c:v>Constructive (negative) feedback &amp; bad news conversations</c:v>
                </c:pt>
              </c:strCache>
            </c:strRef>
          </c:cat>
          <c:val>
            <c:numRef>
              <c:f>'Results (DO NOT EDIT!!)'!$B$4:$AG$4</c:f>
              <c:numCache>
                <c:formatCode>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EDIT!!)'!$X$2:$AB$2</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EDIT!!)'!$X$4:$AB$4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Ambition</c:v>
          </c:tx>
          <c:spPr>
            <a:ln w="28575" cap="rnd">
              <a:solidFill>
                <a:schemeClr val="accent5"/>
              </a:solidFill>
              <a:round/>
            </a:ln>
            <a:effectLst/>
          </c:spPr>
          <c:marker>
            <c:symbol val="none"/>
          </c:marker>
          <c:cat>
            <c:strRef>
              <c:f>'Results (DO NOT EDIT!!)'!$X$2:$AB$2</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EDIT!!)'!$X$7:$AB$7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Seniority per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Total</c:v>
          </c:tx>
          <c:spPr>
            <a:solidFill>
              <a:schemeClr val="accent6"/>
            </a:solidFill>
            <a:ln>
              <a:noFill/>
            </a:ln>
            <a:effectLst/>
          </c:spPr>
          <c:invertIfNegative val="0"/>
          <c:cat>
            <c:strRef>
              <c:f>('Results (DO NOT EDIT!!)'!$B$1,'Results (DO NOT EDIT!!)'!$H$1,'Results (DO NOT EDIT!!)'!$M$1,'Results (DO NOT EDIT!!)'!$S$1,'Results (DO NOT EDIT!!)'!$X$1)</c:f>
              <c:strCache>
                <c:ptCount val="5"/>
                <c:pt idx="0">
                  <c:v>Digital Power Basic Skills</c:v>
                </c:pt>
                <c:pt idx="1">
                  <c:v>Domain skills</c:v>
                </c:pt>
                <c:pt idx="2">
                  <c:v>Domain skills</c:v>
                </c:pt>
                <c:pt idx="3">
                  <c:v>Basic Consultancy Skills</c:v>
                </c:pt>
                <c:pt idx="4">
                  <c:v>Business Skills</c:v>
                </c:pt>
              </c:strCache>
            </c:strRef>
          </c:cat>
          <c:val>
            <c:numRef>
              <c:f>('Results (DO NOT EDIT!!)'!$G$5,'Results (DO NOT EDIT!!)'!$O$5,'Results (DO NOT EDIT!!)'!$R$5,'Results (DO NOT EDIT!!)'!$W$5,'Results (DO NOT EDIT!!)'!$AB$5,'Results (DO NOT EDIT!!)'!$AG$5)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7D-483A-9A45-A65C2D8E1A6F}"/>
            </c:ext>
          </c:extLst>
        </c:ser>
        <c:dLbls>
          <c:showLegendKey val="0"/>
          <c:showVal val="0"/>
          <c:showCatName val="0"/>
          <c:showSerName val="0"/>
          <c:showPercent val="0"/>
          <c:showBubbleSize val="0"/>
        </c:dLbls>
        <c:gapWidth val="182"/>
        <c:axId val="759015720"/>
        <c:axId val="759016048"/>
      </c:barChart>
      <c:catAx>
        <c:axId val="759015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048"/>
        <c:crosses val="autoZero"/>
        <c:auto val="1"/>
        <c:lblAlgn val="ctr"/>
        <c:lblOffset val="100"/>
        <c:noMultiLvlLbl val="0"/>
      </c:catAx>
      <c:valAx>
        <c:axId val="75901604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572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EDIT!!)'!$AC$2:$AG$2</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EDIT!!)'!$AC$4:$AG$4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Ambition</c:v>
          </c:tx>
          <c:spPr>
            <a:ln w="28575" cap="rnd">
              <a:solidFill>
                <a:schemeClr val="accent5"/>
              </a:solidFill>
              <a:round/>
            </a:ln>
            <a:effectLst/>
          </c:spPr>
          <c:marker>
            <c:symbol val="none"/>
          </c:marker>
          <c:cat>
            <c:strRef>
              <c:f>'Results (DO NOT EDIT!!)'!$AC$2:$AG$2</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EDIT!!)'!$AC$7:$AG$7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6C20051A-C227-4FCE-84B9-13E8355C6FE0}">
      <dgm:prSet phldrT="[Tekst]" custT="1"/>
      <dgm:spPr/>
      <dgm:t>
        <a:bodyPr/>
        <a:lstStyle/>
        <a:p>
          <a:r>
            <a:rPr lang="nl-NL" sz="900"/>
            <a:t>Datakwaliteit</a:t>
          </a:r>
        </a:p>
      </dgm:t>
    </dgm:pt>
    <dgm:pt modelId="{31AEE7A3-A8AC-425D-8431-C8B66249CB15}" type="parTrans" cxnId="{B6A2B7A2-FF80-4270-BE4E-2808830EFFFC}">
      <dgm:prSet/>
      <dgm:spPr/>
      <dgm:t>
        <a:bodyPr/>
        <a:lstStyle/>
        <a:p>
          <a:endParaRPr lang="nl-NL" sz="2400"/>
        </a:p>
      </dgm:t>
    </dgm:pt>
    <dgm:pt modelId="{70525940-7440-4C0F-AFCA-45BB15C67DD9}" type="sibTrans" cxnId="{B6A2B7A2-FF80-4270-BE4E-2808830EFFFC}">
      <dgm:prSet/>
      <dgm:spPr/>
      <dgm:t>
        <a:bodyPr/>
        <a:lstStyle/>
        <a:p>
          <a:endParaRPr lang="nl-NL" sz="2400"/>
        </a:p>
      </dgm:t>
    </dgm:pt>
    <dgm:pt modelId="{D216417B-8724-4A89-97D4-DE24FD728663}">
      <dgm:prSet phldrT="[Tekst]" custT="1"/>
      <dgm:spPr/>
      <dgm:t>
        <a:bodyPr/>
        <a:lstStyle/>
        <a:p>
          <a:r>
            <a:rPr lang="nl-NL" sz="900"/>
            <a:t>Data exploratie</a:t>
          </a:r>
        </a:p>
      </dgm:t>
    </dgm:pt>
    <dgm:pt modelId="{38AE1861-BF10-48F6-9902-51054B81E7B4}" type="parTrans" cxnId="{5B9BC363-A286-42FB-A533-6542AF21BB0B}">
      <dgm:prSet/>
      <dgm:spPr/>
      <dgm:t>
        <a:bodyPr/>
        <a:lstStyle/>
        <a:p>
          <a:endParaRPr lang="nl-NL" sz="2400"/>
        </a:p>
      </dgm:t>
    </dgm:pt>
    <dgm:pt modelId="{A41718D6-2FB8-4C3B-9ED4-B1EC2AF89F87}" type="sibTrans" cxnId="{5B9BC363-A286-42FB-A533-6542AF21BB0B}">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dgm:spPr/>
      <dgm:t>
        <a:bodyPr/>
        <a:lstStyle/>
        <a:p>
          <a:r>
            <a:rPr lang="nl-NL"/>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dgm:spPr/>
      <dgm:t>
        <a:bodyPr/>
        <a:lstStyle/>
        <a:p>
          <a:r>
            <a:rPr lang="nl-NL"/>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dgm:spPr/>
      <dgm:t>
        <a:bodyPr/>
        <a:lstStyle/>
        <a:p>
          <a:r>
            <a:rPr lang="nl-NL"/>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dgm:spPr/>
      <dgm:t>
        <a:bodyPr/>
        <a:lstStyle/>
        <a:p>
          <a:r>
            <a:rPr lang="nl-NL"/>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dgm:spPr/>
      <dgm:t>
        <a:bodyPr/>
        <a:lstStyle/>
        <a:p>
          <a:r>
            <a:rPr lang="nl-NL"/>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D38A169C-73FA-404F-BBC1-E58D54FDBE12}">
      <dgm:prSet phldrT="[Tekst]" custT="1"/>
      <dgm:spPr/>
      <dgm:t>
        <a:bodyPr/>
        <a:lstStyle/>
        <a:p>
          <a:r>
            <a:rPr lang="nl-NL" sz="900"/>
            <a:t>Programmeren</a:t>
          </a:r>
        </a:p>
      </dgm:t>
    </dgm:pt>
    <dgm:pt modelId="{A99A1C84-B8AD-4CE4-944A-AF6FBA84AD6E}" type="sibTrans" cxnId="{3FCEE895-271C-4136-B426-FE7F1582CEF1}">
      <dgm:prSet/>
      <dgm:spPr/>
      <dgm:t>
        <a:bodyPr/>
        <a:lstStyle/>
        <a:p>
          <a:endParaRPr lang="nl-NL" sz="2400"/>
        </a:p>
      </dgm:t>
    </dgm:pt>
    <dgm:pt modelId="{972BF931-FB6A-47EF-8701-10AC9CDA14F0}" type="parTrans" cxnId="{3FCEE895-271C-4136-B426-FE7F1582CEF1}">
      <dgm:prSet/>
      <dgm:spPr/>
      <dgm:t>
        <a:bodyPr/>
        <a:lstStyle/>
        <a:p>
          <a:endParaRPr lang="nl-NL" sz="2400"/>
        </a:p>
      </dgm:t>
    </dgm:pt>
    <dgm:pt modelId="{25BD133E-26E3-4B5D-AB73-DF0AE396540A}">
      <dgm:prSet phldrT="[Tekst]" custT="1"/>
      <dgm:spPr/>
      <dgm:t>
        <a:bodyPr/>
        <a:lstStyle/>
        <a:p>
          <a:r>
            <a:rPr lang="nl-NL" sz="900"/>
            <a:t>Analyse &amp; visualisatie</a:t>
          </a:r>
        </a:p>
      </dgm:t>
    </dgm:pt>
    <dgm:pt modelId="{02EDB164-F36D-46FB-96AC-6ED75058390F}" type="parTrans" cxnId="{0D5CC86C-2EEA-49F8-9B57-7EFE5B677FFC}">
      <dgm:prSet/>
      <dgm:spPr/>
      <dgm:t>
        <a:bodyPr/>
        <a:lstStyle/>
        <a:p>
          <a:endParaRPr lang="nl-NL"/>
        </a:p>
      </dgm:t>
    </dgm:pt>
    <dgm:pt modelId="{694F62E6-4B92-44DC-8983-0F59A339343D}" type="sibTrans" cxnId="{0D5CC86C-2EEA-49F8-9B57-7EFE5B677FFC}">
      <dgm:prSet/>
      <dgm:spPr/>
      <dgm:t>
        <a:bodyPr/>
        <a:lstStyle/>
        <a:p>
          <a:endParaRPr lang="nl-NL"/>
        </a:p>
      </dgm:t>
    </dgm:pt>
    <dgm:pt modelId="{7469682A-6110-4718-B92C-90147D4C2DA6}">
      <dgm:prSet phldrT="[Tekst]" custT="1"/>
      <dgm:spPr/>
      <dgm:t>
        <a:bodyPr/>
        <a:lstStyle/>
        <a:p>
          <a:r>
            <a:rPr lang="nl-NL" sz="900"/>
            <a:t>Modelleren</a:t>
          </a:r>
        </a:p>
      </dgm:t>
    </dgm:pt>
    <dgm:pt modelId="{6D27C497-F84F-477A-B767-CE3E0CF150F6}" type="parTrans" cxnId="{0DD3C077-59B5-45EC-AC06-5D5C373255B6}">
      <dgm:prSet/>
      <dgm:spPr/>
      <dgm:t>
        <a:bodyPr/>
        <a:lstStyle/>
        <a:p>
          <a:endParaRPr lang="nl-NL"/>
        </a:p>
      </dgm:t>
    </dgm:pt>
    <dgm:pt modelId="{50C4F012-1386-4D67-941F-0B7E5D3EF162}" type="sibTrans" cxnId="{0DD3C077-59B5-45EC-AC06-5D5C373255B6}">
      <dgm:prSet/>
      <dgm:spPr/>
      <dgm:t>
        <a:bodyPr/>
        <a:lstStyle/>
        <a:p>
          <a:endParaRPr lang="nl-NL"/>
        </a:p>
      </dgm:t>
    </dgm:pt>
    <dgm:pt modelId="{1D27DB26-7722-4474-8DB2-5396EAC50736}">
      <dgm:prSet phldrT="[Tekst]" custT="1"/>
      <dgm:spPr/>
      <dgm:t>
        <a:bodyPr/>
        <a:lstStyle/>
        <a:p>
          <a:r>
            <a:rPr lang="nl-NL" sz="900"/>
            <a:t>Deployment</a:t>
          </a:r>
        </a:p>
      </dgm:t>
    </dgm:pt>
    <dgm:pt modelId="{21D7F464-592D-4E28-A424-A0D43788C208}" type="parTrans" cxnId="{9AAB57E0-9A9C-49B5-9F1E-B32FB33F8CB7}">
      <dgm:prSet/>
      <dgm:spPr/>
      <dgm:t>
        <a:bodyPr/>
        <a:lstStyle/>
        <a:p>
          <a:endParaRPr lang="nl-NL"/>
        </a:p>
      </dgm:t>
    </dgm:pt>
    <dgm:pt modelId="{8F180645-A45E-4E01-915B-B03D64E44E45}" type="sibTrans" cxnId="{9AAB57E0-9A9C-49B5-9F1E-B32FB33F8CB7}">
      <dgm:prSet/>
      <dgm:spPr/>
      <dgm:t>
        <a:bodyPr/>
        <a:lstStyle/>
        <a:p>
          <a:endParaRPr lang="nl-NL"/>
        </a:p>
      </dgm:t>
    </dgm:pt>
    <dgm:pt modelId="{24003E1A-7D7B-4B85-A7A6-1E530E765F26}">
      <dgm:prSet phldrT="[Tekst]" custT="1"/>
      <dgm:spPr/>
      <dgm:t>
        <a:bodyPr/>
        <a:lstStyle/>
        <a:p>
          <a:r>
            <a:rPr lang="nl-NL" sz="900"/>
            <a:t>Statistiek &amp; wiskunde</a:t>
          </a:r>
        </a:p>
      </dgm:t>
    </dgm:pt>
    <dgm:pt modelId="{7E8DB5F2-E139-4AFA-B83B-6F4A2E3BFE58}" type="parTrans" cxnId="{859E81B4-5498-4DB6-B00D-116168C892FE}">
      <dgm:prSet/>
      <dgm:spPr/>
      <dgm:t>
        <a:bodyPr/>
        <a:lstStyle/>
        <a:p>
          <a:endParaRPr lang="nl-NL"/>
        </a:p>
      </dgm:t>
    </dgm:pt>
    <dgm:pt modelId="{221B96BB-421C-4880-A6C1-50D96A048B72}" type="sibTrans" cxnId="{859E81B4-5498-4DB6-B00D-116168C892FE}">
      <dgm:prSet/>
      <dgm:spPr/>
      <dgm:t>
        <a:bodyPr/>
        <a:lstStyle/>
        <a:p>
          <a:endParaRPr lang="nl-NL"/>
        </a:p>
      </dgm:t>
    </dgm:pt>
    <dgm:pt modelId="{3796F5A3-BAEA-422F-A4E7-DFB4E0FEA7E0}">
      <dgm:prSet phldrT="[Tekst]" custT="1"/>
      <dgm:spPr/>
      <dgm:t>
        <a:bodyPr/>
        <a:lstStyle/>
        <a:p>
          <a:r>
            <a:rPr lang="nl-NL" sz="900"/>
            <a:t>Ethiek &amp; wetgeving</a:t>
          </a:r>
        </a:p>
      </dgm:t>
    </dgm:pt>
    <dgm:pt modelId="{1E60AC7B-C726-4929-8F4D-D839937A3E87}" type="parTrans" cxnId="{9CE03C17-69C0-471E-981E-FBE204CCBD38}">
      <dgm:prSet/>
      <dgm:spPr/>
      <dgm:t>
        <a:bodyPr/>
        <a:lstStyle/>
        <a:p>
          <a:endParaRPr lang="nl-NL"/>
        </a:p>
      </dgm:t>
    </dgm:pt>
    <dgm:pt modelId="{A5735654-9FD0-4A4F-822C-7ABD0EDB8142}" type="sibTrans" cxnId="{9CE03C17-69C0-471E-981E-FBE204CCBD38}">
      <dgm:prSet/>
      <dgm:spPr/>
      <dgm:t>
        <a:bodyPr/>
        <a:lstStyle/>
        <a:p>
          <a:endParaRPr lang="nl-NL"/>
        </a:p>
      </dgm:t>
    </dgm:pt>
    <dgm:pt modelId="{BBC5E5F3-0A8B-4DC0-883B-6A7C4301CF52}">
      <dgm:prSet phldrT="[Tekst]" custT="1"/>
      <dgm:spPr/>
      <dgm:t>
        <a:bodyPr/>
        <a:lstStyle/>
        <a:p>
          <a:r>
            <a:rPr lang="nl-NL" sz="900"/>
            <a:t>Engineering</a:t>
          </a:r>
        </a:p>
      </dgm:t>
    </dgm:pt>
    <dgm:pt modelId="{9F32A9D8-8256-4674-BDA5-661C941FB777}" type="parTrans" cxnId="{4BA1D6CA-FAA6-4B5A-8A5D-8ECBBAA1CF0A}">
      <dgm:prSet/>
      <dgm:spPr/>
      <dgm:t>
        <a:bodyPr/>
        <a:lstStyle/>
        <a:p>
          <a:endParaRPr lang="nl-NL"/>
        </a:p>
      </dgm:t>
    </dgm:pt>
    <dgm:pt modelId="{06CCC99C-4B88-4B6B-8298-0BA316731129}" type="sibTrans" cxnId="{4BA1D6CA-FAA6-4B5A-8A5D-8ECBBAA1CF0A}">
      <dgm:prSet/>
      <dgm:spPr/>
      <dgm:t>
        <a:bodyPr/>
        <a:lstStyle/>
        <a:p>
          <a:endParaRPr lang="nl-NL"/>
        </a:p>
      </dgm:t>
    </dgm:pt>
    <dgm:pt modelId="{572140DF-69E8-41A6-B5DB-1171856781F9}">
      <dgm:prSet phldrT="[Tekst]" custT="1"/>
      <dgm:spPr/>
      <dgm:t>
        <a:bodyPr/>
        <a:lstStyle/>
        <a:p>
          <a:r>
            <a:rPr lang="nl-NL" sz="900"/>
            <a:t>Machine learning</a:t>
          </a:r>
        </a:p>
      </dgm:t>
    </dgm:pt>
    <dgm:pt modelId="{C64AA8AF-1DC1-4AD2-B905-53F8506AD852}" type="parTrans" cxnId="{DFC86FBD-67A0-4057-89BE-420CA446F564}">
      <dgm:prSet/>
      <dgm:spPr/>
      <dgm:t>
        <a:bodyPr/>
        <a:lstStyle/>
        <a:p>
          <a:endParaRPr lang="nl-NL"/>
        </a:p>
      </dgm:t>
    </dgm:pt>
    <dgm:pt modelId="{F908CA9F-87D7-4A66-AEC1-E98696AB8F67}" type="sibTrans" cxnId="{DFC86FBD-67A0-4057-89BE-420CA446F564}">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31">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31">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31">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31">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31">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31">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9B677AB5-8643-43AB-A8BB-D8E12AD5A274}" type="pres">
      <dgm:prSet presAssocID="{6C20051A-C227-4FCE-84B9-13E8355C6FE0}" presName="childNode" presStyleLbl="node1" presStyleIdx="6" presStyleCnt="31">
        <dgm:presLayoutVars>
          <dgm:bulletEnabled val="1"/>
        </dgm:presLayoutVars>
      </dgm:prSet>
      <dgm:spPr/>
    </dgm:pt>
    <dgm:pt modelId="{E6B89461-4A3D-42F9-9724-85D072F06CBB}" type="pres">
      <dgm:prSet presAssocID="{6C20051A-C227-4FCE-84B9-13E8355C6FE0}" presName="aSpace2" presStyleCnt="0"/>
      <dgm:spPr/>
    </dgm:pt>
    <dgm:pt modelId="{ED72BB4B-3283-4FB6-8CED-112A7127815D}" type="pres">
      <dgm:prSet presAssocID="{D216417B-8724-4A89-97D4-DE24FD728663}" presName="childNode" presStyleLbl="node1" presStyleIdx="7" presStyleCnt="31">
        <dgm:presLayoutVars>
          <dgm:bulletEnabled val="1"/>
        </dgm:presLayoutVars>
      </dgm:prSet>
      <dgm:spPr/>
    </dgm:pt>
    <dgm:pt modelId="{D367107A-E0F3-4662-86D0-A24CFBAFCFBD}" type="pres">
      <dgm:prSet presAssocID="{D216417B-8724-4A89-97D4-DE24FD728663}" presName="aSpace2" presStyleCnt="0"/>
      <dgm:spPr/>
    </dgm:pt>
    <dgm:pt modelId="{CC2E3373-DA5B-4C6F-8D36-9B8401C426F1}" type="pres">
      <dgm:prSet presAssocID="{25BD133E-26E3-4B5D-AB73-DF0AE396540A}" presName="childNode" presStyleLbl="node1" presStyleIdx="8" presStyleCnt="31">
        <dgm:presLayoutVars>
          <dgm:bulletEnabled val="1"/>
        </dgm:presLayoutVars>
      </dgm:prSet>
      <dgm:spPr/>
    </dgm:pt>
    <dgm:pt modelId="{7D6D2806-2C57-4852-94CF-38E98AF88FEB}" type="pres">
      <dgm:prSet presAssocID="{25BD133E-26E3-4B5D-AB73-DF0AE396540A}" presName="aSpace2" presStyleCnt="0"/>
      <dgm:spPr/>
    </dgm:pt>
    <dgm:pt modelId="{AAE4CBD5-F872-46E5-88CC-B208AAF549C7}" type="pres">
      <dgm:prSet presAssocID="{7469682A-6110-4718-B92C-90147D4C2DA6}" presName="childNode" presStyleLbl="node1" presStyleIdx="9" presStyleCnt="31">
        <dgm:presLayoutVars>
          <dgm:bulletEnabled val="1"/>
        </dgm:presLayoutVars>
      </dgm:prSet>
      <dgm:spPr/>
    </dgm:pt>
    <dgm:pt modelId="{AE2D29CE-DE11-4833-8CD2-9EF24DD49649}" type="pres">
      <dgm:prSet presAssocID="{7469682A-6110-4718-B92C-90147D4C2DA6}" presName="aSpace2" presStyleCnt="0"/>
      <dgm:spPr/>
    </dgm:pt>
    <dgm:pt modelId="{AC0010BE-4C51-44B8-8068-1099CC536619}" type="pres">
      <dgm:prSet presAssocID="{1D27DB26-7722-4474-8DB2-5396EAC50736}" presName="childNode" presStyleLbl="node1" presStyleIdx="10" presStyleCnt="31">
        <dgm:presLayoutVars>
          <dgm:bulletEnabled val="1"/>
        </dgm:presLayoutVars>
      </dgm:prSet>
      <dgm:spPr/>
    </dgm:pt>
    <dgm:pt modelId="{77667934-EB54-4777-B42C-9331E664F2A6}" type="pres">
      <dgm:prSet presAssocID="{1D27DB26-7722-4474-8DB2-5396EAC50736}" presName="aSpace2" presStyleCnt="0"/>
      <dgm:spPr/>
    </dgm:pt>
    <dgm:pt modelId="{5824CF50-E671-4682-B30D-A50A577031CC}" type="pres">
      <dgm:prSet presAssocID="{24003E1A-7D7B-4B85-A7A6-1E530E765F26}" presName="childNode" presStyleLbl="node1" presStyleIdx="11" presStyleCnt="31">
        <dgm:presLayoutVars>
          <dgm:bulletEnabled val="1"/>
        </dgm:presLayoutVars>
      </dgm:prSet>
      <dgm:spPr/>
    </dgm:pt>
    <dgm:pt modelId="{E1E2D986-8719-4A2A-AFA7-F8D580D24E18}" type="pres">
      <dgm:prSet presAssocID="{24003E1A-7D7B-4B85-A7A6-1E530E765F26}" presName="aSpace2" presStyleCnt="0"/>
      <dgm:spPr/>
    </dgm:pt>
    <dgm:pt modelId="{DCF7D398-2740-46FC-B711-AFD0085CCA26}" type="pres">
      <dgm:prSet presAssocID="{3796F5A3-BAEA-422F-A4E7-DFB4E0FEA7E0}" presName="childNode" presStyleLbl="node1" presStyleIdx="12" presStyleCnt="31">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13" presStyleCnt="31">
        <dgm:presLayoutVars>
          <dgm:bulletEnabled val="1"/>
        </dgm:presLayoutVars>
      </dgm:prSet>
      <dgm:spPr/>
    </dgm:pt>
    <dgm:pt modelId="{DF1C0E16-9921-47F0-A6F2-1E91F143E5F6}" type="pres">
      <dgm:prSet presAssocID="{D38A169C-73FA-404F-BBC1-E58D54FDBE12}" presName="aSpace2" presStyleCnt="0"/>
      <dgm:spPr/>
    </dgm:pt>
    <dgm:pt modelId="{B9070CDF-6B88-466D-A57A-981B52E18A0C}" type="pres">
      <dgm:prSet presAssocID="{BBC5E5F3-0A8B-4DC0-883B-6A7C4301CF52}" presName="childNode" presStyleLbl="node1" presStyleIdx="14" presStyleCnt="31">
        <dgm:presLayoutVars>
          <dgm:bulletEnabled val="1"/>
        </dgm:presLayoutVars>
      </dgm:prSet>
      <dgm:spPr/>
    </dgm:pt>
    <dgm:pt modelId="{2B7473CA-50FA-400B-9738-AEA9945A8C79}" type="pres">
      <dgm:prSet presAssocID="{BBC5E5F3-0A8B-4DC0-883B-6A7C4301CF52}" presName="aSpace2" presStyleCnt="0"/>
      <dgm:spPr/>
    </dgm:pt>
    <dgm:pt modelId="{F046D5F2-55F2-44E0-9303-4BD081A907F5}" type="pres">
      <dgm:prSet presAssocID="{572140DF-69E8-41A6-B5DB-1171856781F9}" presName="childNode" presStyleLbl="node1" presStyleIdx="15" presStyleCnt="31">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16" presStyleCnt="31">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17" presStyleCnt="31">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18" presStyleCnt="31">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19" presStyleCnt="31">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20" presStyleCnt="31">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21" presStyleCnt="31">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22" presStyleCnt="31">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23" presStyleCnt="31">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24" presStyleCnt="31">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25" presStyleCnt="31">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26" presStyleCnt="31">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27" presStyleCnt="31">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28" presStyleCnt="31">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29" presStyleCnt="31">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30" presStyleCnt="31">
        <dgm:presLayoutVars>
          <dgm:bulletEnabled val="1"/>
        </dgm:presLayoutVars>
      </dgm:prSet>
      <dgm:spPr/>
    </dgm:pt>
  </dgm:ptLst>
  <dgm:cxnLst>
    <dgm:cxn modelId="{5A8A0D00-D94B-4E06-AF58-01235F5639C3}" type="presOf" srcId="{1D27DB26-7722-4474-8DB2-5396EAC50736}" destId="{AC0010BE-4C51-44B8-8068-1099CC536619}" srcOrd="0" destOrd="0" presId="urn:microsoft.com/office/officeart/2005/8/layout/lProcess2"/>
    <dgm:cxn modelId="{9AA6C102-B33A-45C3-AE7D-4BCB09515111}" srcId="{7ED69BD0-5C46-430C-BD11-1675B78445AF}" destId="{2E51DF25-B7C0-43DA-ADCE-0B6DAA3E9F7B}" srcOrd="3" destOrd="0" parTransId="{060E53C2-706B-40E2-B6B1-DC5694082B1A}" sibTransId="{54C986C0-7254-4D77-8EF8-B2E27153E9C6}"/>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87E5DC14-D8F4-4FF6-967E-E898B4A4AAFC}" type="presOf" srcId="{C134F88E-4C4C-4F83-B22D-C129B7E3477A}" destId="{7BE6FBB6-2C7F-4090-924E-AD3A157FFABE}" srcOrd="0" destOrd="0" presId="urn:microsoft.com/office/officeart/2005/8/layout/lProcess2"/>
    <dgm:cxn modelId="{9CE03C17-69C0-471E-981E-FBE204CCBD38}" srcId="{71C93146-8DBD-47BA-9B89-8D2FF25B6FDE}" destId="{3796F5A3-BAEA-422F-A4E7-DFB4E0FEA7E0}" srcOrd="6" destOrd="0" parTransId="{1E60AC7B-C726-4929-8F4D-D839937A3E87}" sibTransId="{A5735654-9FD0-4A4F-822C-7ABD0EDB8142}"/>
    <dgm:cxn modelId="{3D5ED217-C440-4DAD-B796-925F57CAEF8C}" type="presOf" srcId="{2B8DCA65-5882-490B-B6E0-1244B42860BD}" destId="{0482D866-2B3F-412E-9D66-E84151969353}"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79DAE12C-62CC-4628-8D32-E89216E2861F}" type="presOf" srcId="{3796F5A3-BAEA-422F-A4E7-DFB4E0FEA7E0}" destId="{DCF7D398-2740-46FC-B711-AFD0085CCA26}" srcOrd="0" destOrd="0" presId="urn:microsoft.com/office/officeart/2005/8/layout/lProcess2"/>
    <dgm:cxn modelId="{6317B032-9E2D-4C09-BFCB-DEE7F6FB19EC}" srcId="{39F506DE-50F1-49BE-9ED2-88EFDAE6F0E1}" destId="{C134F88E-4C4C-4F83-B22D-C129B7E3477A}" srcOrd="1" destOrd="0" parTransId="{3A9BCE9D-421C-4EAB-A25F-50ADA7668B4B}" sibTransId="{4236607B-8CE8-427B-A6C7-9C4FA5BC3E95}"/>
    <dgm:cxn modelId="{B3794135-D6F8-4259-9889-4CFE23B573EA}" type="presOf" srcId="{5689EC68-4989-4E1E-96FD-3A6DB0CAD78C}" destId="{5FFDAE0D-01DD-4F48-856B-01906FDFAC4D}" srcOrd="0" destOrd="0" presId="urn:microsoft.com/office/officeart/2005/8/layout/lProcess2"/>
    <dgm:cxn modelId="{30B7E838-9B7D-4D9C-AF84-FB3D80B5C2B5}" srcId="{731B959C-F05A-4425-AA8A-A0CC576E0CD6}" destId="{33D15CE1-2AE0-443F-9467-251AED4D49CA}" srcOrd="2" destOrd="0" parTransId="{8DBE2E30-A162-48E8-A94C-52C937E1A99A}" sibTransId="{4DADF293-3BD0-4310-9161-04488FADA7BD}"/>
    <dgm:cxn modelId="{A91C153A-AAE1-478B-8F28-DD6597A354F0}" srcId="{39F506DE-50F1-49BE-9ED2-88EFDAE6F0E1}" destId="{451149D5-FEDA-4765-B600-5039ABB58E53}" srcOrd="3" destOrd="0" parTransId="{4E2281CA-A78E-45B2-B336-A5EC6E0D7E46}" sibTransId="{9902A7BB-1925-42EB-BB58-87F6AD6E80B5}"/>
    <dgm:cxn modelId="{12BC693D-0B61-4DD5-9951-D069F37E2097}" type="presOf" srcId="{451149D5-FEDA-4765-B600-5039ABB58E53}" destId="{9821E4E8-E247-4525-A9DD-43D8B524714D}" srcOrd="0" destOrd="0" presId="urn:microsoft.com/office/officeart/2005/8/layout/lProcess2"/>
    <dgm:cxn modelId="{EE06583E-1D7B-4600-9D41-C238521BACA8}" type="presOf" srcId="{6C20051A-C227-4FCE-84B9-13E8355C6FE0}" destId="{9B677AB5-8643-43AB-A8BB-D8E12AD5A274}"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A3BC7C3F-ED7C-4478-974B-E9E998646BA6}" type="presOf" srcId="{24003E1A-7D7B-4B85-A7A6-1E530E765F26}" destId="{5824CF50-E671-4682-B30D-A50A577031CC}" srcOrd="0" destOrd="0" presId="urn:microsoft.com/office/officeart/2005/8/layout/lProcess2"/>
    <dgm:cxn modelId="{797C7740-3B4D-4E3F-93C7-6B97DEBA0EF6}" type="presOf" srcId="{00C5AD74-BB5E-4C37-87ED-5C005FAF2322}" destId="{2EA20561-6CFD-4954-A64B-AB91B0668E80}"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ED7DF260-3958-4453-94DC-9FE9FCA20AB2}" type="presOf" srcId="{A7DDA4F1-B40B-46B4-B746-EA89906A2FB4}" destId="{66D2E35F-6AA8-4674-9525-32D6D3B769C9}" srcOrd="0" destOrd="0" presId="urn:microsoft.com/office/officeart/2005/8/layout/lProcess2"/>
    <dgm:cxn modelId="{5B9BC363-A286-42FB-A533-6542AF21BB0B}" srcId="{71C93146-8DBD-47BA-9B89-8D2FF25B6FDE}" destId="{D216417B-8724-4A89-97D4-DE24FD728663}" srcOrd="1" destOrd="0" parTransId="{38AE1861-BF10-48F6-9902-51054B81E7B4}" sibTransId="{A41718D6-2FB8-4C3B-9ED4-B1EC2AF89F87}"/>
    <dgm:cxn modelId="{3C0AD464-02F9-447E-A6D3-18CA9A9E3E97}" type="presOf" srcId="{E4B92491-EA9A-4D22-9CF8-82866D9BC210}" destId="{D9D4FC23-0730-4C6A-92D3-55905B566BDA}" srcOrd="0" destOrd="0" presId="urn:microsoft.com/office/officeart/2005/8/layout/lProcess2"/>
    <dgm:cxn modelId="{26F52E46-D179-4405-A7E6-7B242941C7C5}" type="presOf" srcId="{BBC5E5F3-0A8B-4DC0-883B-6A7C4301CF52}" destId="{B9070CDF-6B88-466D-A57A-981B52E18A0C}" srcOrd="0" destOrd="0" presId="urn:microsoft.com/office/officeart/2005/8/layout/lProcess2"/>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0D5CC86C-2EEA-49F8-9B57-7EFE5B677FFC}" srcId="{71C93146-8DBD-47BA-9B89-8D2FF25B6FDE}" destId="{25BD133E-26E3-4B5D-AB73-DF0AE396540A}" srcOrd="2" destOrd="0" parTransId="{02EDB164-F36D-46FB-96AC-6ED75058390F}" sibTransId="{694F62E6-4B92-44DC-8983-0F59A339343D}"/>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EA6FDD51-17DC-45DD-94EB-D04872699E7D}" type="presOf" srcId="{731B959C-F05A-4425-AA8A-A0CC576E0CD6}" destId="{788DE979-FF1A-4219-BF84-8A28593CCB94}" srcOrd="0" destOrd="0" presId="urn:microsoft.com/office/officeart/2005/8/layout/lProcess2"/>
    <dgm:cxn modelId="{5E8EE272-1E1D-4F39-A6DE-414AB9BDBE15}" type="presOf" srcId="{7469682A-6110-4718-B92C-90147D4C2DA6}" destId="{AAE4CBD5-F872-46E5-88CC-B208AAF549C7}"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3C39BA76-36BD-45C8-9B8C-C56D6FC2B6E2}" type="presOf" srcId="{23669D9C-1B83-4042-BBDD-E437161DD5D6}" destId="{DED3F222-26E6-4809-AA91-F07F244295C3}" srcOrd="0" destOrd="0" presId="urn:microsoft.com/office/officeart/2005/8/layout/lProcess2"/>
    <dgm:cxn modelId="{0DD3C077-59B5-45EC-AC06-5D5C373255B6}" srcId="{71C93146-8DBD-47BA-9B89-8D2FF25B6FDE}" destId="{7469682A-6110-4718-B92C-90147D4C2DA6}" srcOrd="3" destOrd="0" parTransId="{6D27C497-F84F-477A-B767-CE3E0CF150F6}" sibTransId="{50C4F012-1386-4D67-941F-0B7E5D3EF162}"/>
    <dgm:cxn modelId="{FF4B5158-2282-42EF-8818-48BE7EC54C4F}" type="presOf" srcId="{9CC56A7C-11FF-4892-B122-891E65EB1004}" destId="{AAF2ACE6-5E38-4636-B080-BC2D37E74DD8}" srcOrd="0" destOrd="0" presId="urn:microsoft.com/office/officeart/2005/8/layout/lProcess2"/>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28396088-9F13-41F4-B6CB-6A5C0B3DD9F0}" type="presOf" srcId="{35F91573-84CF-4D05-97CE-0E5A3583D4E6}" destId="{8387A50E-865C-4F7E-BAF7-78F89B5F3C88}" srcOrd="0" destOrd="0" presId="urn:microsoft.com/office/officeart/2005/8/layout/lProcess2"/>
    <dgm:cxn modelId="{FA676D8E-DD10-4206-946E-A18DBBC548C9}" srcId="{3C8EFC9A-BDC9-4CB0-8DCF-FD6F89FD7C78}" destId="{CB339438-8F81-4836-B0D6-39E445779B2D}" srcOrd="2" destOrd="0" parTransId="{81844B2A-8DE3-4EEB-9E0E-031ED26B43F7}" sibTransId="{217513DC-7E70-4D8D-9CA4-5D4693EB7292}"/>
    <dgm:cxn modelId="{CC0B9192-6ADB-42ED-A62D-0C2A56F3FA4F}" type="presOf" srcId="{71C93146-8DBD-47BA-9B89-8D2FF25B6FDE}" destId="{54671E33-5AC7-4CD0-91C9-A60A47022F3E}" srcOrd="0" destOrd="0" presId="urn:microsoft.com/office/officeart/2005/8/layout/lProcess2"/>
    <dgm:cxn modelId="{3FCEE895-271C-4136-B426-FE7F1582CEF1}" srcId="{CB339438-8F81-4836-B0D6-39E445779B2D}" destId="{D38A169C-73FA-404F-BBC1-E58D54FDBE12}" srcOrd="0" destOrd="0" parTransId="{972BF931-FB6A-47EF-8701-10AC9CDA14F0}" sibTransId="{A99A1C84-B8AD-4CE4-944A-AF6FBA84AD6E}"/>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B6A2B7A2-FF80-4270-BE4E-2808830EFFFC}" srcId="{71C93146-8DBD-47BA-9B89-8D2FF25B6FDE}" destId="{6C20051A-C227-4FCE-84B9-13E8355C6FE0}" srcOrd="0" destOrd="0" parTransId="{31AEE7A3-A8AC-425D-8431-C8B66249CB15}" sibTransId="{70525940-7440-4C0F-AFCA-45BB15C67DD9}"/>
    <dgm:cxn modelId="{DFD1EAA7-E9B7-4782-A476-14CE33073947}" srcId="{39F506DE-50F1-49BE-9ED2-88EFDAE6F0E1}" destId="{5788F799-C613-40C5-8761-BEA82B1C90FC}" srcOrd="2" destOrd="0" parTransId="{B1600F06-2268-4E93-8025-6213C861BF03}" sibTransId="{34DDA67C-48F2-49AC-B592-522587E58066}"/>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859E81B4-5498-4DB6-B00D-116168C892FE}" srcId="{71C93146-8DBD-47BA-9B89-8D2FF25B6FDE}" destId="{24003E1A-7D7B-4B85-A7A6-1E530E765F26}" srcOrd="5" destOrd="0" parTransId="{7E8DB5F2-E139-4AFA-B83B-6F4A2E3BFE58}" sibTransId="{221B96BB-421C-4880-A6C1-50D96A048B72}"/>
    <dgm:cxn modelId="{816512B8-B791-4083-B49A-F17B35A4A282}" type="presOf" srcId="{33D15CE1-2AE0-443F-9467-251AED4D49CA}" destId="{23C873A2-9912-4FE4-BDE7-C88BA9B2ECB3}" srcOrd="0" destOrd="0" presId="urn:microsoft.com/office/officeart/2005/8/layout/lProcess2"/>
    <dgm:cxn modelId="{70C240BD-A947-494F-854E-E0EA692EFD0B}" type="presOf" srcId="{CB339438-8F81-4836-B0D6-39E445779B2D}" destId="{3D88E221-0C0B-49C5-BB85-D37F5241594C}" srcOrd="1" destOrd="0" presId="urn:microsoft.com/office/officeart/2005/8/layout/lProcess2"/>
    <dgm:cxn modelId="{DFC86FBD-67A0-4057-89BE-420CA446F564}" srcId="{CB339438-8F81-4836-B0D6-39E445779B2D}" destId="{572140DF-69E8-41A6-B5DB-1171856781F9}" srcOrd="2" destOrd="0" parTransId="{C64AA8AF-1DC1-4AD2-B905-53F8506AD852}" sibTransId="{F908CA9F-87D7-4A66-AEC1-E98696AB8F67}"/>
    <dgm:cxn modelId="{F26BA3BD-6518-4730-94A7-3A202E2B4E03}" type="presOf" srcId="{572140DF-69E8-41A6-B5DB-1171856781F9}" destId="{F046D5F2-55F2-44E0-9303-4BD081A907F5}" srcOrd="0"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4BA1D6CA-FAA6-4B5A-8A5D-8ECBBAA1CF0A}" srcId="{CB339438-8F81-4836-B0D6-39E445779B2D}" destId="{BBC5E5F3-0A8B-4DC0-883B-6A7C4301CF52}" srcOrd="1" destOrd="0" parTransId="{9F32A9D8-8256-4674-BDA5-661C941FB777}" sibTransId="{06CCC99C-4B88-4B6B-8298-0BA316731129}"/>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78221ED5-5C18-4DA5-A9A1-554195C60870}" type="presOf" srcId="{25BD133E-26E3-4B5D-AB73-DF0AE396540A}" destId="{CC2E3373-DA5B-4C6F-8D36-9B8401C426F1}" srcOrd="0" destOrd="0" presId="urn:microsoft.com/office/officeart/2005/8/layout/lProcess2"/>
    <dgm:cxn modelId="{B9770FDA-37FF-43F8-A310-12FA30D16BC1}" srcId="{731B959C-F05A-4425-AA8A-A0CC576E0CD6}" destId="{E4529BFC-7FBA-401E-83DC-ED21706EC71E}" srcOrd="0" destOrd="0" parTransId="{75EC726F-0F1A-4A9A-AAA4-BA5A62E7EF13}" sibTransId="{2694060A-8504-46CC-B366-F826D32B0115}"/>
    <dgm:cxn modelId="{9AAB57E0-9A9C-49B5-9F1E-B32FB33F8CB7}" srcId="{71C93146-8DBD-47BA-9B89-8D2FF25B6FDE}" destId="{1D27DB26-7722-4474-8DB2-5396EAC50736}" srcOrd="4" destOrd="0" parTransId="{21D7F464-592D-4E28-A424-A0D43788C208}" sibTransId="{8F180645-A45E-4E01-915B-B03D64E44E45}"/>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DF4930EE-E080-4A33-A5A2-D0A164B70308}" srcId="{39F506DE-50F1-49BE-9ED2-88EFDAE6F0E1}" destId="{C73CB937-E35C-46A7-A528-03AE78F9430B}" srcOrd="4" destOrd="0" parTransId="{4C4481EF-620D-4181-8F00-31DC7C846A66}" sibTransId="{CF0C6F57-028A-4F8B-9B40-15B58322102D}"/>
    <dgm:cxn modelId="{55C2DFF2-EDBE-45FB-8FCB-121AEBAE19AA}" srcId="{35F91573-84CF-4D05-97CE-0E5A3583D4E6}" destId="{437562EF-45B9-4108-A430-E90D425350DB}" srcOrd="0" destOrd="0" parTransId="{5D122FFE-41EF-4D98-A656-471511B9F739}" sibTransId="{DA5646B2-415F-44CC-B454-6CDE34BFAF76}"/>
    <dgm:cxn modelId="{1BAAFAF2-950B-4CDF-A69C-D402BC589285}" type="presOf" srcId="{D216417B-8724-4A89-97D4-DE24FD728663}" destId="{ED72BB4B-3283-4FB6-8CED-112A7127815D}" srcOrd="0" destOrd="0" presId="urn:microsoft.com/office/officeart/2005/8/layout/lProcess2"/>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B69C4A38-A460-44E4-B339-D89F99E0A4ED}" type="presParOf" srcId="{10201B17-1614-4D45-8D1F-E89E82CE147B}" destId="{9B677AB5-8643-43AB-A8BB-D8E12AD5A274}" srcOrd="0" destOrd="0" presId="urn:microsoft.com/office/officeart/2005/8/layout/lProcess2"/>
    <dgm:cxn modelId="{F5F776D9-CA4F-4208-B41C-1662B9990B85}" type="presParOf" srcId="{10201B17-1614-4D45-8D1F-E89E82CE147B}" destId="{E6B89461-4A3D-42F9-9724-85D072F06CBB}" srcOrd="1" destOrd="0" presId="urn:microsoft.com/office/officeart/2005/8/layout/lProcess2"/>
    <dgm:cxn modelId="{A763D499-898B-43C6-8A74-5B370EF3F50B}" type="presParOf" srcId="{10201B17-1614-4D45-8D1F-E89E82CE147B}" destId="{ED72BB4B-3283-4FB6-8CED-112A7127815D}" srcOrd="2" destOrd="0" presId="urn:microsoft.com/office/officeart/2005/8/layout/lProcess2"/>
    <dgm:cxn modelId="{3B28D20C-372B-46FB-9D36-2A67DE52AB5E}" type="presParOf" srcId="{10201B17-1614-4D45-8D1F-E89E82CE147B}" destId="{D367107A-E0F3-4662-86D0-A24CFBAFCFBD}" srcOrd="3" destOrd="0" presId="urn:microsoft.com/office/officeart/2005/8/layout/lProcess2"/>
    <dgm:cxn modelId="{F35C7AA0-19B1-49EB-869A-EE519E4FF317}" type="presParOf" srcId="{10201B17-1614-4D45-8D1F-E89E82CE147B}" destId="{CC2E3373-DA5B-4C6F-8D36-9B8401C426F1}" srcOrd="4" destOrd="0" presId="urn:microsoft.com/office/officeart/2005/8/layout/lProcess2"/>
    <dgm:cxn modelId="{9A5A98D8-F736-4C61-BEAF-BCF70D0BE3EC}" type="presParOf" srcId="{10201B17-1614-4D45-8D1F-E89E82CE147B}" destId="{7D6D2806-2C57-4852-94CF-38E98AF88FEB}" srcOrd="5" destOrd="0" presId="urn:microsoft.com/office/officeart/2005/8/layout/lProcess2"/>
    <dgm:cxn modelId="{E0BF4AF6-603C-47AC-BB96-E446C251F7C1}" type="presParOf" srcId="{10201B17-1614-4D45-8D1F-E89E82CE147B}" destId="{AAE4CBD5-F872-46E5-88CC-B208AAF549C7}" srcOrd="6" destOrd="0" presId="urn:microsoft.com/office/officeart/2005/8/layout/lProcess2"/>
    <dgm:cxn modelId="{5BEB4925-1825-47B6-960B-4099DAC9C1AD}" type="presParOf" srcId="{10201B17-1614-4D45-8D1F-E89E82CE147B}" destId="{AE2D29CE-DE11-4833-8CD2-9EF24DD49649}" srcOrd="7" destOrd="0" presId="urn:microsoft.com/office/officeart/2005/8/layout/lProcess2"/>
    <dgm:cxn modelId="{67A5DD11-11BE-4F2A-9185-5F35F5C804F9}" type="presParOf" srcId="{10201B17-1614-4D45-8D1F-E89E82CE147B}" destId="{AC0010BE-4C51-44B8-8068-1099CC536619}" srcOrd="8" destOrd="0" presId="urn:microsoft.com/office/officeart/2005/8/layout/lProcess2"/>
    <dgm:cxn modelId="{7400BEF8-14B2-4907-A004-16A66FB0DDFE}" type="presParOf" srcId="{10201B17-1614-4D45-8D1F-E89E82CE147B}" destId="{77667934-EB54-4777-B42C-9331E664F2A6}" srcOrd="9" destOrd="0" presId="urn:microsoft.com/office/officeart/2005/8/layout/lProcess2"/>
    <dgm:cxn modelId="{B6DBBC8A-6B23-46B3-BD24-60D93CE0E260}" type="presParOf" srcId="{10201B17-1614-4D45-8D1F-E89E82CE147B}" destId="{5824CF50-E671-4682-B30D-A50A577031CC}" srcOrd="10" destOrd="0" presId="urn:microsoft.com/office/officeart/2005/8/layout/lProcess2"/>
    <dgm:cxn modelId="{B21D8D94-BDEE-4A34-8D0E-68B174A4FE4D}" type="presParOf" srcId="{10201B17-1614-4D45-8D1F-E89E82CE147B}" destId="{E1E2D986-8719-4A2A-AFA7-F8D580D24E18}" srcOrd="11" destOrd="0" presId="urn:microsoft.com/office/officeart/2005/8/layout/lProcess2"/>
    <dgm:cxn modelId="{49D74EE0-0F65-443E-8D5A-617F9C098A18}" type="presParOf" srcId="{10201B17-1614-4D45-8D1F-E89E82CE147B}" destId="{DCF7D398-2740-46FC-B711-AFD0085CCA26}" srcOrd="12"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B73DD717-E1F0-4B43-9420-2009A3ED0853}" type="presParOf" srcId="{E3A1EC06-F8F1-47EA-A4C0-7BCCDF995841}" destId="{DF1C0E16-9921-47F0-A6F2-1E91F143E5F6}" srcOrd="1" destOrd="0" presId="urn:microsoft.com/office/officeart/2005/8/layout/lProcess2"/>
    <dgm:cxn modelId="{35C683B4-B037-4C87-A5B4-FB2FA44C72D6}" type="presParOf" srcId="{E3A1EC06-F8F1-47EA-A4C0-7BCCDF995841}" destId="{B9070CDF-6B88-466D-A57A-981B52E18A0C}" srcOrd="2" destOrd="0" presId="urn:microsoft.com/office/officeart/2005/8/layout/lProcess2"/>
    <dgm:cxn modelId="{8F78E91E-8BEB-4C55-98F2-0706A6931D93}" type="presParOf" srcId="{E3A1EC06-F8F1-47EA-A4C0-7BCCDF995841}" destId="{2B7473CA-50FA-400B-9738-AEA9945A8C79}" srcOrd="3" destOrd="0" presId="urn:microsoft.com/office/officeart/2005/8/layout/lProcess2"/>
    <dgm:cxn modelId="{9CF69617-AB90-4336-BC30-7B9ED3BE2DB3}" type="presParOf" srcId="{E3A1EC06-F8F1-47EA-A4C0-7BCCDF995841}" destId="{F046D5F2-55F2-44E0-9303-4BD081A907F5}" srcOrd="4"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320415" cy="1396111"/>
      </dsp:txXfrm>
    </dsp:sp>
    <dsp:sp modelId="{D9D4FC23-0730-4C6A-92D3-55905B566BDA}">
      <dsp:nvSpPr>
        <dsp:cNvPr id="0" name=""/>
        <dsp:cNvSpPr/>
      </dsp:nvSpPr>
      <dsp:spPr>
        <a:xfrm>
          <a:off x="135383"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148469" y="1409424"/>
        <a:ext cx="1030160" cy="420622"/>
      </dsp:txXfrm>
    </dsp:sp>
    <dsp:sp modelId="{B92FF65D-7314-4281-8C61-D2E02ABB453E}">
      <dsp:nvSpPr>
        <dsp:cNvPr id="0" name=""/>
        <dsp:cNvSpPr/>
      </dsp:nvSpPr>
      <dsp:spPr>
        <a:xfrm>
          <a:off x="135383"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148469" y="1924956"/>
        <a:ext cx="1030160" cy="420622"/>
      </dsp:txXfrm>
    </dsp:sp>
    <dsp:sp modelId="{8BA67AC5-5D23-4E1E-BC34-5B51379E48E7}">
      <dsp:nvSpPr>
        <dsp:cNvPr id="0" name=""/>
        <dsp:cNvSpPr/>
      </dsp:nvSpPr>
      <dsp:spPr>
        <a:xfrm>
          <a:off x="135383"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148469" y="2440488"/>
        <a:ext cx="1030160" cy="420622"/>
      </dsp:txXfrm>
    </dsp:sp>
    <dsp:sp modelId="{EE4F65C3-F61D-4F57-82E6-6248AF681702}">
      <dsp:nvSpPr>
        <dsp:cNvPr id="0" name=""/>
        <dsp:cNvSpPr/>
      </dsp:nvSpPr>
      <dsp:spPr>
        <a:xfrm>
          <a:off x="135383"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148469" y="2956019"/>
        <a:ext cx="1030160" cy="420622"/>
      </dsp:txXfrm>
    </dsp:sp>
    <dsp:sp modelId="{4AA2C2D8-38AC-49A4-B325-32683F44EAF4}">
      <dsp:nvSpPr>
        <dsp:cNvPr id="0" name=""/>
        <dsp:cNvSpPr/>
      </dsp:nvSpPr>
      <dsp:spPr>
        <a:xfrm>
          <a:off x="135383"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148469" y="3471551"/>
        <a:ext cx="1030160" cy="420622"/>
      </dsp:txXfrm>
    </dsp:sp>
    <dsp:sp modelId="{211DDDCD-7378-4BEA-A98D-65ED33393EC4}">
      <dsp:nvSpPr>
        <dsp:cNvPr id="0" name=""/>
        <dsp:cNvSpPr/>
      </dsp:nvSpPr>
      <dsp:spPr>
        <a:xfrm>
          <a:off x="135383"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148469" y="3987083"/>
        <a:ext cx="1030160" cy="420622"/>
      </dsp:txXfrm>
    </dsp:sp>
    <dsp:sp modelId="{54671E33-5AC7-4CD0-91C9-A60A47022F3E}">
      <dsp:nvSpPr>
        <dsp:cNvPr id="0" name=""/>
        <dsp:cNvSpPr/>
      </dsp:nvSpPr>
      <dsp:spPr>
        <a:xfrm>
          <a:off x="142278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422788" y="0"/>
        <a:ext cx="1320415" cy="1396111"/>
      </dsp:txXfrm>
    </dsp:sp>
    <dsp:sp modelId="{9B677AB5-8643-43AB-A8BB-D8E12AD5A274}">
      <dsp:nvSpPr>
        <dsp:cNvPr id="0" name=""/>
        <dsp:cNvSpPr/>
      </dsp:nvSpPr>
      <dsp:spPr>
        <a:xfrm>
          <a:off x="1554830" y="1398951"/>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Datakwaliteit</a:t>
          </a:r>
        </a:p>
      </dsp:txBody>
      <dsp:txXfrm>
        <a:off x="1565991" y="1410112"/>
        <a:ext cx="1034010" cy="358745"/>
      </dsp:txXfrm>
    </dsp:sp>
    <dsp:sp modelId="{ED72BB4B-3283-4FB6-8CED-112A7127815D}">
      <dsp:nvSpPr>
        <dsp:cNvPr id="0" name=""/>
        <dsp:cNvSpPr/>
      </dsp:nvSpPr>
      <dsp:spPr>
        <a:xfrm>
          <a:off x="1554830" y="1838644"/>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exploratie</a:t>
          </a:r>
        </a:p>
      </dsp:txBody>
      <dsp:txXfrm>
        <a:off x="1565991" y="1849805"/>
        <a:ext cx="1034010" cy="358745"/>
      </dsp:txXfrm>
    </dsp:sp>
    <dsp:sp modelId="{CC2E3373-DA5B-4C6F-8D36-9B8401C426F1}">
      <dsp:nvSpPr>
        <dsp:cNvPr id="0" name=""/>
        <dsp:cNvSpPr/>
      </dsp:nvSpPr>
      <dsp:spPr>
        <a:xfrm>
          <a:off x="1554830" y="2278338"/>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Analyse &amp; visualisatie</a:t>
          </a:r>
        </a:p>
      </dsp:txBody>
      <dsp:txXfrm>
        <a:off x="1565991" y="2289499"/>
        <a:ext cx="1034010" cy="358745"/>
      </dsp:txXfrm>
    </dsp:sp>
    <dsp:sp modelId="{AAE4CBD5-F872-46E5-88CC-B208AAF549C7}">
      <dsp:nvSpPr>
        <dsp:cNvPr id="0" name=""/>
        <dsp:cNvSpPr/>
      </dsp:nvSpPr>
      <dsp:spPr>
        <a:xfrm>
          <a:off x="1554830" y="2718031"/>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Modelleren</a:t>
          </a:r>
        </a:p>
      </dsp:txBody>
      <dsp:txXfrm>
        <a:off x="1565991" y="2729192"/>
        <a:ext cx="1034010" cy="358745"/>
      </dsp:txXfrm>
    </dsp:sp>
    <dsp:sp modelId="{AC0010BE-4C51-44B8-8068-1099CC536619}">
      <dsp:nvSpPr>
        <dsp:cNvPr id="0" name=""/>
        <dsp:cNvSpPr/>
      </dsp:nvSpPr>
      <dsp:spPr>
        <a:xfrm>
          <a:off x="1554830" y="3157724"/>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Deployment</a:t>
          </a:r>
        </a:p>
      </dsp:txBody>
      <dsp:txXfrm>
        <a:off x="1565991" y="3168885"/>
        <a:ext cx="1034010" cy="358745"/>
      </dsp:txXfrm>
    </dsp:sp>
    <dsp:sp modelId="{5824CF50-E671-4682-B30D-A50A577031CC}">
      <dsp:nvSpPr>
        <dsp:cNvPr id="0" name=""/>
        <dsp:cNvSpPr/>
      </dsp:nvSpPr>
      <dsp:spPr>
        <a:xfrm>
          <a:off x="1554830" y="3597417"/>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Statistiek &amp; wiskunde</a:t>
          </a:r>
        </a:p>
      </dsp:txBody>
      <dsp:txXfrm>
        <a:off x="1565991" y="3608578"/>
        <a:ext cx="1034010" cy="358745"/>
      </dsp:txXfrm>
    </dsp:sp>
    <dsp:sp modelId="{DCF7D398-2740-46FC-B711-AFD0085CCA26}">
      <dsp:nvSpPr>
        <dsp:cNvPr id="0" name=""/>
        <dsp:cNvSpPr/>
      </dsp:nvSpPr>
      <dsp:spPr>
        <a:xfrm>
          <a:off x="1554830" y="4037110"/>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Ethiek &amp; wetgeving</a:t>
          </a:r>
        </a:p>
      </dsp:txBody>
      <dsp:txXfrm>
        <a:off x="1565991" y="4048271"/>
        <a:ext cx="1034010" cy="358745"/>
      </dsp:txXfrm>
    </dsp:sp>
    <dsp:sp modelId="{6D56517E-766B-45C1-B3BA-03A92A9F1628}">
      <dsp:nvSpPr>
        <dsp:cNvPr id="0" name=""/>
        <dsp:cNvSpPr/>
      </dsp:nvSpPr>
      <dsp:spPr>
        <a:xfrm>
          <a:off x="2859163"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2859163" y="0"/>
        <a:ext cx="1320415" cy="1396111"/>
      </dsp:txXfrm>
    </dsp:sp>
    <dsp:sp modelId="{A239EC8B-8508-4BCF-8FEB-C4B29C102781}">
      <dsp:nvSpPr>
        <dsp:cNvPr id="0" name=""/>
        <dsp:cNvSpPr/>
      </dsp:nvSpPr>
      <dsp:spPr>
        <a:xfrm>
          <a:off x="2974276" y="1396508"/>
          <a:ext cx="1056332" cy="914266"/>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Programmeren</a:t>
          </a:r>
        </a:p>
      </dsp:txBody>
      <dsp:txXfrm>
        <a:off x="3001054" y="1423286"/>
        <a:ext cx="1002776" cy="860710"/>
      </dsp:txXfrm>
    </dsp:sp>
    <dsp:sp modelId="{B9070CDF-6B88-466D-A57A-981B52E18A0C}">
      <dsp:nvSpPr>
        <dsp:cNvPr id="0" name=""/>
        <dsp:cNvSpPr/>
      </dsp:nvSpPr>
      <dsp:spPr>
        <a:xfrm>
          <a:off x="2974276" y="2451431"/>
          <a:ext cx="1056332" cy="914266"/>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Engineering</a:t>
          </a:r>
        </a:p>
      </dsp:txBody>
      <dsp:txXfrm>
        <a:off x="3001054" y="2478209"/>
        <a:ext cx="1002776" cy="860710"/>
      </dsp:txXfrm>
    </dsp:sp>
    <dsp:sp modelId="{F046D5F2-55F2-44E0-9303-4BD081A907F5}">
      <dsp:nvSpPr>
        <dsp:cNvPr id="0" name=""/>
        <dsp:cNvSpPr/>
      </dsp:nvSpPr>
      <dsp:spPr>
        <a:xfrm>
          <a:off x="2974276" y="3506354"/>
          <a:ext cx="1056332" cy="914266"/>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Machine learning</a:t>
          </a:r>
        </a:p>
      </dsp:txBody>
      <dsp:txXfrm>
        <a:off x="3001054" y="3533132"/>
        <a:ext cx="1002776" cy="860710"/>
      </dsp:txXfrm>
    </dsp:sp>
    <dsp:sp modelId="{D3D71071-A754-4C0E-9FFD-064FC19C1E19}">
      <dsp:nvSpPr>
        <dsp:cNvPr id="0" name=""/>
        <dsp:cNvSpPr/>
      </dsp:nvSpPr>
      <dsp:spPr>
        <a:xfrm>
          <a:off x="4261682"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4261682" y="0"/>
        <a:ext cx="1320415" cy="1396111"/>
      </dsp:txXfrm>
    </dsp:sp>
    <dsp:sp modelId="{5FFDAE0D-01DD-4F48-856B-01906FDFAC4D}">
      <dsp:nvSpPr>
        <dsp:cNvPr id="0" name=""/>
        <dsp:cNvSpPr/>
      </dsp:nvSpPr>
      <dsp:spPr>
        <a:xfrm>
          <a:off x="4393723"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4409491" y="1412759"/>
        <a:ext cx="1024796" cy="506832"/>
      </dsp:txXfrm>
    </dsp:sp>
    <dsp:sp modelId="{7BE6FBB6-2C7F-4090-924E-AD3A157FFABE}">
      <dsp:nvSpPr>
        <dsp:cNvPr id="0" name=""/>
        <dsp:cNvSpPr/>
      </dsp:nvSpPr>
      <dsp:spPr>
        <a:xfrm>
          <a:off x="4393723"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4409491" y="2033954"/>
        <a:ext cx="1024796" cy="506832"/>
      </dsp:txXfrm>
    </dsp:sp>
    <dsp:sp modelId="{1BF27B21-0FAC-4F32-B691-48071D34A960}">
      <dsp:nvSpPr>
        <dsp:cNvPr id="0" name=""/>
        <dsp:cNvSpPr/>
      </dsp:nvSpPr>
      <dsp:spPr>
        <a:xfrm>
          <a:off x="4393723"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4409491" y="2655148"/>
        <a:ext cx="1024796" cy="506832"/>
      </dsp:txXfrm>
    </dsp:sp>
    <dsp:sp modelId="{9821E4E8-E247-4525-A9DD-43D8B524714D}">
      <dsp:nvSpPr>
        <dsp:cNvPr id="0" name=""/>
        <dsp:cNvSpPr/>
      </dsp:nvSpPr>
      <dsp:spPr>
        <a:xfrm>
          <a:off x="4393723"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4409491" y="3276343"/>
        <a:ext cx="1024796" cy="506832"/>
      </dsp:txXfrm>
    </dsp:sp>
    <dsp:sp modelId="{6081A0E7-3270-44D0-B4CD-B69CEEB69F68}">
      <dsp:nvSpPr>
        <dsp:cNvPr id="0" name=""/>
        <dsp:cNvSpPr/>
      </dsp:nvSpPr>
      <dsp:spPr>
        <a:xfrm>
          <a:off x="4393723"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4409491" y="3897537"/>
        <a:ext cx="1024796" cy="506832"/>
      </dsp:txXfrm>
    </dsp:sp>
    <dsp:sp modelId="{8387A50E-865C-4F7E-BAF7-78F89B5F3C88}">
      <dsp:nvSpPr>
        <dsp:cNvPr id="0" name=""/>
        <dsp:cNvSpPr/>
      </dsp:nvSpPr>
      <dsp:spPr>
        <a:xfrm>
          <a:off x="568112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5681128" y="0"/>
        <a:ext cx="1320415" cy="1396111"/>
      </dsp:txXfrm>
    </dsp:sp>
    <dsp:sp modelId="{45ED17EB-782D-462A-9CC1-E53FA40A33C7}">
      <dsp:nvSpPr>
        <dsp:cNvPr id="0" name=""/>
        <dsp:cNvSpPr/>
      </dsp:nvSpPr>
      <dsp:spPr>
        <a:xfrm>
          <a:off x="5813170"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5828938" y="1412759"/>
        <a:ext cx="1024796" cy="506832"/>
      </dsp:txXfrm>
    </dsp:sp>
    <dsp:sp modelId="{0482D866-2B3F-412E-9D66-E84151969353}">
      <dsp:nvSpPr>
        <dsp:cNvPr id="0" name=""/>
        <dsp:cNvSpPr/>
      </dsp:nvSpPr>
      <dsp:spPr>
        <a:xfrm>
          <a:off x="5813170"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5828938" y="2033954"/>
        <a:ext cx="1024796" cy="506832"/>
      </dsp:txXfrm>
    </dsp:sp>
    <dsp:sp modelId="{07A918F0-62D9-46AE-9F9F-62DB5B328CB3}">
      <dsp:nvSpPr>
        <dsp:cNvPr id="0" name=""/>
        <dsp:cNvSpPr/>
      </dsp:nvSpPr>
      <dsp:spPr>
        <a:xfrm>
          <a:off x="5813170"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5828938" y="2655148"/>
        <a:ext cx="1024796" cy="506832"/>
      </dsp:txXfrm>
    </dsp:sp>
    <dsp:sp modelId="{DED3F222-26E6-4809-AA91-F07F244295C3}">
      <dsp:nvSpPr>
        <dsp:cNvPr id="0" name=""/>
        <dsp:cNvSpPr/>
      </dsp:nvSpPr>
      <dsp:spPr>
        <a:xfrm>
          <a:off x="5813170"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5828938" y="3276343"/>
        <a:ext cx="1024796" cy="506832"/>
      </dsp:txXfrm>
    </dsp:sp>
    <dsp:sp modelId="{AAF2ACE6-5E38-4636-B080-BC2D37E74DD8}">
      <dsp:nvSpPr>
        <dsp:cNvPr id="0" name=""/>
        <dsp:cNvSpPr/>
      </dsp:nvSpPr>
      <dsp:spPr>
        <a:xfrm>
          <a:off x="5813170"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5828938" y="3897537"/>
        <a:ext cx="1024796" cy="506832"/>
      </dsp:txXfrm>
    </dsp:sp>
    <dsp:sp modelId="{788DE979-FF1A-4219-BF84-8A28593CCB94}">
      <dsp:nvSpPr>
        <dsp:cNvPr id="0" name=""/>
        <dsp:cNvSpPr/>
      </dsp:nvSpPr>
      <dsp:spPr>
        <a:xfrm>
          <a:off x="7100575"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7100575" y="0"/>
        <a:ext cx="1320415" cy="1396111"/>
      </dsp:txXfrm>
    </dsp:sp>
    <dsp:sp modelId="{F1F16BAE-86C3-4B1E-85EA-E74B55A21462}">
      <dsp:nvSpPr>
        <dsp:cNvPr id="0" name=""/>
        <dsp:cNvSpPr/>
      </dsp:nvSpPr>
      <dsp:spPr>
        <a:xfrm>
          <a:off x="7232616"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7248384" y="1412759"/>
        <a:ext cx="1024796" cy="506832"/>
      </dsp:txXfrm>
    </dsp:sp>
    <dsp:sp modelId="{2EA20561-6CFD-4954-A64B-AB91B0668E80}">
      <dsp:nvSpPr>
        <dsp:cNvPr id="0" name=""/>
        <dsp:cNvSpPr/>
      </dsp:nvSpPr>
      <dsp:spPr>
        <a:xfrm>
          <a:off x="7232616"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7248384" y="2033954"/>
        <a:ext cx="1024796" cy="506832"/>
      </dsp:txXfrm>
    </dsp:sp>
    <dsp:sp modelId="{23C873A2-9912-4FE4-BDE7-C88BA9B2ECB3}">
      <dsp:nvSpPr>
        <dsp:cNvPr id="0" name=""/>
        <dsp:cNvSpPr/>
      </dsp:nvSpPr>
      <dsp:spPr>
        <a:xfrm>
          <a:off x="7232616"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7248384" y="2655148"/>
        <a:ext cx="1024796" cy="506832"/>
      </dsp:txXfrm>
    </dsp:sp>
    <dsp:sp modelId="{95E7D6F0-32A9-4AB9-8051-93F3945D429B}">
      <dsp:nvSpPr>
        <dsp:cNvPr id="0" name=""/>
        <dsp:cNvSpPr/>
      </dsp:nvSpPr>
      <dsp:spPr>
        <a:xfrm>
          <a:off x="7232616"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7248384" y="3276343"/>
        <a:ext cx="1024796" cy="506832"/>
      </dsp:txXfrm>
    </dsp:sp>
    <dsp:sp modelId="{66D2E35F-6AA8-4674-9525-32D6D3B769C9}">
      <dsp:nvSpPr>
        <dsp:cNvPr id="0" name=""/>
        <dsp:cNvSpPr/>
      </dsp:nvSpPr>
      <dsp:spPr>
        <a:xfrm>
          <a:off x="7232616"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7248384" y="3897537"/>
        <a:ext cx="1024796" cy="506832"/>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image" Target="../media/image1.png"/><Relationship Id="rId2" Type="http://schemas.openxmlformats.org/officeDocument/2006/relationships/diagramData" Target="../diagrams/data1.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335679</xdr:colOff>
      <xdr:row>24</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7"/>
        <a:stretch>
          <a:fillRect/>
        </a:stretch>
      </xdr:blipFill>
      <xdr:spPr>
        <a:xfrm>
          <a:off x="0" y="815340"/>
          <a:ext cx="4496199" cy="3718210"/>
        </a:xfrm>
        <a:prstGeom prst="rect">
          <a:avLst/>
        </a:prstGeom>
      </xdr:spPr>
    </xdr:pic>
    <xdr:clientData/>
  </xdr:twoCellAnchor>
  <xdr:twoCellAnchor>
    <xdr:from>
      <xdr:col>9</xdr:col>
      <xdr:colOff>0</xdr:colOff>
      <xdr:row>4</xdr:row>
      <xdr:rowOff>0</xdr:rowOff>
    </xdr:from>
    <xdr:to>
      <xdr:col>15</xdr:col>
      <xdr:colOff>423333</xdr:colOff>
      <xdr:row>29</xdr:row>
      <xdr:rowOff>81704</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29766</xdr:colOff>
      <xdr:row>10</xdr:row>
      <xdr:rowOff>3571</xdr:rowOff>
    </xdr:from>
    <xdr:to>
      <xdr:col>9</xdr:col>
      <xdr:colOff>9526</xdr:colOff>
      <xdr:row>24</xdr:row>
      <xdr:rowOff>79771</xdr:rowOff>
    </xdr:to>
    <xdr:graphicFrame macro="">
      <xdr:nvGraphicFramePr>
        <xdr:cNvPr id="38"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85725</xdr:colOff>
      <xdr:row>10</xdr:row>
      <xdr:rowOff>9525</xdr:rowOff>
    </xdr:from>
    <xdr:to>
      <xdr:col>20</xdr:col>
      <xdr:colOff>133351</xdr:colOff>
      <xdr:row>24</xdr:row>
      <xdr:rowOff>85725</xdr:rowOff>
    </xdr:to>
    <xdr:graphicFrame macro="">
      <xdr:nvGraphicFramePr>
        <xdr:cNvPr id="29" name="Grafiek 7">
          <a:extLst>
            <a:ext uri="{FF2B5EF4-FFF2-40B4-BE49-F238E27FC236}">
              <a16:creationId xmlns:a16="http://schemas.microsoft.com/office/drawing/2014/main" id="{2C06592C-C7FE-4F7F-A7CC-5864C8CD5CF7}"/>
            </a:ext>
            <a:ext uri="{147F2762-F138-4A5C-976F-8EAC2B608ADB}">
              <a16:predDERef xmlns:a16="http://schemas.microsoft.com/office/drawing/2014/main" pred="{8BC94068-89F0-422E-A08D-0D55168B5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200024</xdr:colOff>
      <xdr:row>10</xdr:row>
      <xdr:rowOff>9525</xdr:rowOff>
    </xdr:from>
    <xdr:to>
      <xdr:col>31</xdr:col>
      <xdr:colOff>380999</xdr:colOff>
      <xdr:row>24</xdr:row>
      <xdr:rowOff>85725</xdr:rowOff>
    </xdr:to>
    <xdr:graphicFrame macro="">
      <xdr:nvGraphicFramePr>
        <xdr:cNvPr id="30" name="Grafiek 8">
          <a:extLst>
            <a:ext uri="{FF2B5EF4-FFF2-40B4-BE49-F238E27FC236}">
              <a16:creationId xmlns:a16="http://schemas.microsoft.com/office/drawing/2014/main" id="{F3FC2585-D2A6-46CB-A1D2-356F154BB21A}"/>
            </a:ext>
            <a:ext uri="{147F2762-F138-4A5C-976F-8EAC2B608ADB}">
              <a16:predDERef xmlns:a16="http://schemas.microsoft.com/office/drawing/2014/main" pre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16670</xdr:colOff>
      <xdr:row>25</xdr:row>
      <xdr:rowOff>0</xdr:rowOff>
    </xdr:from>
    <xdr:to>
      <xdr:col>9</xdr:col>
      <xdr:colOff>9526</xdr:colOff>
      <xdr:row>39</xdr:row>
      <xdr:rowOff>76200</xdr:rowOff>
    </xdr:to>
    <xdr:graphicFrame macro="">
      <xdr:nvGraphicFramePr>
        <xdr:cNvPr id="31" name="Grafiek 9">
          <a:extLst>
            <a:ext uri="{FF2B5EF4-FFF2-40B4-BE49-F238E27FC236}">
              <a16:creationId xmlns:a16="http://schemas.microsoft.com/office/drawing/2014/main" id="{B5CA9B28-7B21-4472-BFF3-0B5CF3E4FAD7}"/>
            </a:ext>
            <a:ext uri="{147F2762-F138-4A5C-976F-8EAC2B608ADB}">
              <a16:predDERef xmlns:a16="http://schemas.microsoft.com/office/drawing/2014/main" pre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95250</xdr:colOff>
      <xdr:row>25</xdr:row>
      <xdr:rowOff>9525</xdr:rowOff>
    </xdr:from>
    <xdr:to>
      <xdr:col>20</xdr:col>
      <xdr:colOff>133350</xdr:colOff>
      <xdr:row>39</xdr:row>
      <xdr:rowOff>85725</xdr:rowOff>
    </xdr:to>
    <xdr:graphicFrame macro="">
      <xdr:nvGraphicFramePr>
        <xdr:cNvPr id="32" name="Grafiek 10">
          <a:extLst>
            <a:ext uri="{FF2B5EF4-FFF2-40B4-BE49-F238E27FC236}">
              <a16:creationId xmlns:a16="http://schemas.microsoft.com/office/drawing/2014/main" id="{60441FA0-E444-4A52-AA01-716A96B586CB}"/>
            </a:ext>
            <a:ext uri="{147F2762-F138-4A5C-976F-8EAC2B608ADB}">
              <a16:predDERef xmlns:a16="http://schemas.microsoft.com/office/drawing/2014/main" pre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123825</xdr:colOff>
      <xdr:row>0</xdr:row>
      <xdr:rowOff>0</xdr:rowOff>
    </xdr:from>
    <xdr:to>
      <xdr:col>47</xdr:col>
      <xdr:colOff>45242</xdr:colOff>
      <xdr:row>9</xdr:row>
      <xdr:rowOff>0</xdr:rowOff>
    </xdr:to>
    <xdr:graphicFrame macro="">
      <xdr:nvGraphicFramePr>
        <xdr:cNvPr id="33" name="Grafiek 12">
          <a:extLst>
            <a:ext uri="{FF2B5EF4-FFF2-40B4-BE49-F238E27FC236}">
              <a16:creationId xmlns:a16="http://schemas.microsoft.com/office/drawing/2014/main" id="{6D5DAD57-B223-4292-9225-77E20D3E8D61}"/>
            </a:ext>
            <a:ext uri="{147F2762-F138-4A5C-976F-8EAC2B608ADB}">
              <a16:predDERef xmlns:a16="http://schemas.microsoft.com/office/drawing/2014/main" pre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209550</xdr:colOff>
      <xdr:row>25</xdr:row>
      <xdr:rowOff>9525</xdr:rowOff>
    </xdr:from>
    <xdr:to>
      <xdr:col>31</xdr:col>
      <xdr:colOff>361950</xdr:colOff>
      <xdr:row>39</xdr:row>
      <xdr:rowOff>85725</xdr:rowOff>
    </xdr:to>
    <xdr:graphicFrame macro="">
      <xdr:nvGraphicFramePr>
        <xdr:cNvPr id="34" name="Grafiek 13">
          <a:extLst>
            <a:ext uri="{FF2B5EF4-FFF2-40B4-BE49-F238E27FC236}">
              <a16:creationId xmlns:a16="http://schemas.microsoft.com/office/drawing/2014/main" id="{411B7777-4200-495E-AA19-8871A37BD29C}"/>
            </a:ext>
            <a:ext uri="{147F2762-F138-4A5C-976F-8EAC2B608ADB}">
              <a16:predDERef xmlns:a16="http://schemas.microsoft.com/office/drawing/2014/main" pre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17859</xdr:colOff>
      <xdr:row>10</xdr:row>
      <xdr:rowOff>15478</xdr:rowOff>
    </xdr:from>
    <xdr:to>
      <xdr:col>40</xdr:col>
      <xdr:colOff>0</xdr:colOff>
      <xdr:row>24</xdr:row>
      <xdr:rowOff>91678</xdr:rowOff>
    </xdr:to>
    <xdr:graphicFrame macro="">
      <xdr:nvGraphicFramePr>
        <xdr:cNvPr id="35" name="Grafiek 2">
          <a:extLst>
            <a:ext uri="{FF2B5EF4-FFF2-40B4-BE49-F238E27FC236}">
              <a16:creationId xmlns:a16="http://schemas.microsoft.com/office/drawing/2014/main" id="{7885E01C-CEA6-43D1-9C48-4F8189248CA6}"/>
            </a:ext>
            <a:ext uri="{147F2762-F138-4A5C-976F-8EAC2B608ADB}">
              <a16:predDERef xmlns:a16="http://schemas.microsoft.com/office/drawing/2014/main" pred="{411B7777-4200-495E-AA19-8871A37BD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0</xdr:colOff>
      <xdr:row>25</xdr:row>
      <xdr:rowOff>0</xdr:rowOff>
    </xdr:from>
    <xdr:to>
      <xdr:col>40</xdr:col>
      <xdr:colOff>0</xdr:colOff>
      <xdr:row>39</xdr:row>
      <xdr:rowOff>76200</xdr:rowOff>
    </xdr:to>
    <xdr:graphicFrame macro="">
      <xdr:nvGraphicFramePr>
        <xdr:cNvPr id="36" name="Grafiek 11">
          <a:extLst>
            <a:ext uri="{FF2B5EF4-FFF2-40B4-BE49-F238E27FC236}">
              <a16:creationId xmlns:a16="http://schemas.microsoft.com/office/drawing/2014/main" id="{4BBE5C71-09B1-486E-A48A-92659182056A}"/>
            </a:ext>
            <a:ext uri="{147F2762-F138-4A5C-976F-8EAC2B608ADB}">
              <a16:predDERef xmlns:a16="http://schemas.microsoft.com/office/drawing/2014/main" pred="{7885E01C-CEA6-43D1-9C48-4F8189248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itwerking%20(NIET%20BEWERKEN!!)"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itwerking (NIET BEWERKEN!!)"/>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itwerking (NIET BEWERKEN!!)"/>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showGridLines="0" workbookViewId="0"/>
  </sheetViews>
  <sheetFormatPr defaultColWidth="8.7109375" defaultRowHeight="14.45"/>
  <cols>
    <col min="1" max="9" width="8.7109375" style="50"/>
    <col min="10" max="16" width="19.42578125" style="51" customWidth="1"/>
    <col min="17" max="16384" width="8.7109375" style="50"/>
  </cols>
  <sheetData>
    <row r="2" spans="1:10" ht="21">
      <c r="A2" s="49" t="s">
        <v>0</v>
      </c>
      <c r="J2" s="49" t="s">
        <v>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M239"/>
  <sheetViews>
    <sheetView showGridLines="0" zoomScale="80" zoomScaleNormal="80" workbookViewId="0">
      <selection activeCell="A132" sqref="A132"/>
    </sheetView>
  </sheetViews>
  <sheetFormatPr defaultColWidth="8.7109375" defaultRowHeight="14.45"/>
  <cols>
    <col min="1" max="1" width="128.140625" style="86" customWidth="1"/>
    <col min="2" max="3" width="18.42578125" style="87" customWidth="1"/>
    <col min="4" max="4" width="13.7109375" style="94" customWidth="1"/>
    <col min="5" max="16384" width="8.7109375" style="86"/>
  </cols>
  <sheetData>
    <row r="1" spans="1:13" ht="25.9">
      <c r="A1" s="102" t="s">
        <v>2</v>
      </c>
    </row>
    <row r="2" spans="1:13" ht="14.65" customHeight="1"/>
    <row r="3" spans="1:13" ht="29.65" customHeight="1">
      <c r="A3" s="111" t="s">
        <v>3</v>
      </c>
      <c r="B3" s="130" t="s">
        <v>4</v>
      </c>
      <c r="C3" s="131"/>
      <c r="D3" s="132"/>
      <c r="F3" s="127" t="s">
        <v>5</v>
      </c>
      <c r="G3" s="128"/>
      <c r="H3" s="128"/>
      <c r="I3" s="128"/>
      <c r="J3" s="128"/>
      <c r="K3" s="128"/>
      <c r="L3" s="128"/>
      <c r="M3" s="129"/>
    </row>
    <row r="4" spans="1:13" ht="28.9" customHeight="1">
      <c r="A4" s="100" t="s">
        <v>6</v>
      </c>
      <c r="B4" s="89" t="s">
        <v>7</v>
      </c>
      <c r="C4" s="89" t="s">
        <v>8</v>
      </c>
      <c r="D4" s="89" t="s">
        <v>9</v>
      </c>
      <c r="F4" s="133" t="s">
        <v>10</v>
      </c>
      <c r="G4" s="134"/>
      <c r="H4" s="134"/>
      <c r="I4" s="134"/>
      <c r="J4" s="134"/>
      <c r="K4" s="134"/>
      <c r="L4" s="134"/>
      <c r="M4" s="135"/>
    </row>
    <row r="5" spans="1:13" ht="14.65" customHeight="1">
      <c r="A5" s="85" t="s">
        <v>11</v>
      </c>
      <c r="B5" s="93"/>
      <c r="C5" s="93"/>
      <c r="D5" s="90">
        <v>1</v>
      </c>
      <c r="F5" s="136"/>
      <c r="G5" s="137"/>
      <c r="H5" s="137"/>
      <c r="I5" s="137"/>
      <c r="J5" s="137"/>
      <c r="K5" s="137"/>
      <c r="L5" s="137"/>
      <c r="M5" s="138"/>
    </row>
    <row r="6" spans="1:13" ht="14.65" customHeight="1">
      <c r="A6" s="85" t="s">
        <v>12</v>
      </c>
      <c r="B6" s="126">
        <v>3</v>
      </c>
      <c r="C6" s="93"/>
      <c r="D6" s="90">
        <v>2</v>
      </c>
      <c r="F6" s="136"/>
      <c r="G6" s="137"/>
      <c r="H6" s="137"/>
      <c r="I6" s="137"/>
      <c r="J6" s="137"/>
      <c r="K6" s="137"/>
      <c r="L6" s="137"/>
      <c r="M6" s="138"/>
    </row>
    <row r="7" spans="1:13" ht="14.65" customHeight="1">
      <c r="A7" s="85" t="s">
        <v>13</v>
      </c>
      <c r="B7" s="93">
        <v>3</v>
      </c>
      <c r="C7" s="126">
        <v>5</v>
      </c>
      <c r="D7" s="90">
        <v>3</v>
      </c>
      <c r="F7" s="136"/>
      <c r="G7" s="137"/>
      <c r="H7" s="137"/>
      <c r="I7" s="137"/>
      <c r="J7" s="137"/>
      <c r="K7" s="137"/>
      <c r="L7" s="137"/>
      <c r="M7" s="138"/>
    </row>
    <row r="8" spans="1:13" ht="14.65" customHeight="1">
      <c r="A8" s="85" t="s">
        <v>14</v>
      </c>
      <c r="B8" s="93"/>
      <c r="C8" s="93">
        <v>4</v>
      </c>
      <c r="D8" s="90">
        <v>4</v>
      </c>
      <c r="F8" s="136"/>
      <c r="G8" s="137"/>
      <c r="H8" s="137"/>
      <c r="I8" s="137"/>
      <c r="J8" s="137"/>
      <c r="K8" s="137"/>
      <c r="L8" s="137"/>
      <c r="M8" s="138"/>
    </row>
    <row r="9" spans="1:13" ht="15">
      <c r="A9" s="85" t="s">
        <v>15</v>
      </c>
      <c r="B9" s="93"/>
      <c r="C9" s="93"/>
      <c r="D9" s="90">
        <v>5</v>
      </c>
      <c r="F9" s="136"/>
      <c r="G9" s="137"/>
      <c r="H9" s="137"/>
      <c r="I9" s="137"/>
      <c r="J9" s="137"/>
      <c r="K9" s="137"/>
      <c r="L9" s="137"/>
      <c r="M9" s="138"/>
    </row>
    <row r="10" spans="1:13" ht="15">
      <c r="A10" s="88"/>
      <c r="F10" s="136"/>
      <c r="G10" s="137"/>
      <c r="H10" s="137"/>
      <c r="I10" s="137"/>
      <c r="J10" s="137"/>
      <c r="K10" s="137"/>
      <c r="L10" s="137"/>
      <c r="M10" s="138"/>
    </row>
    <row r="11" spans="1:13" ht="23.25">
      <c r="A11" s="112" t="s">
        <v>16</v>
      </c>
      <c r="F11" s="136"/>
      <c r="G11" s="137"/>
      <c r="H11" s="137"/>
      <c r="I11" s="137"/>
      <c r="J11" s="137"/>
      <c r="K11" s="137"/>
      <c r="L11" s="137"/>
      <c r="M11" s="138"/>
    </row>
    <row r="12" spans="1:13" ht="30.75">
      <c r="A12" s="99" t="s">
        <v>17</v>
      </c>
      <c r="B12" s="104" t="s">
        <v>7</v>
      </c>
      <c r="C12" s="104" t="s">
        <v>8</v>
      </c>
      <c r="D12" s="89" t="s">
        <v>9</v>
      </c>
      <c r="F12" s="136"/>
      <c r="G12" s="137"/>
      <c r="H12" s="137"/>
      <c r="I12" s="137"/>
      <c r="J12" s="137"/>
      <c r="K12" s="137"/>
      <c r="L12" s="137"/>
      <c r="M12" s="138"/>
    </row>
    <row r="13" spans="1:13" ht="15">
      <c r="A13" s="91" t="s">
        <v>18</v>
      </c>
      <c r="B13" s="92"/>
      <c r="C13" s="92"/>
      <c r="D13" s="90">
        <v>1</v>
      </c>
      <c r="F13" s="136"/>
      <c r="G13" s="137"/>
      <c r="H13" s="137"/>
      <c r="I13" s="137"/>
      <c r="J13" s="137"/>
      <c r="K13" s="137"/>
      <c r="L13" s="137"/>
      <c r="M13" s="138"/>
    </row>
    <row r="14" spans="1:13" ht="30.75">
      <c r="A14" s="91" t="s">
        <v>19</v>
      </c>
      <c r="B14" s="92"/>
      <c r="C14" s="92"/>
      <c r="D14" s="90">
        <v>2</v>
      </c>
      <c r="F14" s="136"/>
      <c r="G14" s="137"/>
      <c r="H14" s="137"/>
      <c r="I14" s="137"/>
      <c r="J14" s="137"/>
      <c r="K14" s="137"/>
      <c r="L14" s="137"/>
      <c r="M14" s="138"/>
    </row>
    <row r="15" spans="1:13" ht="30.75">
      <c r="A15" s="91" t="s">
        <v>20</v>
      </c>
      <c r="B15" s="92"/>
      <c r="C15" s="92"/>
      <c r="D15" s="90">
        <v>3</v>
      </c>
      <c r="F15" s="136"/>
      <c r="G15" s="137"/>
      <c r="H15" s="137"/>
      <c r="I15" s="137"/>
      <c r="J15" s="137"/>
      <c r="K15" s="137"/>
      <c r="L15" s="137"/>
      <c r="M15" s="138"/>
    </row>
    <row r="16" spans="1:13" ht="30.75">
      <c r="A16" s="91" t="s">
        <v>21</v>
      </c>
      <c r="B16" s="92"/>
      <c r="C16" s="92"/>
      <c r="D16" s="90">
        <v>4</v>
      </c>
      <c r="F16" s="136"/>
      <c r="G16" s="137"/>
      <c r="H16" s="137"/>
      <c r="I16" s="137"/>
      <c r="J16" s="137"/>
      <c r="K16" s="137"/>
      <c r="L16" s="137"/>
      <c r="M16" s="138"/>
    </row>
    <row r="17" spans="1:13" ht="30.75">
      <c r="A17" s="91" t="s">
        <v>22</v>
      </c>
      <c r="B17" s="92"/>
      <c r="C17" s="92"/>
      <c r="D17" s="90">
        <v>5</v>
      </c>
      <c r="F17" s="136"/>
      <c r="G17" s="137"/>
      <c r="H17" s="137"/>
      <c r="I17" s="137"/>
      <c r="J17" s="137"/>
      <c r="K17" s="137"/>
      <c r="L17" s="137"/>
      <c r="M17" s="138"/>
    </row>
    <row r="18" spans="1:13" ht="15">
      <c r="A18" s="91"/>
      <c r="B18" s="92"/>
      <c r="C18" s="92"/>
      <c r="D18" s="90"/>
      <c r="F18" s="136"/>
      <c r="G18" s="137"/>
      <c r="H18" s="137"/>
      <c r="I18" s="137"/>
      <c r="J18" s="137"/>
      <c r="K18" s="137"/>
      <c r="L18" s="137"/>
      <c r="M18" s="138"/>
    </row>
    <row r="19" spans="1:13" ht="30.75">
      <c r="A19" s="99" t="s">
        <v>23</v>
      </c>
      <c r="B19" s="104" t="s">
        <v>7</v>
      </c>
      <c r="C19" s="104" t="s">
        <v>8</v>
      </c>
      <c r="D19" s="89" t="s">
        <v>9</v>
      </c>
      <c r="F19" s="136"/>
      <c r="G19" s="137"/>
      <c r="H19" s="137"/>
      <c r="I19" s="137"/>
      <c r="J19" s="137"/>
      <c r="K19" s="137"/>
      <c r="L19" s="137"/>
      <c r="M19" s="138"/>
    </row>
    <row r="20" spans="1:13" ht="15">
      <c r="A20" s="91" t="s">
        <v>24</v>
      </c>
      <c r="B20" s="92"/>
      <c r="C20" s="92"/>
      <c r="D20" s="90">
        <v>1</v>
      </c>
      <c r="F20" s="136"/>
      <c r="G20" s="137"/>
      <c r="H20" s="137"/>
      <c r="I20" s="137"/>
      <c r="J20" s="137"/>
      <c r="K20" s="137"/>
      <c r="L20" s="137"/>
      <c r="M20" s="138"/>
    </row>
    <row r="21" spans="1:13" ht="15">
      <c r="A21" s="91" t="s">
        <v>25</v>
      </c>
      <c r="B21" s="92"/>
      <c r="C21" s="92"/>
      <c r="D21" s="90">
        <v>2</v>
      </c>
      <c r="F21" s="136"/>
      <c r="G21" s="137"/>
      <c r="H21" s="137"/>
      <c r="I21" s="137"/>
      <c r="J21" s="137"/>
      <c r="K21" s="137"/>
      <c r="L21" s="137"/>
      <c r="M21" s="138"/>
    </row>
    <row r="22" spans="1:13" ht="15">
      <c r="A22" s="91" t="s">
        <v>26</v>
      </c>
      <c r="B22" s="92"/>
      <c r="C22" s="92"/>
      <c r="D22" s="90">
        <v>3</v>
      </c>
      <c r="F22" s="139"/>
      <c r="G22" s="140"/>
      <c r="H22" s="140"/>
      <c r="I22" s="140"/>
      <c r="J22" s="140"/>
      <c r="K22" s="140"/>
      <c r="L22" s="140"/>
      <c r="M22" s="141"/>
    </row>
    <row r="23" spans="1:13" ht="30.75">
      <c r="A23" s="91" t="s">
        <v>27</v>
      </c>
      <c r="B23" s="92"/>
      <c r="C23" s="92"/>
      <c r="D23" s="90">
        <v>4</v>
      </c>
    </row>
    <row r="24" spans="1:13" ht="15">
      <c r="A24" s="91" t="s">
        <v>28</v>
      </c>
      <c r="B24" s="92"/>
      <c r="C24" s="92"/>
      <c r="D24" s="90">
        <v>5</v>
      </c>
    </row>
    <row r="25" spans="1:13" ht="15">
      <c r="A25" s="91"/>
      <c r="B25" s="92"/>
      <c r="C25" s="92"/>
      <c r="D25" s="90"/>
    </row>
    <row r="26" spans="1:13" ht="30.75">
      <c r="A26" s="99" t="s">
        <v>29</v>
      </c>
      <c r="B26" s="104" t="s">
        <v>7</v>
      </c>
      <c r="C26" s="104" t="s">
        <v>8</v>
      </c>
      <c r="D26" s="89" t="s">
        <v>9</v>
      </c>
    </row>
    <row r="27" spans="1:13" ht="15">
      <c r="A27" s="91" t="s">
        <v>30</v>
      </c>
      <c r="B27" s="92"/>
      <c r="C27" s="92"/>
      <c r="D27" s="90">
        <v>1</v>
      </c>
    </row>
    <row r="28" spans="1:13" ht="15">
      <c r="A28" s="91" t="s">
        <v>31</v>
      </c>
      <c r="B28" s="92"/>
      <c r="C28" s="92"/>
      <c r="D28" s="90">
        <v>2</v>
      </c>
    </row>
    <row r="29" spans="1:13" ht="30.75">
      <c r="A29" s="91" t="s">
        <v>32</v>
      </c>
      <c r="B29" s="92"/>
      <c r="C29" s="92"/>
      <c r="D29" s="90">
        <v>3</v>
      </c>
    </row>
    <row r="30" spans="1:13" ht="30.75">
      <c r="A30" s="91" t="s">
        <v>33</v>
      </c>
      <c r="B30" s="92"/>
      <c r="C30" s="92"/>
      <c r="D30" s="90">
        <v>4</v>
      </c>
    </row>
    <row r="31" spans="1:13" ht="30.75">
      <c r="A31" s="91" t="s">
        <v>34</v>
      </c>
      <c r="B31" s="92"/>
      <c r="C31" s="92"/>
      <c r="D31" s="90">
        <v>5</v>
      </c>
    </row>
    <row r="32" spans="1:13" ht="15">
      <c r="A32" s="91"/>
      <c r="B32" s="92"/>
      <c r="C32" s="92"/>
      <c r="D32" s="90"/>
    </row>
    <row r="33" spans="1:4" ht="30.75">
      <c r="A33" s="99" t="s">
        <v>35</v>
      </c>
      <c r="B33" s="104" t="s">
        <v>7</v>
      </c>
      <c r="C33" s="104" t="s">
        <v>8</v>
      </c>
      <c r="D33" s="89" t="s">
        <v>9</v>
      </c>
    </row>
    <row r="34" spans="1:4" ht="15">
      <c r="A34" s="91" t="s">
        <v>36</v>
      </c>
      <c r="B34" s="92"/>
      <c r="C34" s="92"/>
      <c r="D34" s="90">
        <v>1</v>
      </c>
    </row>
    <row r="35" spans="1:4" ht="15">
      <c r="A35" s="91" t="s">
        <v>37</v>
      </c>
      <c r="B35" s="92"/>
      <c r="C35" s="92"/>
      <c r="D35" s="90">
        <v>2</v>
      </c>
    </row>
    <row r="36" spans="1:4" ht="30.75">
      <c r="A36" s="91" t="s">
        <v>38</v>
      </c>
      <c r="B36" s="92"/>
      <c r="C36" s="92"/>
      <c r="D36" s="90">
        <v>3</v>
      </c>
    </row>
    <row r="37" spans="1:4" ht="30.75">
      <c r="A37" s="91" t="s">
        <v>39</v>
      </c>
      <c r="B37" s="92"/>
      <c r="C37" s="92"/>
      <c r="D37" s="90">
        <v>4</v>
      </c>
    </row>
    <row r="38" spans="1:4" ht="30.75">
      <c r="A38" s="91" t="s">
        <v>40</v>
      </c>
      <c r="B38" s="92"/>
      <c r="C38" s="92"/>
      <c r="D38" s="90">
        <v>5</v>
      </c>
    </row>
    <row r="39" spans="1:4" ht="15">
      <c r="A39" s="91"/>
      <c r="B39" s="92"/>
      <c r="C39" s="92"/>
      <c r="D39" s="90"/>
    </row>
    <row r="40" spans="1:4" ht="30.75">
      <c r="A40" s="99" t="s">
        <v>41</v>
      </c>
      <c r="B40" s="104" t="s">
        <v>7</v>
      </c>
      <c r="C40" s="104" t="s">
        <v>8</v>
      </c>
      <c r="D40" s="89" t="s">
        <v>9</v>
      </c>
    </row>
    <row r="41" spans="1:4" ht="15">
      <c r="A41" s="91" t="s">
        <v>42</v>
      </c>
      <c r="B41" s="92"/>
      <c r="C41" s="92"/>
      <c r="D41" s="90">
        <v>1</v>
      </c>
    </row>
    <row r="42" spans="1:4" ht="15">
      <c r="A42" s="91" t="s">
        <v>43</v>
      </c>
      <c r="B42" s="92"/>
      <c r="C42" s="92"/>
      <c r="D42" s="90">
        <v>2</v>
      </c>
    </row>
    <row r="43" spans="1:4" ht="30.75">
      <c r="A43" s="91" t="s">
        <v>44</v>
      </c>
      <c r="B43" s="92"/>
      <c r="C43" s="92"/>
      <c r="D43" s="90">
        <v>3</v>
      </c>
    </row>
    <row r="44" spans="1:4" ht="30.75">
      <c r="A44" s="91" t="s">
        <v>45</v>
      </c>
      <c r="B44" s="92"/>
      <c r="C44" s="92"/>
      <c r="D44" s="90">
        <v>4</v>
      </c>
    </row>
    <row r="45" spans="1:4" ht="30.75">
      <c r="A45" s="91" t="s">
        <v>46</v>
      </c>
      <c r="B45" s="92"/>
      <c r="C45" s="92"/>
      <c r="D45" s="90">
        <v>5</v>
      </c>
    </row>
    <row r="46" spans="1:4" ht="15">
      <c r="A46" s="91"/>
      <c r="B46" s="92"/>
      <c r="C46" s="92"/>
      <c r="D46" s="90"/>
    </row>
    <row r="47" spans="1:4" ht="30.75">
      <c r="A47" s="99" t="s">
        <v>47</v>
      </c>
      <c r="B47" s="104" t="s">
        <v>7</v>
      </c>
      <c r="C47" s="104" t="s">
        <v>8</v>
      </c>
      <c r="D47" s="89" t="s">
        <v>9</v>
      </c>
    </row>
    <row r="48" spans="1:4" ht="15">
      <c r="A48" s="91" t="s">
        <v>48</v>
      </c>
      <c r="B48" s="92"/>
      <c r="C48" s="92"/>
      <c r="D48" s="90">
        <v>1</v>
      </c>
    </row>
    <row r="49" spans="1:4" ht="15">
      <c r="A49" s="91" t="s">
        <v>49</v>
      </c>
      <c r="B49" s="92"/>
      <c r="C49" s="92"/>
      <c r="D49" s="90">
        <v>2</v>
      </c>
    </row>
    <row r="50" spans="1:4" ht="15">
      <c r="A50" s="91" t="s">
        <v>50</v>
      </c>
      <c r="B50" s="92"/>
      <c r="C50" s="92"/>
      <c r="D50" s="90">
        <v>3</v>
      </c>
    </row>
    <row r="51" spans="1:4" ht="15">
      <c r="A51" s="91" t="s">
        <v>51</v>
      </c>
      <c r="B51" s="92"/>
      <c r="C51" s="92"/>
      <c r="D51" s="90">
        <v>4</v>
      </c>
    </row>
    <row r="52" spans="1:4" ht="15">
      <c r="A52" s="91" t="s">
        <v>52</v>
      </c>
      <c r="B52" s="92"/>
      <c r="C52" s="92"/>
      <c r="D52" s="90">
        <v>5</v>
      </c>
    </row>
    <row r="54" spans="1:4" ht="23.25">
      <c r="A54" s="113" t="s">
        <v>53</v>
      </c>
    </row>
    <row r="55" spans="1:4" ht="30.75">
      <c r="A55" s="101" t="s">
        <v>54</v>
      </c>
      <c r="B55" s="105" t="s">
        <v>7</v>
      </c>
      <c r="C55" s="105" t="s">
        <v>8</v>
      </c>
      <c r="D55" s="89" t="s">
        <v>9</v>
      </c>
    </row>
    <row r="56" spans="1:4" ht="15">
      <c r="A56" s="118" t="s">
        <v>55</v>
      </c>
      <c r="B56" s="92"/>
      <c r="C56" s="92"/>
      <c r="D56" s="90">
        <v>1</v>
      </c>
    </row>
    <row r="57" spans="1:4" ht="15">
      <c r="A57" s="118" t="s">
        <v>56</v>
      </c>
      <c r="B57" s="92"/>
      <c r="C57" s="92"/>
      <c r="D57" s="90">
        <v>2</v>
      </c>
    </row>
    <row r="58" spans="1:4" ht="30.75">
      <c r="A58" s="119" t="s">
        <v>57</v>
      </c>
      <c r="B58" s="92"/>
      <c r="C58" s="92"/>
      <c r="D58" s="90">
        <v>3</v>
      </c>
    </row>
    <row r="59" spans="1:4" ht="15">
      <c r="A59" s="118" t="s">
        <v>58</v>
      </c>
      <c r="B59" s="92"/>
      <c r="C59" s="92"/>
      <c r="D59" s="90">
        <v>4</v>
      </c>
    </row>
    <row r="60" spans="1:4" ht="15">
      <c r="A60" s="118" t="s">
        <v>59</v>
      </c>
      <c r="B60" s="92"/>
      <c r="C60" s="92"/>
      <c r="D60" s="90">
        <v>5</v>
      </c>
    </row>
    <row r="61" spans="1:4">
      <c r="A61" s="91"/>
      <c r="B61" s="92"/>
      <c r="C61" s="92"/>
      <c r="D61" s="90"/>
    </row>
    <row r="62" spans="1:4" ht="30.75">
      <c r="A62" s="101" t="s">
        <v>60</v>
      </c>
      <c r="B62" s="105" t="s">
        <v>7</v>
      </c>
      <c r="C62" s="105" t="s">
        <v>8</v>
      </c>
      <c r="D62" s="89" t="s">
        <v>9</v>
      </c>
    </row>
    <row r="63" spans="1:4" ht="30.75">
      <c r="A63" s="119" t="s">
        <v>61</v>
      </c>
      <c r="B63" s="92"/>
      <c r="C63" s="92"/>
      <c r="D63" s="90">
        <v>1</v>
      </c>
    </row>
    <row r="64" spans="1:4" ht="30.75">
      <c r="A64" s="119" t="s">
        <v>62</v>
      </c>
      <c r="B64" s="92"/>
      <c r="C64" s="92"/>
      <c r="D64" s="90">
        <v>2</v>
      </c>
    </row>
    <row r="65" spans="1:4" ht="30.75">
      <c r="A65" s="119" t="s">
        <v>63</v>
      </c>
      <c r="B65" s="92"/>
      <c r="C65" s="92"/>
      <c r="D65" s="90">
        <v>3</v>
      </c>
    </row>
    <row r="66" spans="1:4" ht="30.75">
      <c r="A66" s="119" t="s">
        <v>64</v>
      </c>
      <c r="B66" s="92"/>
      <c r="C66" s="92"/>
      <c r="D66" s="90">
        <v>4</v>
      </c>
    </row>
    <row r="67" spans="1:4" ht="30.75">
      <c r="A67" s="119" t="s">
        <v>65</v>
      </c>
      <c r="B67" s="92"/>
      <c r="C67" s="92"/>
      <c r="D67" s="90">
        <v>5</v>
      </c>
    </row>
    <row r="68" spans="1:4">
      <c r="A68" s="91"/>
      <c r="B68" s="92"/>
      <c r="C68" s="92"/>
      <c r="D68" s="90"/>
    </row>
    <row r="69" spans="1:4" ht="30.75">
      <c r="A69" s="101" t="s">
        <v>66</v>
      </c>
      <c r="B69" s="105" t="s">
        <v>7</v>
      </c>
      <c r="C69" s="105" t="s">
        <v>8</v>
      </c>
      <c r="D69" s="89" t="s">
        <v>9</v>
      </c>
    </row>
    <row r="70" spans="1:4" ht="15">
      <c r="A70" s="118" t="s">
        <v>67</v>
      </c>
      <c r="B70" s="92"/>
      <c r="C70" s="92"/>
      <c r="D70" s="90">
        <v>1</v>
      </c>
    </row>
    <row r="71" spans="1:4" ht="15">
      <c r="A71" s="118" t="s">
        <v>68</v>
      </c>
      <c r="B71" s="92"/>
      <c r="C71" s="92"/>
      <c r="D71" s="90">
        <v>2</v>
      </c>
    </row>
    <row r="72" spans="1:4" ht="30.75">
      <c r="A72" s="118" t="s">
        <v>69</v>
      </c>
      <c r="B72" s="92"/>
      <c r="C72" s="92"/>
      <c r="D72" s="90">
        <v>3</v>
      </c>
    </row>
    <row r="73" spans="1:4" ht="30.75">
      <c r="A73" s="118" t="s">
        <v>70</v>
      </c>
      <c r="B73" s="92"/>
      <c r="C73" s="92"/>
      <c r="D73" s="90">
        <v>4</v>
      </c>
    </row>
    <row r="74" spans="1:4" ht="15">
      <c r="A74" s="118" t="s">
        <v>71</v>
      </c>
      <c r="B74" s="92"/>
      <c r="C74" s="92"/>
      <c r="D74" s="90">
        <v>5</v>
      </c>
    </row>
    <row r="75" spans="1:4">
      <c r="A75" s="91"/>
      <c r="B75" s="92"/>
      <c r="C75" s="92"/>
      <c r="D75" s="90"/>
    </row>
    <row r="76" spans="1:4" ht="30.75">
      <c r="A76" s="101" t="s">
        <v>72</v>
      </c>
      <c r="B76" s="105" t="s">
        <v>7</v>
      </c>
      <c r="C76" s="105" t="s">
        <v>8</v>
      </c>
      <c r="D76" s="89" t="s">
        <v>9</v>
      </c>
    </row>
    <row r="77" spans="1:4" ht="15">
      <c r="A77" s="118" t="s">
        <v>73</v>
      </c>
      <c r="B77" s="92"/>
      <c r="C77" s="92"/>
      <c r="D77" s="90">
        <v>1</v>
      </c>
    </row>
    <row r="78" spans="1:4" ht="30.75">
      <c r="A78" s="118" t="s">
        <v>74</v>
      </c>
      <c r="B78" s="92"/>
      <c r="C78" s="92"/>
      <c r="D78" s="90">
        <v>2</v>
      </c>
    </row>
    <row r="79" spans="1:4" ht="15">
      <c r="A79" s="118" t="s">
        <v>75</v>
      </c>
      <c r="B79" s="92"/>
      <c r="C79" s="92"/>
      <c r="D79" s="90">
        <v>3</v>
      </c>
    </row>
    <row r="80" spans="1:4" ht="15">
      <c r="A80" s="118" t="s">
        <v>76</v>
      </c>
      <c r="B80" s="92"/>
      <c r="C80" s="92"/>
      <c r="D80" s="90">
        <v>4</v>
      </c>
    </row>
    <row r="81" spans="1:4" ht="15">
      <c r="A81" s="118" t="s">
        <v>77</v>
      </c>
      <c r="B81" s="92"/>
      <c r="C81" s="92"/>
      <c r="D81" s="90">
        <v>5</v>
      </c>
    </row>
    <row r="82" spans="1:4">
      <c r="A82" s="91"/>
      <c r="B82" s="92"/>
      <c r="C82" s="92"/>
      <c r="D82" s="90"/>
    </row>
    <row r="83" spans="1:4" ht="30.75">
      <c r="A83" s="101" t="s">
        <v>78</v>
      </c>
      <c r="B83" s="105" t="s">
        <v>7</v>
      </c>
      <c r="C83" s="105" t="s">
        <v>8</v>
      </c>
      <c r="D83" s="89" t="s">
        <v>9</v>
      </c>
    </row>
    <row r="84" spans="1:4" ht="15">
      <c r="A84" s="118" t="s">
        <v>79</v>
      </c>
      <c r="B84" s="92"/>
      <c r="C84" s="92"/>
      <c r="D84" s="90">
        <v>1</v>
      </c>
    </row>
    <row r="85" spans="1:4" ht="15">
      <c r="A85" s="118" t="s">
        <v>80</v>
      </c>
      <c r="B85" s="92"/>
      <c r="C85" s="92"/>
      <c r="D85" s="90">
        <v>2</v>
      </c>
    </row>
    <row r="86" spans="1:4" ht="15">
      <c r="A86" s="118" t="s">
        <v>81</v>
      </c>
      <c r="B86" s="92"/>
      <c r="C86" s="92"/>
      <c r="D86" s="90">
        <v>3</v>
      </c>
    </row>
    <row r="87" spans="1:4" ht="15">
      <c r="A87" s="118" t="s">
        <v>82</v>
      </c>
      <c r="B87" s="92"/>
      <c r="C87" s="92"/>
      <c r="D87" s="90">
        <v>4</v>
      </c>
    </row>
    <row r="88" spans="1:4" ht="30.75">
      <c r="A88" s="118" t="s">
        <v>83</v>
      </c>
      <c r="B88" s="92"/>
      <c r="C88" s="92"/>
      <c r="D88" s="90">
        <v>5</v>
      </c>
    </row>
    <row r="89" spans="1:4">
      <c r="A89" s="118"/>
      <c r="B89" s="92"/>
      <c r="C89" s="92"/>
      <c r="D89" s="90"/>
    </row>
    <row r="90" spans="1:4" ht="30.75">
      <c r="A90" s="101" t="s">
        <v>84</v>
      </c>
      <c r="B90" s="105" t="s">
        <v>7</v>
      </c>
      <c r="C90" s="105" t="s">
        <v>8</v>
      </c>
      <c r="D90" s="89" t="s">
        <v>9</v>
      </c>
    </row>
    <row r="91" spans="1:4" ht="15">
      <c r="A91" s="118" t="s">
        <v>85</v>
      </c>
      <c r="B91" s="92"/>
      <c r="C91" s="92"/>
      <c r="D91" s="90">
        <v>1</v>
      </c>
    </row>
    <row r="92" spans="1:4" ht="30.75">
      <c r="A92" s="118" t="s">
        <v>86</v>
      </c>
      <c r="B92" s="92"/>
      <c r="C92" s="92"/>
      <c r="D92" s="90">
        <v>2</v>
      </c>
    </row>
    <row r="93" spans="1:4" ht="30.75">
      <c r="A93" s="118" t="s">
        <v>87</v>
      </c>
      <c r="B93" s="92"/>
      <c r="C93" s="92"/>
      <c r="D93" s="90">
        <v>3</v>
      </c>
    </row>
    <row r="94" spans="1:4" ht="15">
      <c r="A94" s="118" t="s">
        <v>88</v>
      </c>
      <c r="B94" s="92"/>
      <c r="C94" s="92"/>
      <c r="D94" s="90">
        <v>4</v>
      </c>
    </row>
    <row r="95" spans="1:4" ht="15">
      <c r="A95" s="118" t="s">
        <v>89</v>
      </c>
      <c r="B95" s="92"/>
      <c r="C95" s="92"/>
      <c r="D95" s="90">
        <v>5</v>
      </c>
    </row>
    <row r="96" spans="1:4">
      <c r="A96" s="118"/>
      <c r="B96" s="92"/>
      <c r="C96" s="92"/>
      <c r="D96" s="90"/>
    </row>
    <row r="97" spans="1:4" ht="30.75">
      <c r="A97" s="101" t="s">
        <v>90</v>
      </c>
      <c r="B97" s="105" t="s">
        <v>7</v>
      </c>
      <c r="C97" s="105" t="s">
        <v>8</v>
      </c>
      <c r="D97" s="89" t="s">
        <v>9</v>
      </c>
    </row>
    <row r="98" spans="1:4" ht="15">
      <c r="A98" s="118" t="s">
        <v>91</v>
      </c>
      <c r="B98" s="92"/>
      <c r="C98" s="92"/>
      <c r="D98" s="90">
        <v>1</v>
      </c>
    </row>
    <row r="99" spans="1:4" ht="30.75">
      <c r="A99" s="118" t="s">
        <v>92</v>
      </c>
      <c r="B99" s="92"/>
      <c r="C99" s="92"/>
      <c r="D99" s="90">
        <v>2</v>
      </c>
    </row>
    <row r="100" spans="1:4" ht="15">
      <c r="A100" s="118" t="s">
        <v>93</v>
      </c>
      <c r="B100" s="92"/>
      <c r="C100" s="92"/>
      <c r="D100" s="90">
        <v>3</v>
      </c>
    </row>
    <row r="101" spans="1:4" ht="30.75">
      <c r="A101" s="118" t="s">
        <v>94</v>
      </c>
      <c r="B101" s="92"/>
      <c r="C101" s="92"/>
      <c r="D101" s="90">
        <v>4</v>
      </c>
    </row>
    <row r="102" spans="1:4" ht="30.75">
      <c r="A102" s="118" t="s">
        <v>95</v>
      </c>
      <c r="B102" s="92"/>
      <c r="C102" s="92"/>
      <c r="D102" s="90">
        <v>5</v>
      </c>
    </row>
    <row r="103" spans="1:4">
      <c r="A103" s="118"/>
      <c r="B103" s="92"/>
      <c r="C103" s="92"/>
      <c r="D103" s="90"/>
    </row>
    <row r="104" spans="1:4" ht="30.75">
      <c r="A104" s="101" t="s">
        <v>96</v>
      </c>
      <c r="B104" s="105" t="s">
        <v>7</v>
      </c>
      <c r="C104" s="105" t="s">
        <v>8</v>
      </c>
      <c r="D104" s="89" t="s">
        <v>9</v>
      </c>
    </row>
    <row r="105" spans="1:4" ht="15">
      <c r="A105" s="118" t="s">
        <v>97</v>
      </c>
      <c r="B105" s="92"/>
      <c r="C105" s="92"/>
      <c r="D105" s="90">
        <v>1</v>
      </c>
    </row>
    <row r="106" spans="1:4" ht="30.75">
      <c r="A106" s="118" t="s">
        <v>98</v>
      </c>
      <c r="B106" s="92"/>
      <c r="C106" s="92"/>
      <c r="D106" s="90">
        <v>2</v>
      </c>
    </row>
    <row r="107" spans="1:4" ht="15">
      <c r="A107" s="118" t="s">
        <v>99</v>
      </c>
      <c r="B107" s="92"/>
      <c r="C107" s="92"/>
      <c r="D107" s="90">
        <v>3</v>
      </c>
    </row>
    <row r="108" spans="1:4" ht="30.75">
      <c r="A108" s="118" t="s">
        <v>100</v>
      </c>
      <c r="B108" s="92"/>
      <c r="C108" s="92"/>
      <c r="D108" s="90">
        <v>4</v>
      </c>
    </row>
    <row r="109" spans="1:4" ht="30.75">
      <c r="A109" s="118" t="s">
        <v>101</v>
      </c>
      <c r="B109" s="92"/>
      <c r="C109" s="92"/>
      <c r="D109" s="90">
        <v>5</v>
      </c>
    </row>
    <row r="111" spans="1:4" ht="23.25">
      <c r="A111" s="114" t="s">
        <v>102</v>
      </c>
    </row>
    <row r="112" spans="1:4" ht="30.75">
      <c r="A112" s="98" t="s">
        <v>103</v>
      </c>
      <c r="B112" s="106" t="s">
        <v>7</v>
      </c>
      <c r="C112" s="106" t="s">
        <v>8</v>
      </c>
      <c r="D112" s="89" t="s">
        <v>9</v>
      </c>
    </row>
    <row r="113" spans="1:4" ht="15">
      <c r="A113" s="118" t="s">
        <v>104</v>
      </c>
      <c r="B113" s="92"/>
      <c r="C113" s="92"/>
      <c r="D113" s="90">
        <v>1</v>
      </c>
    </row>
    <row r="114" spans="1:4" ht="15">
      <c r="A114" s="118" t="s">
        <v>105</v>
      </c>
      <c r="B114" s="92"/>
      <c r="C114" s="92"/>
      <c r="D114" s="90">
        <v>2</v>
      </c>
    </row>
    <row r="115" spans="1:4" ht="30.75">
      <c r="A115" s="118" t="s">
        <v>106</v>
      </c>
      <c r="B115" s="92"/>
      <c r="C115" s="92"/>
      <c r="D115" s="90">
        <v>3</v>
      </c>
    </row>
    <row r="116" spans="1:4" ht="30.75">
      <c r="A116" s="118" t="s">
        <v>107</v>
      </c>
      <c r="B116" s="92"/>
      <c r="C116" s="92"/>
      <c r="D116" s="90">
        <v>4</v>
      </c>
    </row>
    <row r="117" spans="1:4" ht="15">
      <c r="A117" s="118" t="s">
        <v>108</v>
      </c>
      <c r="B117" s="92"/>
      <c r="C117" s="92"/>
      <c r="D117" s="90">
        <v>5</v>
      </c>
    </row>
    <row r="118" spans="1:4">
      <c r="A118" s="91"/>
      <c r="B118" s="92"/>
      <c r="C118" s="92"/>
      <c r="D118" s="90"/>
    </row>
    <row r="119" spans="1:4" ht="30.75">
      <c r="A119" s="98" t="s">
        <v>109</v>
      </c>
      <c r="B119" s="106" t="s">
        <v>7</v>
      </c>
      <c r="C119" s="106" t="s">
        <v>8</v>
      </c>
      <c r="D119" s="89" t="s">
        <v>9</v>
      </c>
    </row>
    <row r="120" spans="1:4" ht="15">
      <c r="A120" s="118" t="s">
        <v>91</v>
      </c>
      <c r="B120" s="92"/>
      <c r="C120" s="92"/>
      <c r="D120" s="90">
        <v>1</v>
      </c>
    </row>
    <row r="121" spans="1:4" ht="15">
      <c r="A121" s="118" t="s">
        <v>110</v>
      </c>
      <c r="B121" s="92"/>
      <c r="C121" s="92"/>
      <c r="D121" s="90">
        <v>2</v>
      </c>
    </row>
    <row r="122" spans="1:4" ht="30.75">
      <c r="A122" s="118" t="s">
        <v>111</v>
      </c>
      <c r="B122" s="92"/>
      <c r="C122" s="92"/>
      <c r="D122" s="90">
        <v>3</v>
      </c>
    </row>
    <row r="123" spans="1:4" ht="15">
      <c r="A123" s="118" t="s">
        <v>112</v>
      </c>
      <c r="B123" s="92"/>
      <c r="C123" s="92"/>
      <c r="D123" s="90">
        <v>4</v>
      </c>
    </row>
    <row r="124" spans="1:4" ht="15">
      <c r="A124" s="118" t="s">
        <v>113</v>
      </c>
      <c r="B124" s="92"/>
      <c r="C124" s="92"/>
      <c r="D124" s="90">
        <v>5</v>
      </c>
    </row>
    <row r="125" spans="1:4">
      <c r="A125" s="91"/>
      <c r="B125" s="92"/>
      <c r="C125" s="92"/>
      <c r="D125" s="90"/>
    </row>
    <row r="126" spans="1:4" ht="30.75">
      <c r="A126" s="98" t="s">
        <v>114</v>
      </c>
      <c r="B126" s="106" t="s">
        <v>7</v>
      </c>
      <c r="C126" s="106" t="s">
        <v>8</v>
      </c>
      <c r="D126" s="89" t="s">
        <v>9</v>
      </c>
    </row>
    <row r="127" spans="1:4" ht="15">
      <c r="A127" s="118" t="s">
        <v>115</v>
      </c>
      <c r="B127" s="92"/>
      <c r="C127" s="92"/>
      <c r="D127" s="90">
        <v>1</v>
      </c>
    </row>
    <row r="128" spans="1:4" ht="30.75">
      <c r="A128" s="118" t="s">
        <v>116</v>
      </c>
      <c r="B128" s="92"/>
      <c r="C128" s="92"/>
      <c r="D128" s="90">
        <v>2</v>
      </c>
    </row>
    <row r="129" spans="1:4" ht="30.75">
      <c r="A129" s="118" t="s">
        <v>117</v>
      </c>
      <c r="B129" s="92"/>
      <c r="C129" s="92"/>
      <c r="D129" s="90">
        <v>3</v>
      </c>
    </row>
    <row r="130" spans="1:4" ht="30.75">
      <c r="A130" s="118" t="s">
        <v>118</v>
      </c>
      <c r="B130" s="92"/>
      <c r="C130" s="92"/>
      <c r="D130" s="90">
        <v>4</v>
      </c>
    </row>
    <row r="131" spans="1:4" ht="15">
      <c r="A131" s="118" t="s">
        <v>119</v>
      </c>
      <c r="B131" s="92"/>
      <c r="C131" s="92"/>
      <c r="D131" s="90">
        <v>5</v>
      </c>
    </row>
    <row r="133" spans="1:4" ht="23.25">
      <c r="A133" s="115" t="s">
        <v>120</v>
      </c>
    </row>
    <row r="134" spans="1:4" ht="30.75">
      <c r="A134" s="97" t="s">
        <v>121</v>
      </c>
      <c r="B134" s="107" t="s">
        <v>7</v>
      </c>
      <c r="C134" s="107" t="s">
        <v>8</v>
      </c>
      <c r="D134" s="89" t="s">
        <v>9</v>
      </c>
    </row>
    <row r="135" spans="1:4" ht="15">
      <c r="A135" s="91" t="s">
        <v>28</v>
      </c>
      <c r="B135" s="92"/>
      <c r="C135" s="92"/>
      <c r="D135" s="90">
        <v>1</v>
      </c>
    </row>
    <row r="136" spans="1:4" ht="15">
      <c r="A136" s="91" t="s">
        <v>122</v>
      </c>
      <c r="B136" s="92"/>
      <c r="C136" s="92"/>
      <c r="D136" s="90">
        <v>2</v>
      </c>
    </row>
    <row r="137" spans="1:4" ht="30.75">
      <c r="A137" s="91" t="s">
        <v>123</v>
      </c>
      <c r="B137" s="92"/>
      <c r="C137" s="92"/>
      <c r="D137" s="90">
        <v>3</v>
      </c>
    </row>
    <row r="138" spans="1:4" ht="15">
      <c r="A138" s="91" t="s">
        <v>124</v>
      </c>
      <c r="B138" s="92"/>
      <c r="C138" s="92"/>
      <c r="D138" s="90">
        <v>4</v>
      </c>
    </row>
    <row r="139" spans="1:4" ht="15">
      <c r="A139" s="91" t="s">
        <v>125</v>
      </c>
      <c r="B139" s="92"/>
      <c r="C139" s="92"/>
      <c r="D139" s="90">
        <v>5</v>
      </c>
    </row>
    <row r="140" spans="1:4" ht="15">
      <c r="A140" s="91"/>
      <c r="B140" s="92"/>
      <c r="C140" s="92"/>
      <c r="D140" s="90"/>
    </row>
    <row r="141" spans="1:4" ht="30.75">
      <c r="A141" s="97" t="s">
        <v>126</v>
      </c>
      <c r="B141" s="107" t="s">
        <v>7</v>
      </c>
      <c r="C141" s="107" t="s">
        <v>8</v>
      </c>
      <c r="D141" s="89" t="s">
        <v>9</v>
      </c>
    </row>
    <row r="142" spans="1:4" ht="15">
      <c r="A142" s="91" t="s">
        <v>127</v>
      </c>
      <c r="B142" s="92"/>
      <c r="C142" s="92"/>
      <c r="D142" s="90">
        <v>1</v>
      </c>
    </row>
    <row r="143" spans="1:4" ht="15">
      <c r="A143" s="91" t="s">
        <v>128</v>
      </c>
      <c r="B143" s="92"/>
      <c r="C143" s="92"/>
      <c r="D143" s="90">
        <v>2</v>
      </c>
    </row>
    <row r="144" spans="1:4" ht="30.75">
      <c r="A144" s="91" t="s">
        <v>129</v>
      </c>
      <c r="B144" s="92"/>
      <c r="C144" s="92"/>
      <c r="D144" s="90">
        <v>3</v>
      </c>
    </row>
    <row r="145" spans="1:4" ht="15">
      <c r="A145" s="91" t="s">
        <v>130</v>
      </c>
      <c r="B145" s="92"/>
      <c r="C145" s="92"/>
      <c r="D145" s="90">
        <v>4</v>
      </c>
    </row>
    <row r="146" spans="1:4" ht="30.75">
      <c r="A146" s="91" t="s">
        <v>131</v>
      </c>
      <c r="B146" s="92"/>
      <c r="C146" s="92"/>
      <c r="D146" s="90">
        <v>5</v>
      </c>
    </row>
    <row r="147" spans="1:4" ht="15">
      <c r="A147" s="91"/>
      <c r="B147" s="92"/>
      <c r="C147" s="92"/>
      <c r="D147" s="90"/>
    </row>
    <row r="148" spans="1:4" ht="30.75">
      <c r="A148" s="97" t="s">
        <v>132</v>
      </c>
      <c r="B148" s="107" t="s">
        <v>7</v>
      </c>
      <c r="C148" s="107" t="s">
        <v>8</v>
      </c>
      <c r="D148" s="89" t="s">
        <v>9</v>
      </c>
    </row>
    <row r="149" spans="1:4" ht="15">
      <c r="A149" s="91" t="s">
        <v>133</v>
      </c>
      <c r="B149" s="92"/>
      <c r="C149" s="92"/>
      <c r="D149" s="90">
        <v>1</v>
      </c>
    </row>
    <row r="150" spans="1:4" ht="15">
      <c r="A150" s="91" t="s">
        <v>134</v>
      </c>
      <c r="B150" s="92"/>
      <c r="C150" s="92"/>
      <c r="D150" s="90">
        <v>2</v>
      </c>
    </row>
    <row r="151" spans="1:4" ht="30.75">
      <c r="A151" s="91" t="s">
        <v>135</v>
      </c>
      <c r="B151" s="92"/>
      <c r="C151" s="92"/>
      <c r="D151" s="90">
        <v>3</v>
      </c>
    </row>
    <row r="152" spans="1:4" ht="30.75">
      <c r="A152" s="91" t="s">
        <v>136</v>
      </c>
      <c r="B152" s="92"/>
      <c r="C152" s="92"/>
      <c r="D152" s="90">
        <v>4</v>
      </c>
    </row>
    <row r="153" spans="1:4" ht="30.75">
      <c r="A153" s="91" t="s">
        <v>137</v>
      </c>
      <c r="B153" s="92"/>
      <c r="C153" s="92"/>
      <c r="D153" s="90">
        <v>5</v>
      </c>
    </row>
    <row r="154" spans="1:4" ht="15">
      <c r="A154" s="91"/>
      <c r="B154" s="92"/>
      <c r="C154" s="92"/>
      <c r="D154" s="90"/>
    </row>
    <row r="155" spans="1:4" ht="30.75">
      <c r="A155" s="97" t="s">
        <v>138</v>
      </c>
      <c r="B155" s="107" t="s">
        <v>7</v>
      </c>
      <c r="C155" s="107" t="s">
        <v>8</v>
      </c>
      <c r="D155" s="89" t="s">
        <v>9</v>
      </c>
    </row>
    <row r="156" spans="1:4" ht="15">
      <c r="A156" s="91" t="s">
        <v>28</v>
      </c>
      <c r="B156" s="92"/>
      <c r="C156" s="92"/>
      <c r="D156" s="90">
        <v>1</v>
      </c>
    </row>
    <row r="157" spans="1:4" ht="15">
      <c r="A157" s="91" t="s">
        <v>139</v>
      </c>
      <c r="B157" s="92"/>
      <c r="C157" s="92"/>
      <c r="D157" s="90">
        <v>2</v>
      </c>
    </row>
    <row r="158" spans="1:4" ht="30.75">
      <c r="A158" s="91" t="s">
        <v>140</v>
      </c>
      <c r="B158" s="92"/>
      <c r="C158" s="92"/>
      <c r="D158" s="90">
        <v>3</v>
      </c>
    </row>
    <row r="159" spans="1:4" ht="30.75">
      <c r="A159" s="91" t="s">
        <v>141</v>
      </c>
      <c r="B159" s="92"/>
      <c r="C159" s="92"/>
      <c r="D159" s="90">
        <v>4</v>
      </c>
    </row>
    <row r="160" spans="1:4" ht="30.75">
      <c r="A160" s="91" t="s">
        <v>142</v>
      </c>
      <c r="B160" s="92"/>
      <c r="C160" s="92"/>
      <c r="D160" s="90">
        <v>5</v>
      </c>
    </row>
    <row r="161" spans="1:4" ht="15">
      <c r="A161" s="91"/>
      <c r="B161" s="92"/>
      <c r="C161" s="92"/>
      <c r="D161" s="90"/>
    </row>
    <row r="162" spans="1:4" ht="30.75">
      <c r="A162" s="97" t="s">
        <v>143</v>
      </c>
      <c r="B162" s="107" t="s">
        <v>7</v>
      </c>
      <c r="C162" s="107" t="s">
        <v>8</v>
      </c>
      <c r="D162" s="89" t="s">
        <v>9</v>
      </c>
    </row>
    <row r="163" spans="1:4" ht="30.75">
      <c r="A163" s="91" t="s">
        <v>144</v>
      </c>
      <c r="B163" s="92"/>
      <c r="C163" s="92"/>
      <c r="D163" s="90">
        <v>1</v>
      </c>
    </row>
    <row r="164" spans="1:4" ht="30.75">
      <c r="A164" s="91" t="s">
        <v>145</v>
      </c>
      <c r="B164" s="92"/>
      <c r="C164" s="92"/>
      <c r="D164" s="90">
        <v>2</v>
      </c>
    </row>
    <row r="165" spans="1:4" ht="30.75">
      <c r="A165" s="91" t="s">
        <v>146</v>
      </c>
      <c r="B165" s="92"/>
      <c r="C165" s="92"/>
      <c r="D165" s="90">
        <v>3</v>
      </c>
    </row>
    <row r="166" spans="1:4" ht="30.75">
      <c r="A166" s="91" t="s">
        <v>147</v>
      </c>
      <c r="B166" s="92"/>
      <c r="C166" s="92"/>
      <c r="D166" s="90">
        <v>4</v>
      </c>
    </row>
    <row r="167" spans="1:4" ht="30.75">
      <c r="A167" s="91" t="s">
        <v>148</v>
      </c>
      <c r="B167" s="92"/>
      <c r="C167" s="92"/>
      <c r="D167" s="90">
        <v>5</v>
      </c>
    </row>
    <row r="168" spans="1:4" ht="15"/>
    <row r="169" spans="1:4" ht="23.25">
      <c r="A169" s="116" t="s">
        <v>149</v>
      </c>
    </row>
    <row r="170" spans="1:4" ht="30.75">
      <c r="A170" s="96" t="s">
        <v>150</v>
      </c>
      <c r="B170" s="108" t="s">
        <v>7</v>
      </c>
      <c r="C170" s="108" t="s">
        <v>8</v>
      </c>
      <c r="D170" s="89" t="s">
        <v>9</v>
      </c>
    </row>
    <row r="171" spans="1:4" ht="15">
      <c r="A171" s="91" t="s">
        <v>151</v>
      </c>
      <c r="B171" s="92"/>
      <c r="C171" s="92"/>
      <c r="D171" s="90">
        <v>1</v>
      </c>
    </row>
    <row r="172" spans="1:4" ht="15">
      <c r="A172" s="91" t="s">
        <v>152</v>
      </c>
      <c r="B172" s="92"/>
      <c r="C172" s="92"/>
      <c r="D172" s="90">
        <v>2</v>
      </c>
    </row>
    <row r="173" spans="1:4" ht="15">
      <c r="A173" s="91" t="s">
        <v>153</v>
      </c>
      <c r="B173" s="92"/>
      <c r="C173" s="92"/>
      <c r="D173" s="90">
        <v>3</v>
      </c>
    </row>
    <row r="174" spans="1:4" ht="30.75">
      <c r="A174" s="91" t="s">
        <v>154</v>
      </c>
      <c r="B174" s="92"/>
      <c r="C174" s="92"/>
      <c r="D174" s="90">
        <v>4</v>
      </c>
    </row>
    <row r="175" spans="1:4" ht="15">
      <c r="A175" s="91" t="s">
        <v>155</v>
      </c>
      <c r="B175" s="92"/>
      <c r="C175" s="92"/>
      <c r="D175" s="90">
        <v>5</v>
      </c>
    </row>
    <row r="176" spans="1:4" ht="15">
      <c r="A176" s="91"/>
      <c r="B176" s="92"/>
      <c r="C176" s="92"/>
      <c r="D176" s="90"/>
    </row>
    <row r="177" spans="1:4" ht="30.75">
      <c r="A177" s="96" t="s">
        <v>156</v>
      </c>
      <c r="B177" s="108" t="s">
        <v>7</v>
      </c>
      <c r="C177" s="108" t="s">
        <v>8</v>
      </c>
      <c r="D177" s="89" t="s">
        <v>9</v>
      </c>
    </row>
    <row r="178" spans="1:4" ht="15">
      <c r="A178" s="91" t="s">
        <v>157</v>
      </c>
      <c r="B178" s="92"/>
      <c r="C178" s="92"/>
      <c r="D178" s="90">
        <v>1</v>
      </c>
    </row>
    <row r="179" spans="1:4" ht="15">
      <c r="A179" s="91" t="s">
        <v>158</v>
      </c>
      <c r="B179" s="92"/>
      <c r="C179" s="92"/>
      <c r="D179" s="90">
        <v>2</v>
      </c>
    </row>
    <row r="180" spans="1:4" ht="15">
      <c r="A180" s="91" t="s">
        <v>159</v>
      </c>
      <c r="B180" s="92"/>
      <c r="C180" s="92"/>
      <c r="D180" s="90">
        <v>3</v>
      </c>
    </row>
    <row r="181" spans="1:4" ht="15">
      <c r="A181" s="91" t="s">
        <v>160</v>
      </c>
      <c r="B181" s="92"/>
      <c r="C181" s="92"/>
      <c r="D181" s="90">
        <v>4</v>
      </c>
    </row>
    <row r="182" spans="1:4" ht="15">
      <c r="A182" s="91" t="s">
        <v>161</v>
      </c>
      <c r="B182" s="92"/>
      <c r="C182" s="92"/>
      <c r="D182" s="90">
        <v>5</v>
      </c>
    </row>
    <row r="183" spans="1:4" ht="15">
      <c r="A183" s="91"/>
      <c r="B183" s="92"/>
      <c r="C183" s="92"/>
      <c r="D183" s="90"/>
    </row>
    <row r="184" spans="1:4" ht="30.75">
      <c r="A184" s="96" t="s">
        <v>162</v>
      </c>
      <c r="B184" s="108" t="s">
        <v>7</v>
      </c>
      <c r="C184" s="108" t="s">
        <v>8</v>
      </c>
      <c r="D184" s="90" t="s">
        <v>9</v>
      </c>
    </row>
    <row r="185" spans="1:4" ht="15">
      <c r="A185" s="91" t="s">
        <v>163</v>
      </c>
      <c r="B185" s="92"/>
      <c r="C185" s="92"/>
      <c r="D185" s="90">
        <v>1</v>
      </c>
    </row>
    <row r="186" spans="1:4" ht="15">
      <c r="A186" s="91" t="s">
        <v>164</v>
      </c>
      <c r="B186" s="92"/>
      <c r="C186" s="92"/>
      <c r="D186" s="90">
        <v>2</v>
      </c>
    </row>
    <row r="187" spans="1:4" ht="15">
      <c r="A187" s="91" t="s">
        <v>165</v>
      </c>
      <c r="B187" s="92"/>
      <c r="C187" s="92"/>
      <c r="D187" s="90">
        <v>3</v>
      </c>
    </row>
    <row r="188" spans="1:4" ht="15">
      <c r="A188" s="91" t="s">
        <v>166</v>
      </c>
      <c r="B188" s="92"/>
      <c r="C188" s="92"/>
      <c r="D188" s="90">
        <v>4</v>
      </c>
    </row>
    <row r="189" spans="1:4" ht="15">
      <c r="A189" s="91" t="s">
        <v>167</v>
      </c>
      <c r="B189" s="92"/>
      <c r="C189" s="92"/>
      <c r="D189" s="90">
        <v>5</v>
      </c>
    </row>
    <row r="190" spans="1:4" ht="15">
      <c r="A190" s="91"/>
      <c r="B190" s="92"/>
      <c r="C190" s="92"/>
      <c r="D190" s="90"/>
    </row>
    <row r="191" spans="1:4" ht="30.75">
      <c r="A191" s="96" t="s">
        <v>168</v>
      </c>
      <c r="B191" s="108" t="s">
        <v>7</v>
      </c>
      <c r="C191" s="108" t="s">
        <v>8</v>
      </c>
      <c r="D191" s="89" t="s">
        <v>9</v>
      </c>
    </row>
    <row r="192" spans="1:4" ht="15">
      <c r="A192" s="91" t="s">
        <v>169</v>
      </c>
      <c r="B192" s="92"/>
      <c r="C192" s="92"/>
      <c r="D192" s="90">
        <v>1</v>
      </c>
    </row>
    <row r="193" spans="1:4" ht="15">
      <c r="A193" s="91" t="s">
        <v>170</v>
      </c>
      <c r="B193" s="92"/>
      <c r="C193" s="92"/>
      <c r="D193" s="90">
        <v>2</v>
      </c>
    </row>
    <row r="194" spans="1:4" ht="15">
      <c r="A194" s="91" t="s">
        <v>171</v>
      </c>
      <c r="B194" s="92"/>
      <c r="C194" s="92"/>
      <c r="D194" s="90">
        <v>3</v>
      </c>
    </row>
    <row r="195" spans="1:4" ht="15">
      <c r="A195" s="91" t="s">
        <v>172</v>
      </c>
      <c r="B195" s="92"/>
      <c r="C195" s="92"/>
      <c r="D195" s="90">
        <v>4</v>
      </c>
    </row>
    <row r="196" spans="1:4" ht="15">
      <c r="A196" s="91" t="s">
        <v>173</v>
      </c>
      <c r="B196" s="92"/>
      <c r="C196" s="92"/>
      <c r="D196" s="90">
        <v>5</v>
      </c>
    </row>
    <row r="197" spans="1:4" ht="15">
      <c r="A197" s="91"/>
      <c r="B197" s="92"/>
      <c r="C197" s="92"/>
      <c r="D197" s="90"/>
    </row>
    <row r="198" spans="1:4" ht="30.75">
      <c r="A198" s="96" t="s">
        <v>174</v>
      </c>
      <c r="B198" s="108" t="s">
        <v>7</v>
      </c>
      <c r="C198" s="108" t="s">
        <v>8</v>
      </c>
      <c r="D198" s="89" t="s">
        <v>9</v>
      </c>
    </row>
    <row r="199" spans="1:4" ht="15">
      <c r="A199" s="91" t="s">
        <v>175</v>
      </c>
      <c r="B199" s="92"/>
      <c r="C199" s="92"/>
      <c r="D199" s="90">
        <v>1</v>
      </c>
    </row>
    <row r="200" spans="1:4" ht="15">
      <c r="A200" s="91" t="s">
        <v>176</v>
      </c>
      <c r="B200" s="92"/>
      <c r="C200" s="92"/>
      <c r="D200" s="90">
        <v>2</v>
      </c>
    </row>
    <row r="201" spans="1:4" ht="15">
      <c r="A201" s="91" t="s">
        <v>177</v>
      </c>
      <c r="B201" s="92"/>
      <c r="C201" s="92"/>
      <c r="D201" s="90">
        <v>3</v>
      </c>
    </row>
    <row r="202" spans="1:4" ht="15">
      <c r="A202" s="91" t="s">
        <v>178</v>
      </c>
      <c r="B202" s="92"/>
      <c r="C202" s="92"/>
      <c r="D202" s="90">
        <v>4</v>
      </c>
    </row>
    <row r="203" spans="1:4" ht="15">
      <c r="A203" s="91" t="s">
        <v>179</v>
      </c>
      <c r="B203" s="92"/>
      <c r="C203" s="92"/>
      <c r="D203" s="90">
        <v>5</v>
      </c>
    </row>
    <row r="204" spans="1:4" ht="15"/>
    <row r="205" spans="1:4" ht="23.25">
      <c r="A205" s="117" t="s">
        <v>180</v>
      </c>
    </row>
    <row r="206" spans="1:4" ht="30.75">
      <c r="A206" s="95" t="s">
        <v>181</v>
      </c>
      <c r="B206" s="109" t="s">
        <v>7</v>
      </c>
      <c r="C206" s="109" t="s">
        <v>8</v>
      </c>
      <c r="D206" s="89" t="s">
        <v>9</v>
      </c>
    </row>
    <row r="207" spans="1:4" ht="15">
      <c r="A207" s="91" t="s">
        <v>182</v>
      </c>
      <c r="B207" s="92"/>
      <c r="C207" s="92"/>
      <c r="D207" s="90">
        <v>1</v>
      </c>
    </row>
    <row r="208" spans="1:4" ht="15">
      <c r="A208" s="91" t="s">
        <v>183</v>
      </c>
      <c r="B208" s="92"/>
      <c r="C208" s="92"/>
      <c r="D208" s="90">
        <v>2</v>
      </c>
    </row>
    <row r="209" spans="1:4" ht="30.75">
      <c r="A209" s="91" t="s">
        <v>184</v>
      </c>
      <c r="B209" s="92"/>
      <c r="C209" s="92"/>
      <c r="D209" s="90">
        <v>3</v>
      </c>
    </row>
    <row r="210" spans="1:4" ht="15">
      <c r="A210" s="91" t="s">
        <v>185</v>
      </c>
      <c r="B210" s="92"/>
      <c r="C210" s="92"/>
      <c r="D210" s="90">
        <v>4</v>
      </c>
    </row>
    <row r="211" spans="1:4" ht="15">
      <c r="A211" s="91" t="s">
        <v>186</v>
      </c>
      <c r="B211" s="92"/>
      <c r="C211" s="92"/>
      <c r="D211" s="90">
        <v>5</v>
      </c>
    </row>
    <row r="212" spans="1:4" ht="15">
      <c r="A212" s="91"/>
      <c r="B212" s="92"/>
      <c r="C212" s="92"/>
      <c r="D212" s="90"/>
    </row>
    <row r="213" spans="1:4" ht="30.75">
      <c r="A213" s="95" t="s">
        <v>187</v>
      </c>
      <c r="B213" s="109" t="s">
        <v>7</v>
      </c>
      <c r="C213" s="109" t="s">
        <v>8</v>
      </c>
      <c r="D213" s="89" t="s">
        <v>9</v>
      </c>
    </row>
    <row r="214" spans="1:4" ht="15">
      <c r="A214" s="91" t="s">
        <v>28</v>
      </c>
      <c r="B214" s="92"/>
      <c r="C214" s="92"/>
      <c r="D214" s="90">
        <v>1</v>
      </c>
    </row>
    <row r="215" spans="1:4" ht="15">
      <c r="A215" s="91" t="s">
        <v>188</v>
      </c>
      <c r="B215" s="92"/>
      <c r="C215" s="92"/>
      <c r="D215" s="90">
        <v>2</v>
      </c>
    </row>
    <row r="216" spans="1:4" ht="30.75">
      <c r="A216" s="91" t="s">
        <v>189</v>
      </c>
      <c r="B216" s="92"/>
      <c r="C216" s="92"/>
      <c r="D216" s="90">
        <v>3</v>
      </c>
    </row>
    <row r="217" spans="1:4" ht="30.75">
      <c r="A217" s="91" t="s">
        <v>190</v>
      </c>
      <c r="B217" s="92"/>
      <c r="C217" s="92"/>
      <c r="D217" s="90">
        <v>4</v>
      </c>
    </row>
    <row r="218" spans="1:4" ht="15">
      <c r="A218" s="91" t="s">
        <v>191</v>
      </c>
      <c r="B218" s="92"/>
      <c r="C218" s="92"/>
      <c r="D218" s="90">
        <v>5</v>
      </c>
    </row>
    <row r="219" spans="1:4" ht="15">
      <c r="A219" s="91"/>
      <c r="B219" s="92"/>
      <c r="C219" s="92"/>
      <c r="D219" s="90"/>
    </row>
    <row r="220" spans="1:4" ht="30.75">
      <c r="A220" s="95" t="s">
        <v>192</v>
      </c>
      <c r="B220" s="109" t="s">
        <v>7</v>
      </c>
      <c r="C220" s="109" t="s">
        <v>8</v>
      </c>
      <c r="D220" s="89" t="s">
        <v>9</v>
      </c>
    </row>
    <row r="221" spans="1:4" ht="15">
      <c r="A221" s="91" t="s">
        <v>193</v>
      </c>
      <c r="B221" s="92"/>
      <c r="C221" s="92"/>
      <c r="D221" s="90">
        <v>1</v>
      </c>
    </row>
    <row r="222" spans="1:4" ht="30.75">
      <c r="A222" s="91" t="s">
        <v>194</v>
      </c>
      <c r="B222" s="92"/>
      <c r="C222" s="92"/>
      <c r="D222" s="90">
        <v>2</v>
      </c>
    </row>
    <row r="223" spans="1:4" ht="15">
      <c r="A223" s="91" t="s">
        <v>195</v>
      </c>
      <c r="B223" s="92"/>
      <c r="C223" s="92"/>
      <c r="D223" s="90">
        <v>3</v>
      </c>
    </row>
    <row r="224" spans="1:4" ht="15">
      <c r="A224" s="91" t="s">
        <v>196</v>
      </c>
      <c r="B224" s="92"/>
      <c r="C224" s="92"/>
      <c r="D224" s="90">
        <v>4</v>
      </c>
    </row>
    <row r="225" spans="1:9" ht="15">
      <c r="A225" s="91" t="s">
        <v>197</v>
      </c>
      <c r="B225" s="92"/>
      <c r="C225" s="92"/>
      <c r="D225" s="90">
        <v>5</v>
      </c>
    </row>
    <row r="226" spans="1:9" ht="15">
      <c r="A226" s="91"/>
      <c r="B226" s="92"/>
      <c r="C226" s="92"/>
      <c r="D226" s="90"/>
    </row>
    <row r="227" spans="1:9" ht="30.75">
      <c r="A227" s="95" t="s">
        <v>198</v>
      </c>
      <c r="B227" s="109" t="s">
        <v>7</v>
      </c>
      <c r="C227" s="109" t="s">
        <v>8</v>
      </c>
      <c r="D227" s="89" t="s">
        <v>9</v>
      </c>
    </row>
    <row r="228" spans="1:9" ht="15">
      <c r="A228" s="110" t="s">
        <v>28</v>
      </c>
      <c r="B228" s="92"/>
      <c r="C228" s="92"/>
      <c r="D228" s="90">
        <v>1</v>
      </c>
    </row>
    <row r="229" spans="1:9" ht="15">
      <c r="A229" s="91" t="s">
        <v>199</v>
      </c>
      <c r="B229" s="92"/>
      <c r="C229" s="92"/>
      <c r="D229" s="90">
        <v>2</v>
      </c>
    </row>
    <row r="230" spans="1:9" ht="30.75">
      <c r="A230" s="91" t="s">
        <v>200</v>
      </c>
      <c r="B230" s="92"/>
      <c r="C230" s="92"/>
      <c r="D230" s="90">
        <v>3</v>
      </c>
    </row>
    <row r="231" spans="1:9" ht="45.75">
      <c r="A231" s="91" t="s">
        <v>201</v>
      </c>
      <c r="B231" s="92"/>
      <c r="C231" s="92"/>
      <c r="D231" s="90">
        <v>4</v>
      </c>
      <c r="I231" s="103"/>
    </row>
    <row r="232" spans="1:9" ht="30.75">
      <c r="A232" s="91" t="s">
        <v>202</v>
      </c>
      <c r="B232" s="92"/>
      <c r="C232" s="92"/>
      <c r="D232" s="90">
        <v>5</v>
      </c>
    </row>
    <row r="233" spans="1:9" ht="15">
      <c r="A233" s="91"/>
      <c r="B233" s="92"/>
      <c r="C233" s="92"/>
      <c r="D233" s="90"/>
    </row>
    <row r="234" spans="1:9" ht="30.75">
      <c r="A234" s="95" t="s">
        <v>203</v>
      </c>
      <c r="B234" s="109" t="s">
        <v>7</v>
      </c>
      <c r="C234" s="109" t="s">
        <v>8</v>
      </c>
      <c r="D234" s="89" t="s">
        <v>9</v>
      </c>
    </row>
    <row r="235" spans="1:9" ht="15">
      <c r="A235" s="91" t="s">
        <v>204</v>
      </c>
      <c r="B235" s="92"/>
      <c r="C235" s="92"/>
      <c r="D235" s="90">
        <v>1</v>
      </c>
    </row>
    <row r="236" spans="1:9" ht="30.75">
      <c r="A236" s="91" t="s">
        <v>205</v>
      </c>
      <c r="B236" s="92"/>
      <c r="C236" s="92"/>
      <c r="D236" s="90">
        <v>2</v>
      </c>
    </row>
    <row r="237" spans="1:9" ht="30.75">
      <c r="A237" s="91" t="s">
        <v>206</v>
      </c>
      <c r="B237" s="92"/>
      <c r="C237" s="92"/>
      <c r="D237" s="90">
        <v>3</v>
      </c>
    </row>
    <row r="238" spans="1:9" ht="30.75">
      <c r="A238" s="91" t="s">
        <v>207</v>
      </c>
      <c r="B238" s="92"/>
      <c r="C238" s="92"/>
      <c r="D238" s="90">
        <v>4</v>
      </c>
    </row>
    <row r="239" spans="1:9" ht="30.75">
      <c r="A239" s="91" t="s">
        <v>208</v>
      </c>
      <c r="B239" s="92"/>
      <c r="C239" s="92"/>
      <c r="D239" s="90">
        <v>5</v>
      </c>
    </row>
  </sheetData>
  <mergeCells count="3">
    <mergeCell ref="F3:M3"/>
    <mergeCell ref="B3:D3"/>
    <mergeCell ref="F4:M22"/>
  </mergeCells>
  <pageMargins left="0.7" right="0.7" top="0.75" bottom="0.75" header="0.3" footer="0.3"/>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AJ27"/>
  <sheetViews>
    <sheetView showGridLines="0" tabSelected="1" topLeftCell="A6" zoomScale="80" zoomScaleNormal="80" workbookViewId="0">
      <selection activeCell="B18" sqref="B18"/>
    </sheetView>
  </sheetViews>
  <sheetFormatPr defaultColWidth="8.7109375" defaultRowHeight="14.45"/>
  <cols>
    <col min="1" max="1" width="8.7109375" bestFit="1" customWidth="1"/>
    <col min="2" max="4" width="25.7109375" customWidth="1"/>
    <col min="5" max="36" width="6.42578125" style="27" customWidth="1"/>
  </cols>
  <sheetData>
    <row r="1" spans="1:36" s="1" customFormat="1" ht="100.9" customHeight="1">
      <c r="A1" s="36"/>
      <c r="B1" s="37"/>
      <c r="C1" s="37"/>
      <c r="D1" s="38"/>
      <c r="E1" s="39" t="s">
        <v>209</v>
      </c>
      <c r="F1" s="40" t="s">
        <v>209</v>
      </c>
      <c r="G1" s="40" t="s">
        <v>209</v>
      </c>
      <c r="H1" s="40" t="s">
        <v>209</v>
      </c>
      <c r="I1" s="41" t="s">
        <v>209</v>
      </c>
      <c r="J1" s="42" t="s">
        <v>209</v>
      </c>
      <c r="K1" s="39" t="s">
        <v>210</v>
      </c>
      <c r="L1" s="39" t="s">
        <v>210</v>
      </c>
      <c r="M1" s="39" t="s">
        <v>210</v>
      </c>
      <c r="N1" s="39" t="s">
        <v>210</v>
      </c>
      <c r="O1" s="39" t="s">
        <v>210</v>
      </c>
      <c r="P1" s="39" t="s">
        <v>210</v>
      </c>
      <c r="Q1" s="39" t="s">
        <v>210</v>
      </c>
      <c r="R1" s="39" t="s">
        <v>210</v>
      </c>
      <c r="S1" s="40" t="s">
        <v>211</v>
      </c>
      <c r="T1" s="40" t="s">
        <v>211</v>
      </c>
      <c r="U1" s="43" t="s">
        <v>211</v>
      </c>
      <c r="V1" s="39" t="s">
        <v>212</v>
      </c>
      <c r="W1" s="40" t="s">
        <v>212</v>
      </c>
      <c r="X1" s="40" t="s">
        <v>212</v>
      </c>
      <c r="Y1" s="40" t="s">
        <v>212</v>
      </c>
      <c r="Z1" s="40" t="s">
        <v>212</v>
      </c>
      <c r="AA1" s="43" t="s">
        <v>213</v>
      </c>
      <c r="AB1" s="40" t="s">
        <v>213</v>
      </c>
      <c r="AC1" s="40" t="s">
        <v>213</v>
      </c>
      <c r="AD1" s="40" t="s">
        <v>213</v>
      </c>
      <c r="AE1" s="42" t="s">
        <v>213</v>
      </c>
      <c r="AF1" s="43" t="s">
        <v>214</v>
      </c>
      <c r="AG1" s="40" t="s">
        <v>214</v>
      </c>
      <c r="AH1" s="40" t="s">
        <v>214</v>
      </c>
      <c r="AI1" s="40" t="s">
        <v>214</v>
      </c>
      <c r="AJ1" s="42" t="s">
        <v>214</v>
      </c>
    </row>
    <row r="2" spans="1:36" s="1" customFormat="1" ht="150.4" customHeight="1">
      <c r="A2" s="8"/>
      <c r="B2" s="9"/>
      <c r="C2" s="9"/>
      <c r="D2" s="10"/>
      <c r="E2" s="11" t="s">
        <v>17</v>
      </c>
      <c r="F2" s="12" t="s">
        <v>23</v>
      </c>
      <c r="G2" s="12" t="s">
        <v>29</v>
      </c>
      <c r="H2" s="12" t="s">
        <v>35</v>
      </c>
      <c r="I2" s="15" t="s">
        <v>41</v>
      </c>
      <c r="J2" s="13" t="s">
        <v>47</v>
      </c>
      <c r="K2" s="11" t="s">
        <v>54</v>
      </c>
      <c r="L2" s="12" t="s">
        <v>60</v>
      </c>
      <c r="M2" s="12" t="s">
        <v>66</v>
      </c>
      <c r="N2" s="12" t="s">
        <v>72</v>
      </c>
      <c r="O2" s="15" t="s">
        <v>78</v>
      </c>
      <c r="P2" s="14" t="s">
        <v>215</v>
      </c>
      <c r="Q2" s="12" t="s">
        <v>90</v>
      </c>
      <c r="R2" s="12" t="s">
        <v>96</v>
      </c>
      <c r="S2" s="12" t="s">
        <v>103</v>
      </c>
      <c r="T2" s="15" t="s">
        <v>109</v>
      </c>
      <c r="U2" s="120" t="s">
        <v>216</v>
      </c>
      <c r="V2" s="11" t="s">
        <v>121</v>
      </c>
      <c r="W2" s="12" t="s">
        <v>126</v>
      </c>
      <c r="X2" s="12" t="s">
        <v>132</v>
      </c>
      <c r="Y2" s="12" t="s">
        <v>138</v>
      </c>
      <c r="Z2" s="12" t="s">
        <v>217</v>
      </c>
      <c r="AA2" s="14" t="s">
        <v>150</v>
      </c>
      <c r="AB2" s="12" t="s">
        <v>156</v>
      </c>
      <c r="AC2" s="12" t="s">
        <v>162</v>
      </c>
      <c r="AD2" s="12" t="s">
        <v>218</v>
      </c>
      <c r="AE2" s="13" t="s">
        <v>174</v>
      </c>
      <c r="AF2" s="14" t="s">
        <v>181</v>
      </c>
      <c r="AG2" s="12" t="s">
        <v>187</v>
      </c>
      <c r="AH2" s="12" t="s">
        <v>192</v>
      </c>
      <c r="AI2" s="12" t="s">
        <v>198</v>
      </c>
      <c r="AJ2" s="13" t="s">
        <v>203</v>
      </c>
    </row>
    <row r="3" spans="1:36">
      <c r="A3" s="6" t="s">
        <v>219</v>
      </c>
      <c r="B3" s="2" t="s">
        <v>220</v>
      </c>
      <c r="C3" s="2" t="s">
        <v>221</v>
      </c>
      <c r="D3" s="3" t="s">
        <v>222</v>
      </c>
      <c r="E3" s="16">
        <v>1</v>
      </c>
      <c r="F3" s="17">
        <v>2</v>
      </c>
      <c r="G3" s="17">
        <v>3</v>
      </c>
      <c r="H3" s="17">
        <v>4</v>
      </c>
      <c r="I3" s="20">
        <v>5</v>
      </c>
      <c r="J3" s="18">
        <v>6</v>
      </c>
      <c r="K3" s="16">
        <v>1</v>
      </c>
      <c r="L3" s="17">
        <v>2</v>
      </c>
      <c r="M3" s="17">
        <v>3</v>
      </c>
      <c r="N3" s="17">
        <v>4</v>
      </c>
      <c r="O3" s="20">
        <v>5</v>
      </c>
      <c r="P3" s="19">
        <v>6</v>
      </c>
      <c r="Q3" s="17">
        <v>7</v>
      </c>
      <c r="R3" s="17">
        <v>8</v>
      </c>
      <c r="S3" s="17">
        <v>1</v>
      </c>
      <c r="T3" s="20">
        <v>2</v>
      </c>
      <c r="U3" s="121">
        <v>3</v>
      </c>
      <c r="V3" s="16">
        <v>1</v>
      </c>
      <c r="W3" s="17">
        <v>2</v>
      </c>
      <c r="X3" s="17">
        <v>3</v>
      </c>
      <c r="Y3" s="17">
        <v>4</v>
      </c>
      <c r="Z3" s="17">
        <v>5</v>
      </c>
      <c r="AA3" s="19">
        <v>1</v>
      </c>
      <c r="AB3" s="17">
        <v>2</v>
      </c>
      <c r="AC3" s="17">
        <v>3</v>
      </c>
      <c r="AD3" s="17">
        <v>4</v>
      </c>
      <c r="AE3" s="18">
        <v>5</v>
      </c>
      <c r="AF3" s="19">
        <v>1</v>
      </c>
      <c r="AG3" s="17">
        <v>2</v>
      </c>
      <c r="AH3" s="17">
        <v>3</v>
      </c>
      <c r="AI3" s="17">
        <v>4</v>
      </c>
      <c r="AJ3" s="18">
        <v>5</v>
      </c>
    </row>
    <row r="4" spans="1:36">
      <c r="A4" s="33" t="s">
        <v>223</v>
      </c>
      <c r="B4" s="5"/>
      <c r="C4" s="5"/>
      <c r="D4" s="5"/>
      <c r="E4" s="21"/>
      <c r="F4" s="22"/>
      <c r="G4" s="22"/>
      <c r="H4" s="22"/>
      <c r="I4" s="22"/>
      <c r="J4" s="23"/>
      <c r="K4" s="21"/>
      <c r="L4" s="22"/>
      <c r="M4" s="22"/>
      <c r="N4" s="22"/>
      <c r="O4" s="22"/>
      <c r="P4" s="22"/>
      <c r="Q4" s="22"/>
      <c r="R4" s="22"/>
      <c r="S4" s="22"/>
      <c r="T4" s="22"/>
      <c r="U4" s="22"/>
      <c r="V4" s="21"/>
      <c r="W4" s="22"/>
      <c r="X4" s="22"/>
      <c r="Y4" s="22"/>
      <c r="Z4" s="22"/>
      <c r="AA4" s="22"/>
      <c r="AB4" s="22"/>
      <c r="AC4" s="22"/>
      <c r="AD4" s="22"/>
      <c r="AE4" s="23"/>
      <c r="AF4" s="22"/>
      <c r="AG4" s="22"/>
      <c r="AH4" s="22"/>
      <c r="AI4" s="22"/>
      <c r="AJ4" s="23"/>
    </row>
    <row r="5" spans="1:36">
      <c r="A5" s="6">
        <v>1</v>
      </c>
      <c r="B5" s="34" t="s">
        <v>224</v>
      </c>
      <c r="C5" s="2"/>
      <c r="D5" s="3"/>
      <c r="E5" s="44" t="e">
        <f>SUM(Questions!$B13:$B17)/COUNT(Questions!$B13:$B17)</f>
        <v>#DIV/0!</v>
      </c>
      <c r="F5" s="45" t="e">
        <f>SUM(Questions!$B20:$B24)/COUNT(Questions!$B20:$B24)</f>
        <v>#DIV/0!</v>
      </c>
      <c r="G5" s="45" t="e">
        <f>SUM(Questions!$B27:$B31)/COUNT(Questions!$B27:$B31)</f>
        <v>#DIV/0!</v>
      </c>
      <c r="H5" s="45" t="e">
        <f>SUM(Questions!$B34:$B38)/COUNT(Questions!$B34:$B38)</f>
        <v>#DIV/0!</v>
      </c>
      <c r="I5" s="45" t="e">
        <f>SUM(Questions!$B41:$B45)/COUNT(Questions!$B41:$B45)</f>
        <v>#DIV/0!</v>
      </c>
      <c r="J5" s="46" t="e">
        <f>SUM(Questions!$B48:$B52)/COUNT(Questions!$B48:$B52)</f>
        <v>#DIV/0!</v>
      </c>
      <c r="K5" s="44" t="e">
        <f>SUM(Questions!$B56:$B60)/COUNT(Questions!$B56:$B60)</f>
        <v>#DIV/0!</v>
      </c>
      <c r="L5" s="45" t="e">
        <f>SUM(Questions!$B63:$B67)/COUNT(Questions!$B63:$B67)</f>
        <v>#DIV/0!</v>
      </c>
      <c r="M5" s="47" t="e">
        <f>SUM(Questions!$B70:$B74)/COUNT(Questions!$B70:$B74)</f>
        <v>#DIV/0!</v>
      </c>
      <c r="N5" s="45" t="e">
        <f>SUM(Questions!$B77:$B81)/COUNT(Questions!$B77:$B81)</f>
        <v>#DIV/0!</v>
      </c>
      <c r="O5" s="48" t="e">
        <f>SUM(Questions!$B84:$B88)/COUNT(Questions!$B84:$B88)</f>
        <v>#DIV/0!</v>
      </c>
      <c r="P5" s="48" t="e">
        <f>SUM(Questions!$B91:$B95)/COUNT(Questions!$B91:$B95)</f>
        <v>#DIV/0!</v>
      </c>
      <c r="Q5" s="48" t="e">
        <f>SUM(Questions!$B98:$B102)/COUNT(Questions!$B98:$B102)</f>
        <v>#DIV/0!</v>
      </c>
      <c r="R5" s="48" t="e">
        <f>SUM(Questions!$B105:$B109)/COUNT(Questions!$B105:$B109)</f>
        <v>#DIV/0!</v>
      </c>
      <c r="S5" s="45" t="e">
        <f>SUM(Questions!$B113:$B117)/COUNT(Questions!$B113:$B117)</f>
        <v>#DIV/0!</v>
      </c>
      <c r="T5" s="45" t="e">
        <f>SUM(Questions!$B120:$B124)/COUNT(Questions!$B120:$B124)</f>
        <v>#DIV/0!</v>
      </c>
      <c r="U5" s="46" t="e">
        <f>SUM(Questions!$B127:$B131)/COUNT(Questions!$B127:$B131)</f>
        <v>#DIV/0!</v>
      </c>
      <c r="V5" s="44" t="e">
        <f>SUM(Questions!$B135:$B139)/COUNT(Questions!$B135:$B139)</f>
        <v>#DIV/0!</v>
      </c>
      <c r="W5" s="45" t="e">
        <f>SUM(Questions!$B142:$B146)/COUNT(Questions!$B142:$B146)</f>
        <v>#DIV/0!</v>
      </c>
      <c r="X5" s="45" t="e">
        <f>SUM(Questions!$B149:$B153)/COUNT(Questions!$B149:$B153)</f>
        <v>#DIV/0!</v>
      </c>
      <c r="Y5" s="45" t="e">
        <f>SUM(Questions!$B156:$B160)/COUNT(Questions!$B156:$B160)</f>
        <v>#DIV/0!</v>
      </c>
      <c r="Z5" s="45" t="e">
        <f>SUM(Questions!$B163:$B167)/COUNT(Questions!$B163:$B167)</f>
        <v>#DIV/0!</v>
      </c>
      <c r="AA5" s="44" t="e">
        <f>SUM(Questions!$B171:$B175)/COUNT(Questions!$B171:$B175)</f>
        <v>#DIV/0!</v>
      </c>
      <c r="AB5" s="45" t="e">
        <f>SUM(Questions!$B178:$B182)/COUNT(Questions!$B178:$B182)</f>
        <v>#DIV/0!</v>
      </c>
      <c r="AC5" s="45" t="e">
        <f>SUM(Questions!$B185:$B189)/COUNT(Questions!$B185:$B189)</f>
        <v>#DIV/0!</v>
      </c>
      <c r="AD5" s="45" t="e">
        <f>SUM(Questions!$B192:$B196)/COUNT(Questions!$B192:$B196)</f>
        <v>#DIV/0!</v>
      </c>
      <c r="AE5" s="46" t="e">
        <f>SUM(Questions!$B199:$B203)/COUNT(Questions!$B199:$B203)</f>
        <v>#DIV/0!</v>
      </c>
      <c r="AF5" s="44" t="e">
        <f>SUM(Questions!$B207:$B211)/COUNT(Questions!$B207:$B211)</f>
        <v>#DIV/0!</v>
      </c>
      <c r="AG5" s="45" t="e">
        <f>SUM(Questions!$B214:$B218)/COUNT(Questions!$B214:$B218)</f>
        <v>#DIV/0!</v>
      </c>
      <c r="AH5" s="45" t="e">
        <f>SUM(Questions!$B221:$B225)/COUNT(Questions!$B221:$B225)</f>
        <v>#DIV/0!</v>
      </c>
      <c r="AI5" s="45" t="e">
        <f>SUM(Questions!$B228:$B232)/COUNT(Questions!$B228:$B232)</f>
        <v>#DIV/0!</v>
      </c>
      <c r="AJ5" s="46" t="e">
        <f>SUM(Questions!$B235:$B239)/COUNT(Questions!$B235:$B239)</f>
        <v>#DIV/0!</v>
      </c>
    </row>
    <row r="6" spans="1:36">
      <c r="A6" s="6">
        <v>2</v>
      </c>
      <c r="B6" s="28" t="s">
        <v>225</v>
      </c>
      <c r="C6" s="2"/>
      <c r="D6" s="3"/>
      <c r="E6" s="24"/>
      <c r="F6" s="25"/>
      <c r="G6" s="25"/>
      <c r="H6" s="25"/>
      <c r="I6" s="29"/>
      <c r="J6" s="26"/>
      <c r="K6" s="24"/>
      <c r="L6" s="29"/>
      <c r="M6" s="32"/>
      <c r="N6" s="30"/>
      <c r="O6" s="35"/>
      <c r="P6" s="25"/>
      <c r="Q6" s="25"/>
      <c r="R6" s="26"/>
      <c r="S6" s="30"/>
      <c r="T6" s="29"/>
      <c r="U6" s="35"/>
      <c r="V6" s="24"/>
      <c r="W6" s="25"/>
      <c r="X6" s="25"/>
      <c r="Y6" s="25"/>
      <c r="Z6" s="25"/>
      <c r="AA6" s="24"/>
      <c r="AB6" s="25"/>
      <c r="AC6" s="25"/>
      <c r="AD6" s="25"/>
      <c r="AE6" s="26"/>
      <c r="AF6" s="24"/>
      <c r="AG6" s="25"/>
      <c r="AH6" s="25"/>
      <c r="AI6" s="25"/>
      <c r="AJ6" s="26"/>
    </row>
    <row r="7" spans="1:36">
      <c r="A7" s="6">
        <v>3</v>
      </c>
      <c r="B7" s="28" t="s">
        <v>226</v>
      </c>
      <c r="C7" s="2"/>
      <c r="D7" s="3"/>
      <c r="E7" s="24"/>
      <c r="F7" s="25"/>
      <c r="G7" s="25"/>
      <c r="H7" s="25"/>
      <c r="I7" s="29"/>
      <c r="J7" s="26"/>
      <c r="K7" s="24"/>
      <c r="L7" s="25"/>
      <c r="M7" s="32"/>
      <c r="N7" s="25"/>
      <c r="O7" s="29"/>
      <c r="P7" s="25"/>
      <c r="Q7" s="25"/>
      <c r="R7" s="26"/>
      <c r="S7" s="30"/>
      <c r="T7" s="29"/>
      <c r="U7" s="35"/>
      <c r="V7" s="24"/>
      <c r="W7" s="25"/>
      <c r="X7" s="25"/>
      <c r="Y7" s="25"/>
      <c r="Z7" s="25"/>
      <c r="AA7" s="24"/>
      <c r="AB7" s="25"/>
      <c r="AC7" s="25"/>
      <c r="AD7" s="25"/>
      <c r="AE7" s="26"/>
      <c r="AF7" s="24"/>
      <c r="AG7" s="25"/>
      <c r="AH7" s="25"/>
      <c r="AI7" s="25"/>
      <c r="AJ7" s="26"/>
    </row>
    <row r="8" spans="1:36">
      <c r="A8" s="6">
        <v>4</v>
      </c>
      <c r="B8" s="2"/>
      <c r="C8" s="2"/>
      <c r="D8" s="3"/>
      <c r="E8" s="24"/>
      <c r="F8" s="25"/>
      <c r="G8" s="25"/>
      <c r="H8" s="25"/>
      <c r="I8" s="29"/>
      <c r="J8" s="31"/>
      <c r="K8" s="24"/>
      <c r="L8" s="25"/>
      <c r="M8" s="32"/>
      <c r="N8" s="25"/>
      <c r="O8" s="29"/>
      <c r="P8" s="25"/>
      <c r="Q8" s="25"/>
      <c r="R8" s="26"/>
      <c r="S8" s="30"/>
      <c r="T8" s="29"/>
      <c r="U8" s="35"/>
      <c r="V8" s="24"/>
      <c r="W8" s="25"/>
      <c r="X8" s="25"/>
      <c r="Y8" s="25"/>
      <c r="Z8" s="25"/>
      <c r="AA8" s="24"/>
      <c r="AB8" s="25"/>
      <c r="AC8" s="25"/>
      <c r="AD8" s="25"/>
      <c r="AE8" s="26"/>
      <c r="AF8" s="24"/>
      <c r="AG8" s="25"/>
      <c r="AH8" s="25"/>
      <c r="AI8" s="25"/>
      <c r="AJ8" s="26"/>
    </row>
    <row r="9" spans="1:36">
      <c r="A9" s="6">
        <v>5</v>
      </c>
      <c r="B9" s="3"/>
      <c r="C9" s="3"/>
      <c r="D9" s="3"/>
      <c r="E9" s="24"/>
      <c r="F9" s="25"/>
      <c r="G9" s="25"/>
      <c r="H9" s="25"/>
      <c r="I9" s="29"/>
      <c r="J9" s="26"/>
      <c r="K9" s="24"/>
      <c r="L9" s="25"/>
      <c r="M9" s="32"/>
      <c r="N9" s="25"/>
      <c r="O9" s="29"/>
      <c r="P9" s="25"/>
      <c r="Q9" s="25"/>
      <c r="R9" s="26"/>
      <c r="S9" s="30"/>
      <c r="T9" s="29"/>
      <c r="U9" s="35"/>
      <c r="V9" s="24"/>
      <c r="W9" s="25"/>
      <c r="X9" s="25"/>
      <c r="Y9" s="25"/>
      <c r="Z9" s="25"/>
      <c r="AA9" s="24"/>
      <c r="AB9" s="25"/>
      <c r="AC9" s="25"/>
      <c r="AD9" s="25"/>
      <c r="AE9" s="26"/>
      <c r="AF9" s="24"/>
      <c r="AG9" s="25"/>
      <c r="AH9" s="25"/>
      <c r="AI9" s="25"/>
      <c r="AJ9" s="26"/>
    </row>
    <row r="10" spans="1:36">
      <c r="A10" s="6">
        <v>6</v>
      </c>
      <c r="B10" s="2"/>
      <c r="C10" s="2"/>
      <c r="D10" s="3"/>
      <c r="E10" s="24"/>
      <c r="F10" s="25"/>
      <c r="G10" s="25"/>
      <c r="J10" s="26"/>
      <c r="K10" s="24"/>
      <c r="L10" s="25"/>
      <c r="M10" s="32"/>
      <c r="N10" s="25"/>
      <c r="O10" s="29"/>
      <c r="P10" s="25"/>
      <c r="Q10" s="25"/>
      <c r="R10" s="26"/>
      <c r="S10" s="30"/>
      <c r="T10" s="29"/>
      <c r="U10" s="35"/>
      <c r="V10" s="24"/>
      <c r="W10" s="25"/>
      <c r="X10" s="25"/>
      <c r="Y10" s="25"/>
      <c r="Z10" s="25"/>
      <c r="AA10" s="24"/>
      <c r="AB10" s="25"/>
      <c r="AC10" s="25"/>
      <c r="AD10" s="25"/>
      <c r="AE10" s="26"/>
      <c r="AF10" s="24"/>
      <c r="AG10" s="25"/>
      <c r="AH10" s="25"/>
      <c r="AI10" s="25"/>
      <c r="AJ10" s="26"/>
    </row>
    <row r="11" spans="1:36">
      <c r="A11" s="6">
        <v>7</v>
      </c>
      <c r="B11" s="2"/>
      <c r="C11" s="2"/>
      <c r="D11" s="3"/>
      <c r="E11" s="24"/>
      <c r="F11" s="25"/>
      <c r="G11" s="25"/>
      <c r="H11" s="25"/>
      <c r="I11" s="29"/>
      <c r="J11" s="26"/>
      <c r="K11" s="24"/>
      <c r="L11" s="25"/>
      <c r="M11" s="32"/>
      <c r="N11" s="25"/>
      <c r="O11" s="29"/>
      <c r="P11" s="25"/>
      <c r="Q11" s="25"/>
      <c r="R11" s="26"/>
      <c r="S11" s="30"/>
      <c r="T11" s="29"/>
      <c r="U11" s="35"/>
      <c r="V11" s="24"/>
      <c r="W11" s="25"/>
      <c r="X11" s="25"/>
      <c r="Y11" s="25"/>
      <c r="Z11" s="25"/>
      <c r="AA11" s="24"/>
      <c r="AB11" s="25"/>
      <c r="AC11" s="25"/>
      <c r="AD11" s="25"/>
      <c r="AE11" s="26"/>
      <c r="AF11" s="24"/>
      <c r="AG11" s="25"/>
      <c r="AH11" s="25"/>
      <c r="AI11" s="25"/>
      <c r="AJ11" s="26"/>
    </row>
    <row r="12" spans="1:36">
      <c r="A12" s="6">
        <v>8</v>
      </c>
      <c r="B12" s="2"/>
      <c r="C12" s="2"/>
      <c r="D12" s="3"/>
      <c r="E12" s="24"/>
      <c r="F12" s="25"/>
      <c r="G12" s="25"/>
      <c r="H12" s="25"/>
      <c r="I12" s="29"/>
      <c r="J12" s="26"/>
      <c r="K12" s="24"/>
      <c r="L12" s="25"/>
      <c r="M12" s="32"/>
      <c r="N12" s="25"/>
      <c r="O12" s="29"/>
      <c r="P12" s="25"/>
      <c r="Q12" s="25"/>
      <c r="R12" s="26"/>
      <c r="S12" s="30"/>
      <c r="T12" s="29"/>
      <c r="U12" s="35"/>
      <c r="V12" s="24"/>
      <c r="W12" s="25"/>
      <c r="X12" s="25"/>
      <c r="Y12" s="25"/>
      <c r="Z12" s="25"/>
      <c r="AA12" s="24"/>
      <c r="AB12" s="25"/>
      <c r="AC12" s="25"/>
      <c r="AD12" s="32"/>
      <c r="AE12" s="26"/>
      <c r="AF12" s="24"/>
      <c r="AG12" s="25"/>
      <c r="AH12" s="25"/>
      <c r="AI12" s="32"/>
      <c r="AJ12" s="26"/>
    </row>
    <row r="13" spans="1:36">
      <c r="A13" s="6">
        <v>9</v>
      </c>
      <c r="B13" s="2"/>
      <c r="C13" s="2"/>
      <c r="D13" s="3"/>
      <c r="E13" s="24"/>
      <c r="F13" s="25"/>
      <c r="G13" s="25"/>
      <c r="H13" s="25"/>
      <c r="I13" s="29"/>
      <c r="J13" s="26"/>
      <c r="K13" s="24"/>
      <c r="L13" s="25"/>
      <c r="M13" s="32"/>
      <c r="N13" s="25"/>
      <c r="O13" s="29"/>
      <c r="P13" s="25"/>
      <c r="Q13" s="25"/>
      <c r="R13" s="26"/>
      <c r="S13" s="30"/>
      <c r="T13" s="29"/>
      <c r="U13" s="35"/>
      <c r="V13" s="24"/>
      <c r="W13" s="25"/>
      <c r="X13" s="25"/>
      <c r="Y13" s="25"/>
      <c r="Z13" s="25"/>
      <c r="AA13" s="24"/>
      <c r="AB13" s="25"/>
      <c r="AC13" s="25"/>
      <c r="AD13" s="25"/>
      <c r="AE13" s="26"/>
      <c r="AF13" s="24"/>
      <c r="AG13" s="25"/>
      <c r="AH13" s="25"/>
      <c r="AI13" s="25"/>
      <c r="AJ13" s="26"/>
    </row>
    <row r="14" spans="1:36">
      <c r="A14" s="6">
        <v>10</v>
      </c>
      <c r="B14" s="2"/>
      <c r="C14" s="2"/>
      <c r="D14" s="3"/>
      <c r="E14" s="24"/>
      <c r="F14" s="25"/>
      <c r="G14" s="25"/>
      <c r="H14" s="25"/>
      <c r="I14" s="29"/>
      <c r="J14" s="26"/>
      <c r="K14" s="24"/>
      <c r="L14" s="25"/>
      <c r="M14" s="32"/>
      <c r="N14" s="25"/>
      <c r="O14" s="29"/>
      <c r="P14" s="25"/>
      <c r="Q14" s="25"/>
      <c r="R14" s="26"/>
      <c r="S14" s="30"/>
      <c r="T14" s="29"/>
      <c r="U14" s="35"/>
      <c r="V14" s="24"/>
      <c r="W14" s="25"/>
      <c r="X14" s="25"/>
      <c r="Y14" s="25"/>
      <c r="Z14" s="25"/>
      <c r="AA14" s="24"/>
      <c r="AB14" s="25"/>
      <c r="AC14" s="25"/>
      <c r="AD14" s="25"/>
      <c r="AE14" s="26"/>
      <c r="AF14" s="24"/>
      <c r="AG14" s="25"/>
      <c r="AH14" s="25"/>
      <c r="AI14" s="25"/>
      <c r="AJ14" s="26"/>
    </row>
    <row r="15" spans="1:36">
      <c r="A15" s="7"/>
      <c r="C15" s="4"/>
    </row>
    <row r="16" spans="1:36">
      <c r="A16" s="33" t="s">
        <v>227</v>
      </c>
      <c r="B16" s="5"/>
      <c r="C16" s="5"/>
      <c r="D16" s="5"/>
      <c r="E16" s="21"/>
      <c r="F16" s="22"/>
      <c r="G16" s="22"/>
      <c r="H16" s="22"/>
      <c r="I16" s="22"/>
      <c r="J16" s="23"/>
      <c r="K16" s="21"/>
      <c r="L16" s="22"/>
      <c r="M16" s="22"/>
      <c r="N16" s="22"/>
      <c r="O16" s="22"/>
      <c r="P16" s="22"/>
      <c r="Q16" s="22"/>
      <c r="R16" s="22"/>
      <c r="S16" s="22"/>
      <c r="T16" s="22"/>
      <c r="U16" s="22"/>
      <c r="V16" s="21"/>
      <c r="W16" s="22"/>
      <c r="X16" s="22"/>
      <c r="Y16" s="22"/>
      <c r="Z16" s="22"/>
      <c r="AA16" s="22"/>
      <c r="AB16" s="22"/>
      <c r="AC16" s="22"/>
      <c r="AD16" s="22"/>
      <c r="AE16" s="23"/>
      <c r="AF16" s="22"/>
      <c r="AG16" s="22"/>
      <c r="AH16" s="22"/>
      <c r="AI16" s="22"/>
      <c r="AJ16" s="23"/>
    </row>
    <row r="17" spans="1:36">
      <c r="A17" s="6" t="s">
        <v>219</v>
      </c>
      <c r="B17" s="2" t="s">
        <v>220</v>
      </c>
      <c r="C17" s="2" t="s">
        <v>221</v>
      </c>
      <c r="D17" s="3" t="s">
        <v>222</v>
      </c>
      <c r="E17" s="16">
        <v>1</v>
      </c>
      <c r="F17" s="17">
        <v>2</v>
      </c>
      <c r="G17" s="17">
        <v>3</v>
      </c>
      <c r="H17" s="17">
        <v>4</v>
      </c>
      <c r="I17" s="20">
        <v>5</v>
      </c>
      <c r="J17" s="18">
        <v>6</v>
      </c>
      <c r="K17" s="16">
        <v>1</v>
      </c>
      <c r="L17" s="17">
        <v>2</v>
      </c>
      <c r="M17" s="17">
        <v>3</v>
      </c>
      <c r="N17" s="17">
        <v>4</v>
      </c>
      <c r="O17" s="20">
        <v>5</v>
      </c>
      <c r="P17" s="19">
        <v>6</v>
      </c>
      <c r="Q17" s="17">
        <v>7</v>
      </c>
      <c r="R17" s="17">
        <v>8</v>
      </c>
      <c r="S17" s="17">
        <v>1</v>
      </c>
      <c r="T17" s="20">
        <v>2</v>
      </c>
      <c r="U17" s="121">
        <v>3</v>
      </c>
      <c r="V17" s="16">
        <v>1</v>
      </c>
      <c r="W17" s="17">
        <v>2</v>
      </c>
      <c r="X17" s="17">
        <v>3</v>
      </c>
      <c r="Y17" s="17">
        <v>4</v>
      </c>
      <c r="Z17" s="17">
        <v>5</v>
      </c>
      <c r="AA17" s="19">
        <v>1</v>
      </c>
      <c r="AB17" s="17">
        <v>2</v>
      </c>
      <c r="AC17" s="17">
        <v>3</v>
      </c>
      <c r="AD17" s="17">
        <v>4</v>
      </c>
      <c r="AE17" s="18">
        <v>5</v>
      </c>
      <c r="AF17" s="19">
        <v>1</v>
      </c>
      <c r="AG17" s="17">
        <v>2</v>
      </c>
      <c r="AH17" s="17">
        <v>3</v>
      </c>
      <c r="AI17" s="17">
        <v>4</v>
      </c>
      <c r="AJ17" s="18">
        <v>5</v>
      </c>
    </row>
    <row r="18" spans="1:36">
      <c r="A18" s="6">
        <v>1</v>
      </c>
      <c r="B18" s="34" t="s">
        <v>224</v>
      </c>
      <c r="C18" s="2">
        <v>0</v>
      </c>
      <c r="D18" s="2">
        <v>0</v>
      </c>
      <c r="E18" s="44" t="e">
        <f>SUM(Questions!$C13:$C17)/COUNT(Questions!$C13:$C17)</f>
        <v>#DIV/0!</v>
      </c>
      <c r="F18" s="45" t="e">
        <f>SUM(Questions!$C20:$C24)/COUNT(Questions!$C20:$C24)</f>
        <v>#DIV/0!</v>
      </c>
      <c r="G18" s="45" t="e">
        <f>SUM(Questions!$C27:$C31)/COUNT(Questions!$C27:$C31)</f>
        <v>#DIV/0!</v>
      </c>
      <c r="H18" s="45" t="e">
        <f>SUM(Questions!$C34:$C38)/COUNT(Questions!$C34:$C38)</f>
        <v>#DIV/0!</v>
      </c>
      <c r="I18" s="45" t="e">
        <f>SUM(Questions!$C41:$C45)/COUNT(Questions!$C41:$C45)</f>
        <v>#DIV/0!</v>
      </c>
      <c r="J18" s="46" t="e">
        <f>SUM(Questions!$C48:$C52)/COUNT(Questions!$C48:$C52)</f>
        <v>#DIV/0!</v>
      </c>
      <c r="K18" s="44" t="e">
        <f>SUM(Questions!$C56:$C60)/COUNT(Questions!$C56:$C60)</f>
        <v>#DIV/0!</v>
      </c>
      <c r="L18" s="45" t="e">
        <f>SUM(Questions!$C63:$C67)/COUNT(Questions!$C63:$C67)</f>
        <v>#DIV/0!</v>
      </c>
      <c r="M18" s="47" t="e">
        <f>SUM(Questions!$C70:$C74)/COUNT(Questions!$C70:$C74)</f>
        <v>#DIV/0!</v>
      </c>
      <c r="N18" s="45" t="e">
        <f>SUM(Questions!$C77:$C81)/COUNT(Questions!$C77:$C81)</f>
        <v>#DIV/0!</v>
      </c>
      <c r="O18" s="48" t="e">
        <f>SUM(Questions!$C84:$C88)/COUNT(Questions!$C84:$C88)</f>
        <v>#DIV/0!</v>
      </c>
      <c r="P18" s="48" t="e">
        <f>SUM(Questions!$C91:$C95)/COUNT(Questions!$C91:$C95)</f>
        <v>#DIV/0!</v>
      </c>
      <c r="Q18" s="48" t="e">
        <f>SUM(Questions!$C98:$C102)/COUNT(Questions!$C98:$C102)</f>
        <v>#DIV/0!</v>
      </c>
      <c r="R18" s="48" t="e">
        <f>SUM(Questions!$C105:$C109)/COUNT(Questions!$C105:$C109)</f>
        <v>#DIV/0!</v>
      </c>
      <c r="S18" s="45" t="e">
        <f>SUM(Questions!$C113:$C117)/COUNT(Questions!$C113:$C117)</f>
        <v>#DIV/0!</v>
      </c>
      <c r="T18" s="45" t="e">
        <f>SUM(Questions!$C120:$C124)/COUNT(Questions!$C120:$C124)</f>
        <v>#DIV/0!</v>
      </c>
      <c r="U18" s="46" t="e">
        <f>SUM(Questions!$C127:$C131)/COUNT(Questions!$C127:$C131)</f>
        <v>#DIV/0!</v>
      </c>
      <c r="V18" s="44" t="e">
        <f>SUM(Questions!$C135:$C139)/COUNT(Questions!$C135:$C139)</f>
        <v>#DIV/0!</v>
      </c>
      <c r="W18" s="45" t="e">
        <f>SUM(Questions!$C142:$C146)/COUNT(Questions!$C142:$C146)</f>
        <v>#DIV/0!</v>
      </c>
      <c r="X18" s="45" t="e">
        <f>SUM(Questions!$C149:$C153)/COUNT(Questions!$C149:$C153)</f>
        <v>#DIV/0!</v>
      </c>
      <c r="Y18" s="45" t="e">
        <f>SUM(Questions!$C156:$C160)/COUNT(Questions!$C156:$C160)</f>
        <v>#DIV/0!</v>
      </c>
      <c r="Z18" s="45" t="e">
        <f>SUM(Questions!$C163:$C167)/COUNT(Questions!$C163:$C167)</f>
        <v>#DIV/0!</v>
      </c>
      <c r="AA18" s="44" t="e">
        <f>SUM(Questions!$C171:$C175)/COUNT(Questions!$C171:$C175)</f>
        <v>#DIV/0!</v>
      </c>
      <c r="AB18" s="45" t="e">
        <f>SUM(Questions!$C178:$C182)/COUNT(Questions!$C178:$C182)</f>
        <v>#DIV/0!</v>
      </c>
      <c r="AC18" s="45" t="e">
        <f>SUM(Questions!$C185:$C189)/COUNT(Questions!$C185:$C189)</f>
        <v>#DIV/0!</v>
      </c>
      <c r="AD18" s="45" t="e">
        <f>SUM(Questions!$C192:$C196)/COUNT(Questions!$C192:$C196)</f>
        <v>#DIV/0!</v>
      </c>
      <c r="AE18" s="46" t="e">
        <f>SUM(Questions!$C199:$C203)/COUNT(Questions!$C199:$C203)</f>
        <v>#DIV/0!</v>
      </c>
      <c r="AF18" s="44" t="e">
        <f>SUM(Questions!$C207:$C211)/COUNT(Questions!$C207:$C211)</f>
        <v>#DIV/0!</v>
      </c>
      <c r="AG18" s="45" t="e">
        <f>SUM(Questions!$C214:$C218)/COUNT(Questions!$C214:$C218)</f>
        <v>#DIV/0!</v>
      </c>
      <c r="AH18" s="45" t="e">
        <f>SUM(Questions!$C221:$C225)/COUNT(Questions!$C221:$C225)</f>
        <v>#DIV/0!</v>
      </c>
      <c r="AI18" s="45" t="e">
        <f>SUM(Questions!$C228:$C232)/COUNT(Questions!$C228:$C232)</f>
        <v>#DIV/0!</v>
      </c>
      <c r="AJ18" s="46" t="e">
        <f>SUM(Questions!$C235:$C239)/COUNT(Questions!$C235:$C239)</f>
        <v>#DIV/0!</v>
      </c>
    </row>
    <row r="19" spans="1:36">
      <c r="A19" s="6">
        <v>2</v>
      </c>
      <c r="B19" s="28" t="s">
        <v>225</v>
      </c>
      <c r="C19" s="2">
        <v>0</v>
      </c>
      <c r="D19" s="2">
        <v>0</v>
      </c>
      <c r="E19" s="24"/>
      <c r="F19" s="25"/>
      <c r="G19" s="25"/>
      <c r="H19" s="25"/>
      <c r="I19" s="29"/>
      <c r="J19" s="26"/>
      <c r="K19" s="24"/>
      <c r="L19" s="25"/>
      <c r="M19" s="25"/>
      <c r="N19" s="25"/>
      <c r="O19" s="29"/>
      <c r="P19" s="25"/>
      <c r="Q19" s="25"/>
      <c r="R19" s="26"/>
      <c r="S19" s="30"/>
      <c r="T19" s="29"/>
      <c r="U19" s="35"/>
      <c r="V19" s="24"/>
      <c r="W19" s="25"/>
      <c r="X19" s="25"/>
      <c r="Y19" s="25"/>
      <c r="Z19" s="25"/>
      <c r="AA19" s="24"/>
      <c r="AB19" s="25"/>
      <c r="AC19" s="25"/>
      <c r="AD19" s="25"/>
      <c r="AE19" s="26"/>
      <c r="AF19" s="24"/>
      <c r="AG19" s="25"/>
      <c r="AH19" s="25"/>
      <c r="AI19" s="25"/>
      <c r="AJ19" s="26"/>
    </row>
    <row r="20" spans="1:36">
      <c r="A20" s="6">
        <v>3</v>
      </c>
      <c r="B20" s="28" t="s">
        <v>226</v>
      </c>
      <c r="C20" s="2">
        <v>0</v>
      </c>
      <c r="D20" s="2">
        <v>0</v>
      </c>
      <c r="E20" s="24"/>
      <c r="F20" s="25"/>
      <c r="G20" s="25"/>
      <c r="H20" s="25"/>
      <c r="I20" s="29"/>
      <c r="J20" s="26"/>
      <c r="K20" s="24"/>
      <c r="L20" s="25"/>
      <c r="M20" s="25"/>
      <c r="N20" s="25"/>
      <c r="O20" s="29"/>
      <c r="P20" s="25"/>
      <c r="Q20" s="25"/>
      <c r="R20" s="26"/>
      <c r="S20" s="30"/>
      <c r="T20" s="29"/>
      <c r="U20" s="35"/>
      <c r="V20" s="24"/>
      <c r="W20" s="25"/>
      <c r="X20" s="25"/>
      <c r="Y20" s="25"/>
      <c r="Z20" s="25"/>
      <c r="AA20" s="24"/>
      <c r="AB20" s="25"/>
      <c r="AC20" s="25"/>
      <c r="AD20" s="25"/>
      <c r="AE20" s="26"/>
      <c r="AF20" s="24"/>
      <c r="AG20" s="25"/>
      <c r="AH20" s="25"/>
      <c r="AI20" s="25"/>
      <c r="AJ20" s="26"/>
    </row>
    <row r="21" spans="1:36">
      <c r="A21" s="6">
        <v>4</v>
      </c>
      <c r="B21" s="2">
        <v>0</v>
      </c>
      <c r="C21" s="2">
        <v>0</v>
      </c>
      <c r="D21" s="2">
        <v>0</v>
      </c>
      <c r="E21" s="24"/>
      <c r="F21" s="25"/>
      <c r="G21" s="25"/>
      <c r="H21" s="25"/>
      <c r="I21" s="29"/>
      <c r="J21" s="26"/>
      <c r="K21" s="24"/>
      <c r="L21" s="25"/>
      <c r="M21" s="25"/>
      <c r="N21" s="25"/>
      <c r="O21" s="29"/>
      <c r="P21" s="25"/>
      <c r="Q21" s="25"/>
      <c r="R21" s="26"/>
      <c r="S21" s="30"/>
      <c r="T21" s="29"/>
      <c r="U21" s="35"/>
      <c r="V21" s="24"/>
      <c r="W21" s="25"/>
      <c r="X21" s="25"/>
      <c r="Y21" s="25"/>
      <c r="Z21" s="25"/>
      <c r="AA21" s="24"/>
      <c r="AB21" s="25"/>
      <c r="AC21" s="25"/>
      <c r="AD21" s="25"/>
      <c r="AE21" s="26"/>
      <c r="AF21" s="24"/>
      <c r="AG21" s="25"/>
      <c r="AH21" s="25"/>
      <c r="AI21" s="25"/>
      <c r="AJ21" s="26"/>
    </row>
    <row r="22" spans="1:36">
      <c r="A22" s="6">
        <f t="shared" ref="A18:D27" si="0">A9</f>
        <v>5</v>
      </c>
      <c r="B22" s="2">
        <f t="shared" si="0"/>
        <v>0</v>
      </c>
      <c r="C22" s="2">
        <f t="shared" si="0"/>
        <v>0</v>
      </c>
      <c r="D22" s="2">
        <f t="shared" si="0"/>
        <v>0</v>
      </c>
      <c r="E22" s="24"/>
      <c r="F22" s="25"/>
      <c r="G22" s="25"/>
      <c r="H22" s="25"/>
      <c r="I22" s="29"/>
      <c r="J22" s="26"/>
      <c r="K22" s="24"/>
      <c r="L22" s="25"/>
      <c r="M22" s="25"/>
      <c r="N22" s="25"/>
      <c r="O22" s="29"/>
      <c r="P22" s="25"/>
      <c r="Q22" s="25"/>
      <c r="R22" s="26"/>
      <c r="S22" s="30"/>
      <c r="T22" s="29"/>
      <c r="U22" s="35"/>
      <c r="V22" s="24"/>
      <c r="W22" s="25"/>
      <c r="X22" s="25"/>
      <c r="Y22" s="25"/>
      <c r="Z22" s="25"/>
      <c r="AA22" s="24"/>
      <c r="AB22" s="25"/>
      <c r="AC22" s="25"/>
      <c r="AD22" s="25"/>
      <c r="AE22" s="26"/>
      <c r="AF22" s="24"/>
      <c r="AG22" s="25"/>
      <c r="AH22" s="25"/>
      <c r="AI22" s="25"/>
      <c r="AJ22" s="26"/>
    </row>
    <row r="23" spans="1:36">
      <c r="A23" s="6">
        <f t="shared" si="0"/>
        <v>6</v>
      </c>
      <c r="B23" s="2">
        <f t="shared" si="0"/>
        <v>0</v>
      </c>
      <c r="C23" s="2">
        <f t="shared" si="0"/>
        <v>0</v>
      </c>
      <c r="D23" s="2">
        <f t="shared" si="0"/>
        <v>0</v>
      </c>
      <c r="E23" s="24"/>
      <c r="F23" s="25"/>
      <c r="G23" s="25"/>
      <c r="H23" s="25"/>
      <c r="I23" s="29"/>
      <c r="J23" s="26"/>
      <c r="K23" s="24"/>
      <c r="L23" s="25"/>
      <c r="M23" s="25"/>
      <c r="N23" s="25"/>
      <c r="O23" s="29"/>
      <c r="P23" s="25"/>
      <c r="Q23" s="25"/>
      <c r="R23" s="26"/>
      <c r="S23" s="30"/>
      <c r="T23" s="29"/>
      <c r="U23" s="35"/>
      <c r="V23" s="24"/>
      <c r="W23" s="25"/>
      <c r="X23" s="25"/>
      <c r="Y23" s="25"/>
      <c r="Z23" s="25"/>
      <c r="AA23" s="24"/>
      <c r="AB23" s="25"/>
      <c r="AC23" s="25"/>
      <c r="AD23" s="25"/>
      <c r="AE23" s="26"/>
      <c r="AF23" s="24"/>
      <c r="AG23" s="25"/>
      <c r="AH23" s="25"/>
      <c r="AI23" s="25"/>
      <c r="AJ23" s="26"/>
    </row>
    <row r="24" spans="1:36">
      <c r="A24" s="6">
        <f t="shared" si="0"/>
        <v>7</v>
      </c>
      <c r="B24" s="2">
        <f t="shared" si="0"/>
        <v>0</v>
      </c>
      <c r="C24" s="2">
        <f t="shared" si="0"/>
        <v>0</v>
      </c>
      <c r="D24" s="2">
        <f t="shared" si="0"/>
        <v>0</v>
      </c>
      <c r="E24" s="24"/>
      <c r="F24" s="25"/>
      <c r="G24" s="25"/>
      <c r="H24" s="25"/>
      <c r="I24" s="29"/>
      <c r="J24" s="26"/>
      <c r="K24" s="24"/>
      <c r="L24" s="25"/>
      <c r="M24" s="25"/>
      <c r="N24" s="25"/>
      <c r="O24" s="29"/>
      <c r="P24" s="25"/>
      <c r="Q24" s="25"/>
      <c r="R24" s="26"/>
      <c r="S24" s="30"/>
      <c r="T24" s="29"/>
      <c r="U24" s="35"/>
      <c r="V24" s="24"/>
      <c r="W24" s="25"/>
      <c r="X24" s="25"/>
      <c r="Y24" s="25"/>
      <c r="Z24" s="25"/>
      <c r="AA24" s="24"/>
      <c r="AB24" s="25"/>
      <c r="AC24" s="25"/>
      <c r="AD24" s="25"/>
      <c r="AE24" s="26"/>
      <c r="AF24" s="24"/>
      <c r="AG24" s="25"/>
      <c r="AH24" s="25"/>
      <c r="AI24" s="25"/>
      <c r="AJ24" s="26"/>
    </row>
    <row r="25" spans="1:36">
      <c r="A25" s="6">
        <f t="shared" si="0"/>
        <v>8</v>
      </c>
      <c r="B25" s="2">
        <f t="shared" si="0"/>
        <v>0</v>
      </c>
      <c r="C25" s="2">
        <f t="shared" si="0"/>
        <v>0</v>
      </c>
      <c r="D25" s="2">
        <f t="shared" si="0"/>
        <v>0</v>
      </c>
      <c r="E25" s="24"/>
      <c r="F25" s="25"/>
      <c r="G25" s="25"/>
      <c r="H25" s="25"/>
      <c r="I25" s="29"/>
      <c r="J25" s="26"/>
      <c r="K25" s="24"/>
      <c r="L25" s="25"/>
      <c r="M25" s="25"/>
      <c r="N25" s="25"/>
      <c r="O25" s="29"/>
      <c r="P25" s="25"/>
      <c r="Q25" s="25"/>
      <c r="R25" s="26"/>
      <c r="S25" s="30"/>
      <c r="T25" s="29"/>
      <c r="U25" s="35"/>
      <c r="V25" s="24"/>
      <c r="W25" s="25"/>
      <c r="X25" s="25"/>
      <c r="Y25" s="25"/>
      <c r="Z25" s="25"/>
      <c r="AA25" s="24"/>
      <c r="AB25" s="25"/>
      <c r="AC25" s="25"/>
      <c r="AD25" s="25"/>
      <c r="AE25" s="26"/>
      <c r="AF25" s="24"/>
      <c r="AG25" s="25"/>
      <c r="AH25" s="25"/>
      <c r="AI25" s="25"/>
      <c r="AJ25" s="26"/>
    </row>
    <row r="26" spans="1:36">
      <c r="A26" s="6">
        <f t="shared" si="0"/>
        <v>9</v>
      </c>
      <c r="B26" s="2">
        <f t="shared" si="0"/>
        <v>0</v>
      </c>
      <c r="C26" s="2">
        <f t="shared" si="0"/>
        <v>0</v>
      </c>
      <c r="D26" s="2">
        <f t="shared" si="0"/>
        <v>0</v>
      </c>
      <c r="E26" s="24"/>
      <c r="F26" s="25"/>
      <c r="G26" s="25"/>
      <c r="H26" s="25"/>
      <c r="I26" s="29"/>
      <c r="J26" s="26"/>
      <c r="K26" s="24"/>
      <c r="L26" s="25"/>
      <c r="M26" s="25"/>
      <c r="N26" s="25"/>
      <c r="O26" s="29"/>
      <c r="P26" s="25"/>
      <c r="Q26" s="25"/>
      <c r="R26" s="26"/>
      <c r="S26" s="30"/>
      <c r="T26" s="29"/>
      <c r="U26" s="35"/>
      <c r="V26" s="24"/>
      <c r="W26" s="25"/>
      <c r="X26" s="25"/>
      <c r="Y26" s="25"/>
      <c r="Z26" s="25"/>
      <c r="AA26" s="24"/>
      <c r="AB26" s="25"/>
      <c r="AC26" s="25"/>
      <c r="AD26" s="25"/>
      <c r="AE26" s="26"/>
      <c r="AF26" s="24"/>
      <c r="AG26" s="25"/>
      <c r="AH26" s="25"/>
      <c r="AI26" s="25"/>
      <c r="AJ26" s="26"/>
    </row>
    <row r="27" spans="1:36">
      <c r="A27" s="6">
        <f t="shared" si="0"/>
        <v>10</v>
      </c>
      <c r="B27" s="2">
        <f t="shared" si="0"/>
        <v>0</v>
      </c>
      <c r="C27" s="2">
        <f t="shared" si="0"/>
        <v>0</v>
      </c>
      <c r="D27" s="2">
        <f t="shared" si="0"/>
        <v>0</v>
      </c>
      <c r="E27" s="24"/>
      <c r="F27" s="25"/>
      <c r="G27" s="25"/>
      <c r="H27" s="25"/>
      <c r="I27" s="29"/>
      <c r="J27" s="26"/>
      <c r="K27" s="24"/>
      <c r="L27" s="25"/>
      <c r="M27" s="25"/>
      <c r="N27" s="25"/>
      <c r="O27" s="29"/>
      <c r="P27" s="25"/>
      <c r="Q27" s="25"/>
      <c r="R27" s="26"/>
      <c r="S27" s="30"/>
      <c r="T27" s="29"/>
      <c r="U27" s="35"/>
      <c r="V27" s="24"/>
      <c r="W27" s="25"/>
      <c r="X27" s="25"/>
      <c r="Y27" s="25"/>
      <c r="Z27" s="25"/>
      <c r="AA27" s="24"/>
      <c r="AB27" s="25"/>
      <c r="AC27" s="25"/>
      <c r="AD27" s="25"/>
      <c r="AE27" s="26"/>
      <c r="AF27" s="24"/>
      <c r="AG27" s="25"/>
      <c r="AH27" s="25"/>
      <c r="AI27" s="25"/>
      <c r="AJ27" s="2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A1:AG8"/>
  <sheetViews>
    <sheetView showGridLines="0" zoomScale="80" zoomScaleNormal="80" workbookViewId="0">
      <selection activeCell="AP18" sqref="AP18"/>
    </sheetView>
  </sheetViews>
  <sheetFormatPr defaultColWidth="8.7109375" defaultRowHeight="14.45"/>
  <cols>
    <col min="1" max="1" width="25" style="50" bestFit="1" customWidth="1"/>
    <col min="2" max="32" width="6.28515625" style="84" customWidth="1"/>
    <col min="33" max="16384" width="8.7109375" style="50"/>
  </cols>
  <sheetData>
    <row r="1" spans="1:33" ht="93">
      <c r="A1" s="52"/>
      <c r="B1" s="53" t="str">
        <f>'Data (DO NOT EDIT!!)'!E1</f>
        <v>Digital Power Basic Skills</v>
      </c>
      <c r="C1" s="54" t="str">
        <f>'Data (DO NOT EDIT!!)'!F1</f>
        <v>Digital Power Basic Skills</v>
      </c>
      <c r="D1" s="54" t="str">
        <f>'Data (DO NOT EDIT!!)'!G1</f>
        <v>Digital Power Basic Skills</v>
      </c>
      <c r="E1" s="54" t="str">
        <f>'Data (DO NOT EDIT!!)'!H1</f>
        <v>Digital Power Basic Skills</v>
      </c>
      <c r="F1" s="55" t="str">
        <f>'Data (DO NOT EDIT!!)'!I1</f>
        <v>Digital Power Basic Skills</v>
      </c>
      <c r="G1" s="56" t="str">
        <f>'Data (DO NOT EDIT!!)'!J1</f>
        <v>Digital Power Basic Skills</v>
      </c>
      <c r="H1" s="53" t="str">
        <f>'Data (DO NOT EDIT!!)'!K1</f>
        <v>Domain skills</v>
      </c>
      <c r="I1" s="54" t="str">
        <f>'Data (DO NOT EDIT!!)'!L1</f>
        <v>Domain skills</v>
      </c>
      <c r="J1" s="54" t="str">
        <f>'Data (DO NOT EDIT!!)'!M1</f>
        <v>Domain skills</v>
      </c>
      <c r="K1" s="54" t="str">
        <f>'Data (DO NOT EDIT!!)'!N1</f>
        <v>Domain skills</v>
      </c>
      <c r="L1" s="55" t="str">
        <f>'Data (DO NOT EDIT!!)'!O1</f>
        <v>Domain skills</v>
      </c>
      <c r="M1" s="123" t="str">
        <f>'Data (DO NOT EDIT!!)'!P1</f>
        <v>Domain skills</v>
      </c>
      <c r="N1" s="54" t="str">
        <f>'Data (DO NOT EDIT!!)'!Q1</f>
        <v>Domain skills</v>
      </c>
      <c r="O1" s="56" t="str">
        <f>'Data (DO NOT EDIT!!)'!R1</f>
        <v>Domain skills</v>
      </c>
      <c r="P1" s="57" t="str">
        <f>'Data (DO NOT EDIT!!)'!S1</f>
        <v>Hardskills</v>
      </c>
      <c r="Q1" s="54" t="str">
        <f>'Data (DO NOT EDIT!!)'!T1</f>
        <v>Hardskills</v>
      </c>
      <c r="R1" s="54" t="str">
        <f>'Data (DO NOT EDIT!!)'!U1</f>
        <v>Hardskills</v>
      </c>
      <c r="S1" s="53" t="str">
        <f>'Data (DO NOT EDIT!!)'!V1</f>
        <v>Basic Consultancy Skills</v>
      </c>
      <c r="T1" s="54" t="str">
        <f>'Data (DO NOT EDIT!!)'!W1</f>
        <v>Basic Consultancy Skills</v>
      </c>
      <c r="U1" s="54" t="str">
        <f>'Data (DO NOT EDIT!!)'!X1</f>
        <v>Basic Consultancy Skills</v>
      </c>
      <c r="V1" s="54" t="str">
        <f>'Data (DO NOT EDIT!!)'!Y1</f>
        <v>Basic Consultancy Skills</v>
      </c>
      <c r="W1" s="55" t="str">
        <f>'Data (DO NOT EDIT!!)'!Z1</f>
        <v>Basic Consultancy Skills</v>
      </c>
      <c r="X1" s="53" t="str">
        <f>'Data (DO NOT EDIT!!)'!AA1</f>
        <v>Business Skills</v>
      </c>
      <c r="Y1" s="54" t="str">
        <f>'Data (DO NOT EDIT!!)'!AB1</f>
        <v>Business Skills</v>
      </c>
      <c r="Z1" s="54" t="str">
        <f>'Data (DO NOT EDIT!!)'!AC1</f>
        <v>Business Skills</v>
      </c>
      <c r="AA1" s="54" t="str">
        <f>'Data (DO NOT EDIT!!)'!AD1</f>
        <v>Business Skills</v>
      </c>
      <c r="AB1" s="56" t="str">
        <f>'Data (DO NOT EDIT!!)'!AE1</f>
        <v>Business Skills</v>
      </c>
      <c r="AC1" s="57" t="str">
        <f>'Data (DO NOT EDIT!!)'!AF1</f>
        <v>Expert Consultancy Skills</v>
      </c>
      <c r="AD1" s="54" t="str">
        <f>'Data (DO NOT EDIT!!)'!AG1</f>
        <v>Expert Consultancy Skills</v>
      </c>
      <c r="AE1" s="54" t="str">
        <f>'Data (DO NOT EDIT!!)'!AH1</f>
        <v>Expert Consultancy Skills</v>
      </c>
      <c r="AF1" s="54" t="str">
        <f>'Data (DO NOT EDIT!!)'!AI1</f>
        <v>Expert Consultancy Skills</v>
      </c>
      <c r="AG1" s="56" t="str">
        <f>'Data (DO NOT EDIT!!)'!AJ1</f>
        <v>Expert Consultancy Skills</v>
      </c>
    </row>
    <row r="2" spans="1:33" ht="130.9" customHeight="1">
      <c r="A2" s="58"/>
      <c r="B2" s="59" t="str">
        <f>'Data (DO NOT EDIT!!)'!E2</f>
        <v>Learning &amp; reflection</v>
      </c>
      <c r="C2" s="60" t="str">
        <f>'Data (DO NOT EDIT!!)'!F2</f>
        <v>Support &amp; collaboration</v>
      </c>
      <c r="D2" s="60" t="str">
        <f>'Data (DO NOT EDIT!!)'!G2</f>
        <v>Entrepreneurial &amp; result-oriented</v>
      </c>
      <c r="E2" s="60" t="str">
        <f>'Data (DO NOT EDIT!!)'!H2</f>
        <v>Customer-oriented</v>
      </c>
      <c r="F2" s="61" t="str">
        <f>'Data (DO NOT EDIT!!)'!I2</f>
        <v>Knowledge sharing</v>
      </c>
      <c r="G2" s="62" t="str">
        <f>'Data (DO NOT EDIT!!)'!J2</f>
        <v>Coaching &amp; guidance</v>
      </c>
      <c r="H2" s="59" t="str">
        <f>'Data (DO NOT EDIT!!)'!K2</f>
        <v>Data quality</v>
      </c>
      <c r="I2" s="60" t="str">
        <f>'Data (DO NOT EDIT!!)'!L2</f>
        <v>Data exploration</v>
      </c>
      <c r="J2" s="60" t="str">
        <f>'Data (DO NOT EDIT!!)'!M2</f>
        <v>Analysis &amp; visualization</v>
      </c>
      <c r="K2" s="60" t="str">
        <f>'Data (DO NOT EDIT!!)'!N2</f>
        <v>Modeling (knowledge of and working with)</v>
      </c>
      <c r="L2" s="61" t="str">
        <f>'Data (DO NOT EDIT!!)'!O2</f>
        <v>Statistics &amp; mathematics</v>
      </c>
      <c r="M2" s="124" t="str">
        <f>'Data (DO NOT EDIT!!)'!P2</f>
        <v>Domain knowledge</v>
      </c>
      <c r="N2" s="60" t="str">
        <f>'Data (DO NOT EDIT!!)'!Q2</f>
        <v>Deployment</v>
      </c>
      <c r="O2" s="62" t="str">
        <f>'Data (DO NOT EDIT!!)'!R2</f>
        <v>Ethics, legislation</v>
      </c>
      <c r="P2" s="63" t="str">
        <f>'Data (DO NOT EDIT!!)'!S2</f>
        <v>Programming</v>
      </c>
      <c r="Q2" s="60" t="str">
        <f>'Data (DO NOT EDIT!!)'!T2</f>
        <v>Engineering</v>
      </c>
      <c r="R2" s="60" t="str">
        <f>'Data (DO NOT EDIT!!)'!U2</f>
        <v>Machine learning</v>
      </c>
      <c r="S2" s="59" t="str">
        <f>'Data (DO NOT EDIT!!)'!V2</f>
        <v>Advising</v>
      </c>
      <c r="T2" s="60" t="str">
        <f>'Data (DO NOT EDIT!!)'!W2</f>
        <v xml:space="preserve">Decisive &amp; problem-solving </v>
      </c>
      <c r="U2" s="60" t="str">
        <f>'Data (DO NOT EDIT!!)'!X2</f>
        <v>Interpersonal communication</v>
      </c>
      <c r="V2" s="60" t="str">
        <f>'Data (DO NOT EDIT!!)'!Y2</f>
        <v>Expectation management</v>
      </c>
      <c r="W2" s="61" t="str">
        <f>'Data (DO NOT EDIT!!)'!Z2</f>
        <v>Written and oral communication</v>
      </c>
      <c r="X2" s="59" t="str">
        <f>'Data (DO NOT EDIT!!)'!AA2</f>
        <v>Organizational and management identification</v>
      </c>
      <c r="Y2" s="60" t="str">
        <f>'Data (DO NOT EDIT!!)'!AB2</f>
        <v>Strategic conceptualization</v>
      </c>
      <c r="Z2" s="60" t="str">
        <f>'Data (DO NOT EDIT!!)'!AC2</f>
        <v>Project management</v>
      </c>
      <c r="AA2" s="60" t="str">
        <f>'Data (DO NOT EDIT!!)'!AD2</f>
        <v>Change management</v>
      </c>
      <c r="AB2" s="62" t="str">
        <f>'Data (DO NOT EDIT!!)'!AE2</f>
        <v>Leadership</v>
      </c>
      <c r="AC2" s="63" t="str">
        <f>'Data (DO NOT EDIT!!)'!AF2</f>
        <v>Situational communication</v>
      </c>
      <c r="AD2" s="60" t="str">
        <f>'Data (DO NOT EDIT!!)'!AG2</f>
        <v>Goal-oriented &amp; effective communication</v>
      </c>
      <c r="AE2" s="60" t="str">
        <f>'Data (DO NOT EDIT!!)'!AH2</f>
        <v>Decision-making</v>
      </c>
      <c r="AF2" s="60" t="str">
        <f>'Data (DO NOT EDIT!!)'!AI2</f>
        <v>Persuading &amp; influencing</v>
      </c>
      <c r="AG2" s="62" t="str">
        <f>'Data (DO NOT EDIT!!)'!AJ2</f>
        <v>Constructive (negative) feedback &amp; bad news conversations</v>
      </c>
    </row>
    <row r="3" spans="1:33">
      <c r="A3" s="58"/>
      <c r="B3" s="64">
        <v>1</v>
      </c>
      <c r="C3" s="65">
        <v>2</v>
      </c>
      <c r="D3" s="65">
        <v>3</v>
      </c>
      <c r="E3" s="65">
        <v>4</v>
      </c>
      <c r="F3" s="66">
        <v>5</v>
      </c>
      <c r="G3" s="67">
        <v>6</v>
      </c>
      <c r="H3" s="64">
        <v>7</v>
      </c>
      <c r="I3" s="65">
        <v>8</v>
      </c>
      <c r="J3" s="65">
        <v>9</v>
      </c>
      <c r="K3" s="65">
        <v>10</v>
      </c>
      <c r="L3" s="66">
        <v>11</v>
      </c>
      <c r="M3" s="125">
        <v>13</v>
      </c>
      <c r="N3" s="65">
        <v>14</v>
      </c>
      <c r="O3" s="67">
        <v>15</v>
      </c>
      <c r="P3" s="68">
        <v>16</v>
      </c>
      <c r="Q3" s="65"/>
      <c r="R3" s="65">
        <v>17</v>
      </c>
      <c r="S3" s="64">
        <v>19</v>
      </c>
      <c r="T3" s="65">
        <v>20</v>
      </c>
      <c r="U3" s="65">
        <v>21</v>
      </c>
      <c r="V3" s="65">
        <v>22</v>
      </c>
      <c r="W3" s="66">
        <v>23</v>
      </c>
      <c r="X3" s="64">
        <v>25</v>
      </c>
      <c r="Y3" s="65">
        <v>26</v>
      </c>
      <c r="Z3" s="65">
        <v>27</v>
      </c>
      <c r="AA3" s="65">
        <v>28</v>
      </c>
      <c r="AB3" s="67">
        <v>29</v>
      </c>
      <c r="AC3" s="68">
        <v>30</v>
      </c>
      <c r="AD3" s="65">
        <v>31</v>
      </c>
      <c r="AE3" s="65">
        <v>32</v>
      </c>
      <c r="AF3" s="65">
        <v>33</v>
      </c>
      <c r="AG3" s="67">
        <v>34</v>
      </c>
    </row>
    <row r="4" spans="1:33">
      <c r="A4" s="69" t="s">
        <v>228</v>
      </c>
      <c r="B4" s="70" t="e">
        <f>'Data (DO NOT EDIT!!)'!E5</f>
        <v>#DIV/0!</v>
      </c>
      <c r="C4" s="71" t="e">
        <f>'Data (DO NOT EDIT!!)'!F5</f>
        <v>#DIV/0!</v>
      </c>
      <c r="D4" s="71" t="e">
        <f>'Data (DO NOT EDIT!!)'!G5</f>
        <v>#DIV/0!</v>
      </c>
      <c r="E4" s="71" t="e">
        <f>'Data (DO NOT EDIT!!)'!H5</f>
        <v>#DIV/0!</v>
      </c>
      <c r="F4" s="72" t="e">
        <f>'Data (DO NOT EDIT!!)'!I5</f>
        <v>#DIV/0!</v>
      </c>
      <c r="G4" s="73" t="e">
        <f>'Data (DO NOT EDIT!!)'!J5</f>
        <v>#DIV/0!</v>
      </c>
      <c r="H4" s="70" t="e">
        <f>'Data (DO NOT EDIT!!)'!K5</f>
        <v>#DIV/0!</v>
      </c>
      <c r="I4" s="71" t="e">
        <f>'Data (DO NOT EDIT!!)'!L5</f>
        <v>#DIV/0!</v>
      </c>
      <c r="J4" s="71" t="e">
        <f>'Data (DO NOT EDIT!!)'!M5</f>
        <v>#DIV/0!</v>
      </c>
      <c r="K4" s="71" t="e">
        <f>'Data (DO NOT EDIT!!)'!N5</f>
        <v>#DIV/0!</v>
      </c>
      <c r="L4" s="72" t="e">
        <f>'Data (DO NOT EDIT!!)'!O5</f>
        <v>#DIV/0!</v>
      </c>
      <c r="M4" s="72" t="e">
        <f>'Data (DO NOT EDIT!!)'!P5</f>
        <v>#DIV/0!</v>
      </c>
      <c r="N4" s="72" t="e">
        <f>'Data (DO NOT EDIT!!)'!Q5</f>
        <v>#DIV/0!</v>
      </c>
      <c r="O4" s="73" t="e">
        <f>'Data (DO NOT EDIT!!)'!R5</f>
        <v>#DIV/0!</v>
      </c>
      <c r="P4" s="122" t="e">
        <f>'Data (DO NOT EDIT!!)'!S5</f>
        <v>#DIV/0!</v>
      </c>
      <c r="Q4" s="71" t="e">
        <f>'Data (DO NOT EDIT!!)'!T5</f>
        <v>#DIV/0!</v>
      </c>
      <c r="R4" s="73" t="e">
        <f>'Data (DO NOT EDIT!!)'!U5</f>
        <v>#DIV/0!</v>
      </c>
      <c r="S4" s="70" t="e">
        <f>'Data (DO NOT EDIT!!)'!V5</f>
        <v>#DIV/0!</v>
      </c>
      <c r="T4" s="71" t="e">
        <f>'Data (DO NOT EDIT!!)'!W5</f>
        <v>#DIV/0!</v>
      </c>
      <c r="U4" s="71" t="e">
        <f>'Data (DO NOT EDIT!!)'!X5</f>
        <v>#DIV/0!</v>
      </c>
      <c r="V4" s="71" t="e">
        <f>'Data (DO NOT EDIT!!)'!Y5</f>
        <v>#DIV/0!</v>
      </c>
      <c r="W4" s="72" t="e">
        <f>'Data (DO NOT EDIT!!)'!Z5</f>
        <v>#DIV/0!</v>
      </c>
      <c r="X4" s="70" t="e">
        <f>'Data (DO NOT EDIT!!)'!AA5</f>
        <v>#DIV/0!</v>
      </c>
      <c r="Y4" s="71" t="e">
        <f>'Data (DO NOT EDIT!!)'!AB5</f>
        <v>#DIV/0!</v>
      </c>
      <c r="Z4" s="71" t="e">
        <f>'Data (DO NOT EDIT!!)'!AC5</f>
        <v>#DIV/0!</v>
      </c>
      <c r="AA4" s="71" t="e">
        <f>'Data (DO NOT EDIT!!)'!AD5</f>
        <v>#DIV/0!</v>
      </c>
      <c r="AB4" s="73" t="e">
        <f>'Data (DO NOT EDIT!!)'!AE5</f>
        <v>#DIV/0!</v>
      </c>
      <c r="AC4" s="70" t="e">
        <f>'Data (DO NOT EDIT!!)'!AF5</f>
        <v>#DIV/0!</v>
      </c>
      <c r="AD4" s="71" t="e">
        <f>'Data (DO NOT EDIT!!)'!AG5</f>
        <v>#DIV/0!</v>
      </c>
      <c r="AE4" s="71" t="e">
        <f>'Data (DO NOT EDIT!!)'!AH5</f>
        <v>#DIV/0!</v>
      </c>
      <c r="AF4" s="71" t="e">
        <f>'Data (DO NOT EDIT!!)'!AI5</f>
        <v>#DIV/0!</v>
      </c>
      <c r="AG4" s="73" t="e">
        <f>'Data (DO NOT EDIT!!)'!AJ5</f>
        <v>#DIV/0!</v>
      </c>
    </row>
    <row r="5" spans="1:33" ht="15" thickBot="1">
      <c r="A5" s="74" t="s">
        <v>229</v>
      </c>
      <c r="B5" s="75"/>
      <c r="C5" s="76"/>
      <c r="D5" s="76"/>
      <c r="E5" s="76"/>
      <c r="F5" s="76"/>
      <c r="G5" s="77" t="e">
        <f>AVERAGE(B4:G4)</f>
        <v>#DIV/0!</v>
      </c>
      <c r="H5" s="75"/>
      <c r="I5" s="76"/>
      <c r="J5" s="76"/>
      <c r="K5" s="76"/>
      <c r="L5" s="76"/>
      <c r="M5" s="76"/>
      <c r="N5" s="76"/>
      <c r="O5" s="77" t="e">
        <f>AVERAGE(H4:R4)</f>
        <v>#DIV/0!</v>
      </c>
      <c r="P5" s="76"/>
      <c r="Q5" s="76"/>
      <c r="R5" s="77" t="e">
        <f>AVERAGE(P4:R4)</f>
        <v>#DIV/0!</v>
      </c>
      <c r="S5" s="75"/>
      <c r="T5" s="76"/>
      <c r="U5" s="76"/>
      <c r="V5" s="76"/>
      <c r="W5" s="77" t="e">
        <f>AVERAGE(S4:W4)</f>
        <v>#DIV/0!</v>
      </c>
      <c r="X5" s="75"/>
      <c r="Y5" s="76"/>
      <c r="Z5" s="76"/>
      <c r="AA5" s="76"/>
      <c r="AB5" s="77" t="e">
        <f>AVERAGE(X4:AB4)</f>
        <v>#DIV/0!</v>
      </c>
      <c r="AC5" s="75"/>
      <c r="AD5" s="76"/>
      <c r="AE5" s="76"/>
      <c r="AF5" s="76"/>
      <c r="AG5" s="77" t="e">
        <f>AVERAGE(AC4:AG4)</f>
        <v>#DIV/0!</v>
      </c>
    </row>
    <row r="6" spans="1:33">
      <c r="A6" s="78"/>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row>
    <row r="7" spans="1:33">
      <c r="A7" s="80" t="s">
        <v>230</v>
      </c>
      <c r="B7" s="70" t="e">
        <f>'Data (DO NOT EDIT!!)'!E18</f>
        <v>#DIV/0!</v>
      </c>
      <c r="C7" s="71" t="e">
        <f>'Data (DO NOT EDIT!!)'!F18</f>
        <v>#DIV/0!</v>
      </c>
      <c r="D7" s="71" t="e">
        <f>'Data (DO NOT EDIT!!)'!G18</f>
        <v>#DIV/0!</v>
      </c>
      <c r="E7" s="71" t="e">
        <f>'Data (DO NOT EDIT!!)'!H18</f>
        <v>#DIV/0!</v>
      </c>
      <c r="F7" s="72" t="e">
        <f>'Data (DO NOT EDIT!!)'!I18</f>
        <v>#DIV/0!</v>
      </c>
      <c r="G7" s="73" t="e">
        <f>'Data (DO NOT EDIT!!)'!J18</f>
        <v>#DIV/0!</v>
      </c>
      <c r="H7" s="70" t="e">
        <f>'Data (DO NOT EDIT!!)'!K18</f>
        <v>#DIV/0!</v>
      </c>
      <c r="I7" s="71" t="e">
        <f>'Data (DO NOT EDIT!!)'!L18</f>
        <v>#DIV/0!</v>
      </c>
      <c r="J7" s="71" t="e">
        <f>'Data (DO NOT EDIT!!)'!M18</f>
        <v>#DIV/0!</v>
      </c>
      <c r="K7" s="71" t="e">
        <f>'Data (DO NOT EDIT!!)'!N18</f>
        <v>#DIV/0!</v>
      </c>
      <c r="L7" s="72" t="e">
        <f>'Data (DO NOT EDIT!!)'!O18</f>
        <v>#DIV/0!</v>
      </c>
      <c r="M7" s="72" t="e">
        <f>'Data (DO NOT EDIT!!)'!P18</f>
        <v>#DIV/0!</v>
      </c>
      <c r="N7" s="72" t="e">
        <f>'Data (DO NOT EDIT!!)'!Q18</f>
        <v>#DIV/0!</v>
      </c>
      <c r="O7" s="73" t="e">
        <f>'Data (DO NOT EDIT!!)'!R18</f>
        <v>#DIV/0!</v>
      </c>
      <c r="P7" s="122" t="e">
        <f>'Data (DO NOT EDIT!!)'!S18</f>
        <v>#DIV/0!</v>
      </c>
      <c r="Q7" s="71" t="e">
        <f>'Data (DO NOT EDIT!!)'!T18</f>
        <v>#DIV/0!</v>
      </c>
      <c r="R7" s="73" t="e">
        <f>'Data (DO NOT EDIT!!)'!U18</f>
        <v>#DIV/0!</v>
      </c>
      <c r="S7" s="70" t="e">
        <f>'Data (DO NOT EDIT!!)'!V18</f>
        <v>#DIV/0!</v>
      </c>
      <c r="T7" s="71" t="e">
        <f>'Data (DO NOT EDIT!!)'!W18</f>
        <v>#DIV/0!</v>
      </c>
      <c r="U7" s="71" t="e">
        <f>'Data (DO NOT EDIT!!)'!X18</f>
        <v>#DIV/0!</v>
      </c>
      <c r="V7" s="71" t="e">
        <f>'Data (DO NOT EDIT!!)'!Y18</f>
        <v>#DIV/0!</v>
      </c>
      <c r="W7" s="71" t="e">
        <f>'Data (DO NOT EDIT!!)'!Z18</f>
        <v>#DIV/0!</v>
      </c>
      <c r="X7" s="70" t="e">
        <f>'Data (DO NOT EDIT!!)'!AA18</f>
        <v>#DIV/0!</v>
      </c>
      <c r="Y7" s="71" t="e">
        <f>'Data (DO NOT EDIT!!)'!AB18</f>
        <v>#DIV/0!</v>
      </c>
      <c r="Z7" s="71" t="e">
        <f>'Data (DO NOT EDIT!!)'!AC18</f>
        <v>#DIV/0!</v>
      </c>
      <c r="AA7" s="71" t="e">
        <f>'Data (DO NOT EDIT!!)'!AD18</f>
        <v>#DIV/0!</v>
      </c>
      <c r="AB7" s="73" t="e">
        <f>'Data (DO NOT EDIT!!)'!AE18</f>
        <v>#DIV/0!</v>
      </c>
      <c r="AC7" s="70" t="e">
        <f>'Data (DO NOT EDIT!!)'!AF18</f>
        <v>#DIV/0!</v>
      </c>
      <c r="AD7" s="71" t="e">
        <f>'Data (DO NOT EDIT!!)'!AG18</f>
        <v>#DIV/0!</v>
      </c>
      <c r="AE7" s="71" t="e">
        <f>'Data (DO NOT EDIT!!)'!AH18</f>
        <v>#DIV/0!</v>
      </c>
      <c r="AF7" s="71" t="e">
        <f>'Data (DO NOT EDIT!!)'!AI18</f>
        <v>#DIV/0!</v>
      </c>
      <c r="AG7" s="73" t="e">
        <f>'Data (DO NOT EDIT!!)'!AJ18</f>
        <v>#DIV/0!</v>
      </c>
    </row>
    <row r="8" spans="1:33" ht="15" thickBot="1">
      <c r="A8" s="81" t="s">
        <v>229</v>
      </c>
      <c r="B8" s="82"/>
      <c r="C8" s="83"/>
      <c r="D8" s="83"/>
      <c r="E8" s="83"/>
      <c r="F8" s="83"/>
      <c r="G8" s="77" t="e">
        <f>AVERAGE(B7:G7)</f>
        <v>#DIV/0!</v>
      </c>
      <c r="H8" s="82"/>
      <c r="I8" s="83"/>
      <c r="J8" s="83"/>
      <c r="K8" s="83"/>
      <c r="L8" s="83"/>
      <c r="M8" s="83"/>
      <c r="N8" s="83"/>
      <c r="O8" s="77" t="e">
        <f>AVERAGE(H7:R7)</f>
        <v>#DIV/0!</v>
      </c>
      <c r="P8" s="83"/>
      <c r="Q8" s="83"/>
      <c r="R8" s="77" t="e">
        <f>AVERAGE(P7:R7)</f>
        <v>#DIV/0!</v>
      </c>
      <c r="S8" s="82"/>
      <c r="T8" s="83"/>
      <c r="U8" s="83"/>
      <c r="V8" s="83"/>
      <c r="W8" s="83" t="e">
        <f>AVERAGE(S7:W7)</f>
        <v>#DIV/0!</v>
      </c>
      <c r="X8" s="82"/>
      <c r="Y8" s="83"/>
      <c r="Z8" s="83"/>
      <c r="AA8" s="83"/>
      <c r="AB8" s="77" t="e">
        <f>AVERAGE(X7:AB7)</f>
        <v>#DIV/0!</v>
      </c>
      <c r="AC8" s="82"/>
      <c r="AD8" s="83"/>
      <c r="AE8" s="83"/>
      <c r="AF8" s="83"/>
      <c r="AG8" s="77" t="e">
        <f>AVERAGE(AC7:AG7)</f>
        <v>#DIV/0!</v>
      </c>
    </row>
  </sheetData>
  <conditionalFormatting sqref="B4:AB4">
    <cfRule type="colorScale" priority="31">
      <colorScale>
        <cfvo type="min"/>
        <cfvo type="percentile" val="50"/>
        <cfvo type="max"/>
        <color rgb="FFF8696B"/>
        <color rgb="FFFFEB84"/>
        <color rgb="FF63BE7B"/>
      </colorScale>
    </cfRule>
  </conditionalFormatting>
  <conditionalFormatting sqref="AB5 O5 R5 G5">
    <cfRule type="colorScale" priority="10">
      <colorScale>
        <cfvo type="min"/>
        <cfvo type="percentile" val="50"/>
        <cfvo type="max"/>
        <color rgb="FFF8696B"/>
        <color rgb="FFFFEB84"/>
        <color rgb="FF63BE7B"/>
      </colorScale>
    </cfRule>
  </conditionalFormatting>
  <conditionalFormatting sqref="W5">
    <cfRule type="colorScale" priority="1">
      <colorScale>
        <cfvo type="min"/>
        <cfvo type="percentile" val="50"/>
        <cfvo type="max"/>
        <color rgb="FFF8696B"/>
        <color rgb="FFFFEB84"/>
        <color rgb="FF63BE7B"/>
      </colorScale>
    </cfRule>
  </conditionalFormatting>
  <conditionalFormatting sqref="AC4:AG4">
    <cfRule type="colorScale" priority="15">
      <colorScale>
        <cfvo type="min"/>
        <cfvo type="percentile" val="50"/>
        <cfvo type="max"/>
        <color rgb="FFF8696B"/>
        <color rgb="FFFFEB84"/>
        <color rgb="FF63BE7B"/>
      </colorScale>
    </cfRule>
  </conditionalFormatting>
  <conditionalFormatting sqref="AG5">
    <cfRule type="colorScale" priority="16">
      <colorScale>
        <cfvo type="min"/>
        <cfvo type="percentile" val="50"/>
        <cfvo type="max"/>
        <color rgb="FFF8696B"/>
        <color rgb="FFFFEB84"/>
        <color rgb="FF63BE7B"/>
      </colorScale>
    </cfRule>
  </conditionalFormatting>
  <pageMargins left="0.7" right="0.7" top="0.75" bottom="0.75" header="0.3" footer="0.3"/>
  <pageSetup orientation="portrait" r:id="rId1"/>
  <ignoredErrors>
    <ignoredError sqref="Z7" evalError="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Een nieuw document maken." ma:contentTypeScope="" ma:versionID="af06415684968a1656e1bba475aafabb">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00e3554c49079c8e18863c8e75532588"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1339BC-EC1D-43F9-BCFB-27B76B293803}"/>
</file>

<file path=customXml/itemProps2.xml><?xml version="1.0" encoding="utf-8"?>
<ds:datastoreItem xmlns:ds="http://schemas.openxmlformats.org/officeDocument/2006/customXml" ds:itemID="{2345B4F2-3B30-4162-9FB0-76A0A8117CF5}"/>
</file>

<file path=customXml/itemProps3.xml><?xml version="1.0" encoding="utf-8"?>
<ds:datastoreItem xmlns:ds="http://schemas.openxmlformats.org/officeDocument/2006/customXml" ds:itemID="{B931CFB9-F32C-49D5-B8D0-53B29C36566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Kimberley Ho</cp:lastModifiedBy>
  <cp:revision/>
  <dcterms:created xsi:type="dcterms:W3CDTF">2020-11-26T09:31:06Z</dcterms:created>
  <dcterms:modified xsi:type="dcterms:W3CDTF">2023-05-17T11:00:37Z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MediaServiceImageTags">
    <vt:lpwstr/>
  </property>
  <property fmtid="{D5CDD505-2E9C-101B-9397-08002B2CF9AE}" pid="4" name="Order">
    <vt:r8>45359200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