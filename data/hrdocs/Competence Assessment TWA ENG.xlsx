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2"/>
  <workbookPr defaultThemeVersion="166925"/>
  <mc:AlternateContent xmlns:mc="http://schemas.openxmlformats.org/markup-compatibility/2006">
    <mc:Choice Requires="x15">
      <x15ac:absPath xmlns:x15ac="http://schemas.microsoft.com/office/spreadsheetml/2010/11/ac" url="https://digitalpower.sharepoint.com/sites/Organisatie/Gedeelde documenten/Development/Competence assessment/"/>
    </mc:Choice>
  </mc:AlternateContent>
  <xr:revisionPtr revIDLastSave="334" documentId="8_{4EF499F1-6BDE-4BD9-A196-A4A9FD81ABDC}" xr6:coauthVersionLast="47" xr6:coauthVersionMax="47" xr10:uidLastSave="{5858C534-C119-46FB-B13D-5BA4F70F24F3}"/>
  <bookViews>
    <workbookView xWindow="-80" yWindow="-80" windowWidth="22560" windowHeight="13440" firstSheet="3" activeTab="1" xr2:uid="{DDF627DC-5545-4019-A157-7A36937E0569}"/>
  </bookViews>
  <sheets>
    <sheet name="Questions" sheetId="1" r:id="rId1"/>
    <sheet name="Theory" sheetId="4" r:id="rId2"/>
    <sheet name="Data (DO NOT EDIT!!)" sheetId="3" r:id="rId3"/>
    <sheet name="Results (DO NOT EDIT!!)" sheetId="2" r:id="rId4"/>
  </sheets>
  <definedNames>
    <definedName name="_xlnm.Print_Area" localSheetId="0">Questions!$A$12:$D$210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2" l="1"/>
  <c r="U5" i="3"/>
  <c r="R4" i="2" s="1"/>
  <c r="AK18" i="3"/>
  <c r="AH7" i="2" s="1"/>
  <c r="AJ18" i="3"/>
  <c r="AG7" i="2" s="1"/>
  <c r="AI18" i="3"/>
  <c r="AF7" i="2" s="1"/>
  <c r="AH18" i="3"/>
  <c r="AE7" i="2" s="1"/>
  <c r="AG18" i="3"/>
  <c r="AD7" i="2" s="1"/>
  <c r="AF18" i="3"/>
  <c r="AC7" i="2" s="1"/>
  <c r="AE18" i="3"/>
  <c r="AB7" i="2" s="1"/>
  <c r="AD18" i="3"/>
  <c r="AA7" i="2" s="1"/>
  <c r="AC18" i="3"/>
  <c r="Z7" i="2" s="1"/>
  <c r="AB18" i="3"/>
  <c r="Y7" i="2" s="1"/>
  <c r="AA18" i="3"/>
  <c r="X7" i="2" s="1"/>
  <c r="Z18" i="3"/>
  <c r="W7" i="2" s="1"/>
  <c r="Y18" i="3"/>
  <c r="V7" i="2" s="1"/>
  <c r="X18" i="3"/>
  <c r="U7" i="2" s="1"/>
  <c r="W18" i="3"/>
  <c r="T7" i="2" s="1"/>
  <c r="V18" i="3"/>
  <c r="S7" i="2" s="1"/>
  <c r="U18" i="3"/>
  <c r="R7" i="2" s="1"/>
  <c r="T18" i="3"/>
  <c r="Q7" i="2" s="1"/>
  <c r="S18" i="3"/>
  <c r="P7" i="2" s="1"/>
  <c r="R18" i="3"/>
  <c r="O7" i="2" s="1"/>
  <c r="Q18" i="3"/>
  <c r="N7" i="2" s="1"/>
  <c r="P18" i="3"/>
  <c r="M7" i="2" s="1"/>
  <c r="O18" i="3"/>
  <c r="L7" i="2" s="1"/>
  <c r="N18" i="3"/>
  <c r="K7" i="2" s="1"/>
  <c r="M18" i="3"/>
  <c r="J7" i="2" s="1"/>
  <c r="L18" i="3"/>
  <c r="I7" i="2" s="1"/>
  <c r="K18" i="3"/>
  <c r="H7" i="2" s="1"/>
  <c r="J8" i="2" s="1"/>
  <c r="J18" i="3"/>
  <c r="G7" i="2" s="1"/>
  <c r="I18" i="3"/>
  <c r="F7" i="2" s="1"/>
  <c r="H18" i="3"/>
  <c r="E7" i="2" s="1"/>
  <c r="G18" i="3"/>
  <c r="D7" i="2" s="1"/>
  <c r="F18" i="3"/>
  <c r="C7" i="2" s="1"/>
  <c r="E18" i="3"/>
  <c r="B7" i="2" s="1"/>
  <c r="E5" i="3"/>
  <c r="B4" i="2" s="1"/>
  <c r="G5" i="2" s="1"/>
  <c r="L5" i="3"/>
  <c r="I4" i="2" s="1"/>
  <c r="R5" i="3"/>
  <c r="O4" i="2" s="1"/>
  <c r="I1" i="2"/>
  <c r="I2" i="2"/>
  <c r="O1" i="2"/>
  <c r="O2" i="2"/>
  <c r="C27" i="3"/>
  <c r="C26" i="3"/>
  <c r="C25" i="3"/>
  <c r="C24" i="3"/>
  <c r="C23" i="3"/>
  <c r="C22" i="3"/>
  <c r="AK5" i="3"/>
  <c r="AH4" i="2" s="1"/>
  <c r="AJ5" i="3"/>
  <c r="AG4" i="2" s="1"/>
  <c r="AI5" i="3"/>
  <c r="AF4" i="2" s="1"/>
  <c r="AH5" i="3"/>
  <c r="AE4" i="2" s="1"/>
  <c r="AG5" i="3"/>
  <c r="AD4" i="2" s="1"/>
  <c r="AH5" i="2" s="1"/>
  <c r="AF5" i="3"/>
  <c r="AC4" i="2" s="1"/>
  <c r="AE5" i="3"/>
  <c r="AB4" i="2" s="1"/>
  <c r="AD5" i="3"/>
  <c r="AA4" i="2" s="1"/>
  <c r="AC5" i="3"/>
  <c r="Z4" i="2" s="1"/>
  <c r="AB5" i="3"/>
  <c r="Y4" i="2" s="1"/>
  <c r="AC5" i="2" s="1"/>
  <c r="AA5" i="3"/>
  <c r="X4" i="2" s="1"/>
  <c r="Z5" i="3"/>
  <c r="W4" i="2" s="1"/>
  <c r="Y5" i="3"/>
  <c r="V4" i="2" s="1"/>
  <c r="X5" i="3"/>
  <c r="U4" i="2" s="1"/>
  <c r="W5" i="3"/>
  <c r="T4" i="2" s="1"/>
  <c r="X5" i="2" s="1"/>
  <c r="V5" i="3"/>
  <c r="S4" i="2" s="1"/>
  <c r="T5" i="3"/>
  <c r="Q4" i="2" s="1"/>
  <c r="S5" i="3"/>
  <c r="P4" i="2" s="1"/>
  <c r="Q5" i="3"/>
  <c r="N4" i="2" s="1"/>
  <c r="P5" i="3"/>
  <c r="M4" i="2" s="1"/>
  <c r="O5" i="3"/>
  <c r="L4" i="2" s="1"/>
  <c r="N5" i="3"/>
  <c r="K4" i="2" s="1"/>
  <c r="M5" i="3"/>
  <c r="J4" i="2" s="1"/>
  <c r="K5" i="3"/>
  <c r="H4" i="2" s="1"/>
  <c r="J5" i="3"/>
  <c r="G4" i="2" s="1"/>
  <c r="I5" i="3"/>
  <c r="F4" i="2" s="1"/>
  <c r="H5" i="3"/>
  <c r="E4" i="2" s="1"/>
  <c r="G5" i="3"/>
  <c r="D4" i="2" s="1"/>
  <c r="F5" i="3"/>
  <c r="C4" i="2" s="1"/>
  <c r="R8" i="2" l="1"/>
  <c r="R5" i="2"/>
  <c r="X8" i="2"/>
  <c r="AC8" i="2"/>
  <c r="AH8" i="2"/>
  <c r="G8" i="2"/>
  <c r="AH2" i="2"/>
  <c r="AG2" i="2"/>
  <c r="AF2" i="2"/>
  <c r="AE2" i="2"/>
  <c r="AD2" i="2"/>
  <c r="AC2" i="2"/>
  <c r="AB2" i="2"/>
  <c r="AA2" i="2"/>
  <c r="Z2" i="2"/>
  <c r="Y2" i="2"/>
  <c r="X2" i="2"/>
  <c r="W2" i="2"/>
  <c r="V2" i="2"/>
  <c r="U2" i="2"/>
  <c r="T2" i="2"/>
  <c r="S2" i="2"/>
  <c r="R2" i="2"/>
  <c r="Q2" i="2"/>
  <c r="P2" i="2"/>
  <c r="N2" i="2"/>
  <c r="M2" i="2"/>
  <c r="L2" i="2"/>
  <c r="K2" i="2"/>
  <c r="J2" i="2"/>
  <c r="H2" i="2"/>
  <c r="G2" i="2"/>
  <c r="F2" i="2"/>
  <c r="E2" i="2"/>
  <c r="D2" i="2"/>
  <c r="C2" i="2"/>
  <c r="AH1" i="2"/>
  <c r="AG1" i="2"/>
  <c r="AF1" i="2"/>
  <c r="AE1" i="2"/>
  <c r="AD1" i="2"/>
  <c r="AC1" i="2"/>
  <c r="AB1" i="2"/>
  <c r="AA1" i="2"/>
  <c r="Z1" i="2"/>
  <c r="Y1" i="2"/>
  <c r="X1" i="2"/>
  <c r="W1" i="2"/>
  <c r="V1" i="2"/>
  <c r="U1" i="2"/>
  <c r="T1" i="2"/>
  <c r="S1" i="2"/>
  <c r="R1" i="2"/>
  <c r="Q1" i="2"/>
  <c r="P1" i="2"/>
  <c r="N1" i="2"/>
  <c r="M1" i="2"/>
  <c r="L1" i="2"/>
  <c r="K1" i="2"/>
  <c r="J1" i="2"/>
  <c r="H1" i="2"/>
  <c r="G1" i="2"/>
  <c r="F1" i="2"/>
  <c r="E1" i="2"/>
  <c r="D1" i="2"/>
  <c r="C1" i="2"/>
  <c r="B2" i="2"/>
  <c r="B1" i="2"/>
  <c r="A23" i="3"/>
  <c r="B23" i="3"/>
  <c r="D23" i="3"/>
  <c r="A24" i="3"/>
  <c r="B24" i="3"/>
  <c r="D24" i="3"/>
  <c r="A25" i="3"/>
  <c r="B25" i="3"/>
  <c r="D25" i="3"/>
  <c r="A26" i="3"/>
  <c r="B26" i="3"/>
  <c r="D26" i="3"/>
  <c r="A27" i="3"/>
  <c r="B27" i="3"/>
  <c r="D27" i="3"/>
  <c r="A22" i="3"/>
  <c r="B22" i="3"/>
  <c r="D22" i="3"/>
</calcChain>
</file>

<file path=xl/sharedStrings.xml><?xml version="1.0" encoding="utf-8"?>
<sst xmlns="http://schemas.openxmlformats.org/spreadsheetml/2006/main" count="378" uniqueCount="216">
  <si>
    <t>Question list</t>
  </si>
  <si>
    <t>Example competence area</t>
  </si>
  <si>
    <t>For each situation, enter the corresponding value for the most appropriate competency description</t>
  </si>
  <si>
    <t>Instructions</t>
  </si>
  <si>
    <t>Example competency</t>
  </si>
  <si>
    <t>Competency level to date</t>
  </si>
  <si>
    <t>Desired competency level</t>
  </si>
  <si>
    <t>Input value</t>
  </si>
  <si>
    <t>Each competency area (6), which can be recognized by the different colours, consists of a number of specific competencies.
Determine for each competency where your ambition (desired competency level) lies and where you are now (competency level to date).
- Do this by scoring yourself on the indicated scale (see example)
- If you have no ambition (yet) for a competence, you keep the score that reflects toward your current competency level.
Determine for each competency which description best fits the situation (present/desired). Do not only look at knowledge and skills, but also at the sphere of influence and degree of (personal) leadership in your role with the customer.
Create your desired profile based on your ambition! And develop those competencies that give substance to the realization of this ambition.
The aim is not to test whether or not you are a good consultant within this domain. The goal is that you develop competencies that match your ambition.
Be realistic when filling it out. Only then will you use it to its full potential.
Good luck!</t>
  </si>
  <si>
    <t>Competency description example: Acts on competency A with customers.</t>
  </si>
  <si>
    <t>Competency description example: Acts with customers in addition to competency A, also on competency B.</t>
  </si>
  <si>
    <t>Competency description example: Acts with customers in addition to competency A , B,  and also on competency C.</t>
  </si>
  <si>
    <t>Competency description example: Acts with customers in addition to competency A, B, C, and also on competency D.</t>
  </si>
  <si>
    <t>Competency description example: Acts with customers in addition to competency A, B, C, D and also on competency E.</t>
  </si>
  <si>
    <t>Digital Power basic competencies</t>
  </si>
  <si>
    <t>Learning &amp; reflection</t>
  </si>
  <si>
    <t xml:space="preserve">Has a growth mindset </t>
  </si>
  <si>
    <t>Receives positive and constructive feedback with an open attitude, is able to use this for self-reflection, incorporate it into their own development and undertake the necessary development with training and courses.</t>
  </si>
  <si>
    <t>In addition to the indicated external stimulus (feedback from others), is able to remain critical of their own knowledge and lack of experience. Takes the necessary actions in this respect and takes control of their own development.</t>
  </si>
  <si>
    <t>Takes on an exemplary role in the previously indicated competencies and also actively promotes them by taking on a guiding role to juniors and mediors.</t>
  </si>
  <si>
    <t>Takes on a leadership role in the indicated competencies and actively carries this  out in the role of supervisor and/or by taking responsibility within the organisation.</t>
  </si>
  <si>
    <t>Support &amp; collaboration</t>
  </si>
  <si>
    <t>Has a collaborative mindset</t>
  </si>
  <si>
    <t>Is helpful and involved with both internal and external colleagues</t>
  </si>
  <si>
    <t>Actively seeks cooperation. Both within and outside the team that they are (temporarily) part of.</t>
  </si>
  <si>
    <t>Acts like an example in seeking cooperation. Takes responsibility to support others and provides assistance to ensure team members become self-reliant in their work.</t>
  </si>
  <si>
    <t>-</t>
  </si>
  <si>
    <t>Entrepreneurial &amp; result-oriented</t>
  </si>
  <si>
    <t>Has an entrepreneurial &amp; result-oriented mindset</t>
  </si>
  <si>
    <t>Focused on acting effectively and delivering agreed work on time, within the agreed timeframe.</t>
  </si>
  <si>
    <t>In addition to the previously mentioned competencies, is able to recognize opportunities and be proactive in helping customers and/or furthering profile of DiP. Is able to translate customer objectives into concrete and practical actions.</t>
  </si>
  <si>
    <t>In addition to the previously mentioned competencies, able to increase commercial activities (such as increasing hours, generating additional assignments, etc.). Develops projects within DiP and oversees and/or guides them towards the intended result.</t>
  </si>
  <si>
    <t>In addition to the previously mentioned competencies, is responsible for the development of a specialism within DiP. This includes ensuring expertise in this domain continuously develops and stays up-to-date with the market.</t>
  </si>
  <si>
    <t>Customer-oriented</t>
  </si>
  <si>
    <t>Has a customer-oriented mindset</t>
  </si>
  <si>
    <t>Recognizes customer needs and interests; adopts a helpful attitude and takes the needs and interests of the customer into account in their work.</t>
  </si>
  <si>
    <t>In addition to the previously mentioned competencies, actively thinks along with the client. Shares insights of the client organization within DiP in order to further expand commercial activities. Actively strives to increase customer satisfaction and improve quality of work.</t>
  </si>
  <si>
    <t>In addition to the previously mentioned competencies, stimulates and facilitates others to actively act in a customer-oriented manner. Is able to expand customer activity through expertise. Exceeds customer expectations.</t>
  </si>
  <si>
    <t>In addition to the previously mentioned competencies, bears responsibility for a customer-oriented approach. Is committed to maintaining a high level of customer focus on a structural basis.</t>
  </si>
  <si>
    <t>Knowledge sharing</t>
  </si>
  <si>
    <t>Actively learns from the DiP organisation.</t>
  </si>
  <si>
    <t>Learns from the DiP organization and actively shares own experiences with colleagues.</t>
  </si>
  <si>
    <t>In addition to the previously stated competencies, actively shares own experiences and knowledge in DiP meet-ups, peer groups and provides training, etc. Also shares knowledge externally in meet-ups, conferences, training courses, blogs, inspiration sessions, etc.</t>
  </si>
  <si>
    <t>In addition to the previously stated activities, can act as a source of information for other consultants through acquired knowledge and experience. Also contributes to the team spirit.</t>
  </si>
  <si>
    <t>In addition to the previously mentioned activities, bears responsibility for the level of knowledge sharing. Ensures that knowledge sharing remains up to date in terms of content and frequency.</t>
  </si>
  <si>
    <t>Coaching &amp; guidance</t>
  </si>
  <si>
    <t>Has never (in)formally provided coaching or guidance in a professional field</t>
  </si>
  <si>
    <t>Has followed one or more trainings/courses about coaching and/or guiding in a professional field.</t>
  </si>
  <si>
    <t>Has informally coached and/or supervised one or more colleagues (within DiP) in the professional field.</t>
  </si>
  <si>
    <t>Formally supervises one or more junior/medior consultants (within DiP) in their professional development.</t>
  </si>
  <si>
    <t>Has formally supervised one or more junior/medior/senior consultants in their professional development (within DiP) for more than 4 years.</t>
  </si>
  <si>
    <r>
      <t xml:space="preserve">TWA domein competenties </t>
    </r>
    <r>
      <rPr>
        <b/>
        <sz val="10"/>
        <color theme="0"/>
        <rFont val="Calibri"/>
        <family val="2"/>
        <scheme val="minor"/>
      </rPr>
      <t xml:space="preserve">* All skills described for a given seniority level also include description of previous seniority level.   </t>
    </r>
  </si>
  <si>
    <t>Communication developers/ analysts</t>
  </si>
  <si>
    <t>Being able to clarify the question behind the question.</t>
  </si>
  <si>
    <t>Being able to communicate with developers. Being able to manage expectations</t>
  </si>
  <si>
    <t>Being able to simplify technical content and explain this to the analysts/business stakeholders.</t>
  </si>
  <si>
    <t>Being able to guide the client into chosing the best possible technical solution.</t>
  </si>
  <si>
    <t>Is able to lead a team of technical web analist and leads the client towards a robust setup which is viable for the future. Has indepth knowledge of the tooling and able to provide solutions to the team.</t>
  </si>
  <si>
    <t xml:space="preserve">Trends / new developments
(i.e. ITP , GDPR, GA4, eventbasedtracking, CDP) </t>
  </si>
  <si>
    <t>Not expected at starter level.</t>
  </si>
  <si>
    <t>Subscribed to sources of knowledge to get input on developments in the field. Is able to adopt and learn about new developments with help of a more senior consultant(s) and notifying the client of upcomming changes.</t>
  </si>
  <si>
    <t xml:space="preserve">Has a basic understanding of the current developments that are happening in the business and is able to notify the client and implement the solutions that are adviced. </t>
  </si>
  <si>
    <t xml:space="preserve">Has indepth knowledge on current developments, is able to provide advice to the client, and is able to implement the recommended solution. </t>
  </si>
  <si>
    <t>Is able to proactively lead big clients through upcomming developments in the market and is able to sufficiently spot the difficulties and impact on the business. 
Has a level of forsight into the future and can suggest pre-emptive action against predicted events in the future (and can justify those actions).</t>
  </si>
  <si>
    <t>Requirements</t>
  </si>
  <si>
    <t xml:space="preserve">Able to listen in on requirements gathering sessions and grow from shadowing other consultants. </t>
  </si>
  <si>
    <t xml:space="preserve">Able to gather basic level requirements after internal briefing. Is able, with help, to translate these requirements into an implementation, and provide aftercare with guidance. </t>
  </si>
  <si>
    <t>Able to manage the entire flow from requirements gathering, to implementation, to aftercare with guidance.</t>
  </si>
  <si>
    <t>Able to envision how the requirements would fit into the existing system and lead the client towards what will work best.  Being able to weight the requirements to the effort and business impact. Is able to guide starters and juniors.</t>
  </si>
  <si>
    <t>Able to delegate requirements gathering to others so that one with less seniority can gather requirements to a higher seniority level without their direct presence. aware of the impact it has troughout the business (lines) and is able to bring these together.</t>
  </si>
  <si>
    <r>
      <rPr>
        <b/>
        <sz val="18"/>
        <color rgb="FFFFFFFF"/>
        <rFont val="Calibri"/>
      </rPr>
      <t xml:space="preserve">TWA Hardskills </t>
    </r>
    <r>
      <rPr>
        <b/>
        <sz val="10"/>
        <color rgb="FFFFFFFF"/>
        <rFont val="Calibri"/>
      </rPr>
      <t xml:space="preserve">* All skills described for a given seniority level also include description of previous seniority level.   </t>
    </r>
  </si>
  <si>
    <t>Analytics (management/ admin) knowledge</t>
  </si>
  <si>
    <t>Knows which analytics tools exist in the marketplace, knows what analytics tools are used for, and has a basic understanding of at least one analytics tool.</t>
  </si>
  <si>
    <t>Basic experience with analytics tools and has practical experience with creating dashboard/analyses and  some basic knowledge of changing settings in an account. Is aware of basic concepts of data processing such as tracking codes.</t>
  </si>
  <si>
    <t xml:space="preserve">Knowledge on how to configure / set up an account (from scratch) and other admin functionalities such as;
processing rules, 
classifications,  
ip hashing, 
filters and extensions,
plugin/extensions.
 </t>
  </si>
  <si>
    <t>Is able to explain the difference between analytics tools and is capable to give advice on the best possible option, and is aware of different trends in the market.</t>
  </si>
  <si>
    <t>Is able to lead the client through difficult strategic decision making processes regarding analytics tools, and helps DiP and client to increase the knowledge regarding the subject.</t>
  </si>
  <si>
    <t>Tag management systems</t>
  </si>
  <si>
    <t>Basic understanding of what a TMS is and what it is used for.</t>
  </si>
  <si>
    <t>Basic experience with at least one TMS. Knows about data layers, load rules, tags and is able to configure easy tags.</t>
  </si>
  <si>
    <t>Basic knowledge of libraries, load rules, publishing process. Is able to create tags and publish new functionality. Is able to support others with TMS.</t>
  </si>
  <si>
    <t>Is able to work with multiple TMS, create tags, publish. Solid knowledge of possibilities of TMS. Is able to teach others with TMS. Knows what happens 'under the hood' and knows about best practice.</t>
  </si>
  <si>
    <t xml:space="preserve">Is able to lead the clients through difficult strategic decision making processes regarding TMS tools, and helps DiP and client to increase the knowledge regarding the subject. </t>
  </si>
  <si>
    <t>Data structures/ tagplans/ datalayer</t>
  </si>
  <si>
    <t>Basic understanding of what should be specified in a tagplan (events, variables).</t>
  </si>
  <si>
    <t>Understanding of how to read/document tag plans. Able to define basic analytical data models with adequate guidance.</t>
  </si>
  <si>
    <t xml:space="preserve">Able to create data models and document them for developers/clients with a small amount of guidance. </t>
  </si>
  <si>
    <t>Able to weigh the pros and cons of different data models with the clients needs/existing architecture. Takes input from team into account but able to fully defend ideas.</t>
  </si>
  <si>
    <t>Debugging</t>
  </si>
  <si>
    <t>Is able to use TagBird.</t>
  </si>
  <si>
    <t xml:space="preserve">Is able to use developer console/extensions to test whether solution is working as expected (console,network, cookies). </t>
  </si>
  <si>
    <t>Understands how &amp; when to use conditional breakpoints
Apply local changes for testing purposes. Use javascript code in the console.</t>
  </si>
  <si>
    <t xml:space="preserve">Can debug issues that are in the "timing issue" category. Can debug loops and functions and is able to use a proxy/local overrides for testing. </t>
  </si>
  <si>
    <t>Is able to teach others on most effective ways to debug. Knows of a great number of possibilities.</t>
  </si>
  <si>
    <t>Programming</t>
  </si>
  <si>
    <t>Effort to learn.</t>
  </si>
  <si>
    <t>Can re-use existing code / assert if code results in expected end results. Understands basics of javascript, html, css.</t>
  </si>
  <si>
    <t>Can assert if own code works &amp; has no obvious side effects.</t>
  </si>
  <si>
    <t>Can review and provide constructive feedback on existing code.</t>
  </si>
  <si>
    <t>Is able to help others improve their skill level by coaching/training.</t>
  </si>
  <si>
    <t>Basic consultancy competencies</t>
  </si>
  <si>
    <t>Advising</t>
  </si>
  <si>
    <t>Gives advice on questions from the direct business (stakeholders). Mostly operationally.</t>
  </si>
  <si>
    <t>In addition to the previously mentioned competencies, provides proactive advice on related analyses and insights. Is able to view insights from perspectives other than their own business (stakeholders) and involves them in the process.</t>
  </si>
  <si>
    <t>In addition to the previously mentioned competencies, provides advice with an organization-wide impact.</t>
  </si>
  <si>
    <t>In addition to the previously mentioned competencies, gives advice at management and/or organizational level.</t>
  </si>
  <si>
    <t xml:space="preserve">Decisive &amp; problem-solving </t>
  </si>
  <si>
    <t>Has a curious and pragmatic mindset.</t>
  </si>
  <si>
    <t>Able to ask critical questions within your department/project. Able to come up with a suitable solution for your own business (stakeholders).</t>
  </si>
  <si>
    <t>In addition to the previously mentioned competencies, is able to get to the core of the problem with a departmental and/or assignment-transcending impact. Able to address this and come to a solution that is more widely supported.</t>
  </si>
  <si>
    <t>In addition to the previously mentioned competencies, able to get to the core of the problem with an organization-wide impact.</t>
  </si>
  <si>
    <t>In addition to the previously mentioned competencies, able to get to the core of the problem with an organization-wide impact. Able to address this and come to a solution that is supported throughout the organization.</t>
  </si>
  <si>
    <t>Interpersonal communication</t>
  </si>
  <si>
    <t>Has an accessible attitude.</t>
  </si>
  <si>
    <t>Has a visible and approachable demeanor. Is a good listener and provides feedback and is able to put themselves in others' shoes.</t>
  </si>
  <si>
    <t>In addition to the previously mentioned competencies, adopts an assertive attitude and maintains a healthy balance between moving along with the client and guarding one's own boundaries.</t>
  </si>
  <si>
    <t>In addition to the previously mentioned competencies, actively promotes communication between yourself and your client(s). And also with the team(s) and department(s) you work with.</t>
  </si>
  <si>
    <t>In addition to the previously mentioned competencies, actively provides tools and resources to shape and promote communication between teams and departments.</t>
  </si>
  <si>
    <t>Expectation management</t>
  </si>
  <si>
    <t>Tests expectations of his/her work; way of working, scope, goal, timelines, content, etc.</t>
  </si>
  <si>
    <t>In addition to the previously mentioned competency, makes an inventory of the underlying interests. Takes this information into account when setting priorities and proactively communicates this.</t>
  </si>
  <si>
    <t>Sets and discusses expectations from personal and/or DiP interests and takes the initiative in determining cooperation, scope, priorities, goal, timelines, content, etc.</t>
  </si>
  <si>
    <t>Sets expectations and actively ensures that the interests and expectations of all parties involved are expressed and coordinated in the best possible way.</t>
  </si>
  <si>
    <t>Written and oral communication (presentation, proposal, result, advice)</t>
  </si>
  <si>
    <t>Speaks ánd writes comprehensible and correct Dutch and English for a business target group. Is well understood in both volume and pronunciation.</t>
  </si>
  <si>
    <t>In addition to the previously mentioned competencies, adjusts the speaking and/or writing style to the intended goal or target group. Is clear and to-the-point, so that the message is well understood. Checks whether the message has come across correctly.</t>
  </si>
  <si>
    <t>In addition to the previously mentioned competencies, is able to make complex subjects understandable to others and displays a collaborative attitude.</t>
  </si>
  <si>
    <t>Applies situational communication in addition to the previously mentioned competencies. You give implicit guidance to the outcome of the verbal transaction (presentation, bila, conversation, advice, etc.)</t>
  </si>
  <si>
    <t>In addition to the previously mentioned competencies, applies situational leadership in which implicit control shifts to explicit control or leadership.</t>
  </si>
  <si>
    <t>Business competencies</t>
  </si>
  <si>
    <t>Organizational and management identification</t>
  </si>
  <si>
    <t>Has no/little knowledge of organizational structure at a client.</t>
  </si>
  <si>
    <t>Has knowledge of organizational structure at a client.</t>
  </si>
  <si>
    <t>Has a sense of relationships within the organization. Recognizes interests of stakeholders.</t>
  </si>
  <si>
    <t>Has feeling for relationships within the organization. Recognizes stakeholder interests and overlooks consequences of approach and makes connections with other stakeholders and/or issues.</t>
  </si>
  <si>
    <t>Is positioned as Business Analyst</t>
  </si>
  <si>
    <t>Strategic conceptualization</t>
  </si>
  <si>
    <t>Is able to recognize operational strategy and goals</t>
  </si>
  <si>
    <t>Is able to connect and conceptualize operational strategy and goals</t>
  </si>
  <si>
    <t>Is able to connect and conceptualize strategy and goals of management and operations</t>
  </si>
  <si>
    <t>Is able to connect and conceptualize strategy and goals of the board, management and operations</t>
  </si>
  <si>
    <t>Is positioned as a Strategist</t>
  </si>
  <si>
    <t>Project management</t>
  </si>
  <si>
    <t>Kept client and/or stakeholders informed of progress on own assignment or project schedule</t>
  </si>
  <si>
    <t>Kept client and stakeholders informed of progress on project or assignment schedule</t>
  </si>
  <si>
    <t>Has managed one or more projects without using a methodical approach</t>
  </si>
  <si>
    <t>Has managed one or more projects using project management methods such as (Agile, Scrum, Kanban, Lean, Six Sigma, Prince2, etc.)</t>
  </si>
  <si>
    <t>Is positioned as a Project Manager/ Product Owner</t>
  </si>
  <si>
    <t>Change management (towards data-driven work)</t>
  </si>
  <si>
    <t>Has never experienced a change process toward data-driven work</t>
  </si>
  <si>
    <t>Has participated and played an active role in one or more change processes towards data-driven work</t>
  </si>
  <si>
    <t>Has led one or more change processes towards data-driven work, without using a methodical approach</t>
  </si>
  <si>
    <t>Has led one or more change processes towards data-driven work using a methodical approach</t>
  </si>
  <si>
    <t>Is positioned as a Change Manager</t>
  </si>
  <si>
    <t>Leadership</t>
  </si>
  <si>
    <t>Has never (in)formally led in the field of data</t>
  </si>
  <si>
    <t>Participated in assignments and/or projects in the field of data</t>
  </si>
  <si>
    <t>Recognizes strategic data opportunities and has actively participated in this by taking on an advisory role</t>
  </si>
  <si>
    <t>Demonstrates leadership and has acted as the driving force behind strategic data choices in one or more assignments</t>
  </si>
  <si>
    <t>Has acted from a leadership position in one or more assignments as a driving force behind strategic choices in the area of data</t>
  </si>
  <si>
    <t xml:space="preserve"> </t>
  </si>
  <si>
    <t>Expert consultancy competencies</t>
  </si>
  <si>
    <t>Situational communication</t>
  </si>
  <si>
    <t>Adopts a communication style that is true to themselves.</t>
  </si>
  <si>
    <t>Is aware of own communication style and effect on conversational partners.</t>
  </si>
  <si>
    <t xml:space="preserve">In addition to the above, has knowledge of different situations and communication styles and actively uses this knowledge to adapt own communication. </t>
  </si>
  <si>
    <t>In addition to previously mentioned competencies, uses situational communication/situational leadership to provide direction.</t>
  </si>
  <si>
    <t>In addition to previously mentioned, uses situational leadership in management.</t>
  </si>
  <si>
    <t>Goal-oriented &amp; effective communication</t>
  </si>
  <si>
    <t>Communicates in a structured manner and avoids technical jargon.</t>
  </si>
  <si>
    <t>In addition to the above, communicates in a no-nonsense, purposeful way, so that content, goal, and expectations are clear to (all) partners and/or participants within the project.</t>
  </si>
  <si>
    <t xml:space="preserve">Uses the above mentioned competencies on a cross-departmental level. Knows how to bring the parties involved towards the intended goal by means of catchy examples, stimulating propositions and outlining (implication) scenarios. </t>
  </si>
  <si>
    <t>Uses previously mentioned competencies at the organizational level.</t>
  </si>
  <si>
    <t>Decision-making</t>
  </si>
  <si>
    <t>Makes independent, informed decisions and is accountable for them.</t>
  </si>
  <si>
    <t>In addition to previously mentioned, has made decisions that require courage and boldness due to the difficult nature of the decision, within your project or assignment.</t>
  </si>
  <si>
    <t>In addition to the above-mentioned setting, has to take difficult decisions that have an impact on the project or assignment.</t>
  </si>
  <si>
    <t>In addition to the above-mentioned setting, has to take difficult decisions that have a cross-departmental impact.</t>
  </si>
  <si>
    <t>In addition to previously mentioned setting, had to make difficult decisions that had organization-wide impact.</t>
  </si>
  <si>
    <t>Persuading &amp; influencing</t>
  </si>
  <si>
    <t>Has confidence in own ability and judgment when presenting findings and opinions.</t>
  </si>
  <si>
    <t>In addition to the competencies mentioned above, acts with self-confidence when explaining (their own) views and opinions. Listens and seeks connection to create a win-win situation.</t>
  </si>
  <si>
    <t>In addition to previously mentioned competencies, when persuading and influencing, makes active use of thought-provoking statements and illustrations to promote position taking. Is able to recognize communication and behavioral styles and to adapt his/her own communication and/or behavioral style accordingly.</t>
  </si>
  <si>
    <t>Uses previously mentioned competencies to effectively provide direction and leadership in a broader setting (team, department, organization, etc.)</t>
  </si>
  <si>
    <t>Constructive (negative) feedback &amp; bad news conversations</t>
  </si>
  <si>
    <t>Has given constructive feedback when asked.</t>
  </si>
  <si>
    <t>In addition to the previously mentioned, has given unsolicited constructive feedback when dealing with an equal power relationship (peers/ consultants).</t>
  </si>
  <si>
    <t>In addition to the mentioned competencies, has given unsolicited constructive feedback in an unequal power relationship (manager/client) and has been able to turn this into a future-proof situation and/or relationship.</t>
  </si>
  <si>
    <t>In addition to the previously mentioned, has held a bad news conversation in the role of supervising consultant/manager, has had to take a position and turn it into a future-proof situation.</t>
  </si>
  <si>
    <t>In addition to previously mentioned, has held a bad news conversation from the supervising consultant/leadership role, had to take a stand in it and make a negative decision.</t>
  </si>
  <si>
    <t>Digital Power Competentiehuis</t>
  </si>
  <si>
    <t>Competentiegebieden</t>
  </si>
  <si>
    <t>Digital Power Basic Skills</t>
  </si>
  <si>
    <t>Domain Skills</t>
  </si>
  <si>
    <t>Domein Skills</t>
  </si>
  <si>
    <t>Hardskills</t>
  </si>
  <si>
    <t>Basic Consultancy Skills</t>
  </si>
  <si>
    <t>Business Skills</t>
  </si>
  <si>
    <t>Expert Consultancy Skills</t>
  </si>
  <si>
    <t>Tagging trends in domain</t>
  </si>
  <si>
    <t>Tag management</t>
  </si>
  <si>
    <t>Data structures, tagplan, datalayer</t>
  </si>
  <si>
    <t>Written and oral communication</t>
  </si>
  <si>
    <t>Change management</t>
  </si>
  <si>
    <t>ID</t>
  </si>
  <si>
    <t>Name</t>
  </si>
  <si>
    <t>Function</t>
  </si>
  <si>
    <t>Specialization</t>
  </si>
  <si>
    <t>Current</t>
  </si>
  <si>
    <t>You (mandatory)</t>
  </si>
  <si>
    <t>Reviewer 1 (optional)</t>
  </si>
  <si>
    <t>Reviewer 2 (optional)</t>
  </si>
  <si>
    <t>Ambition</t>
  </si>
  <si>
    <t>Score current situation</t>
  </si>
  <si>
    <t>Total average</t>
  </si>
  <si>
    <t>Score ambition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</si>
</sst>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1"/>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11"/>
      <color theme="1"/>
      <name val="Calibri Light"/>
      <family val="2"/>
      <scheme val="major"/>
    </font>
    <font>
      <b/>
      <sz val="20"/>
      <color theme="1"/>
      <name val="Calibri"/>
      <family val="2"/>
      <scheme val="minor"/>
    </font>
    <font>
      <i/>
      <sz val="11"/>
      <color theme="0" tint="-0.34998626667073579"/>
      <name val="Calibri"/>
      <family val="2"/>
      <scheme val="minor"/>
    </font>
    <font>
      <b/>
      <sz val="11"/>
      <color theme="0"/>
      <name val="Calibri"/>
      <family val="2"/>
      <scheme val="minor"/>
    </font>
    <font>
      <b/>
      <sz val="18"/>
      <color theme="1"/>
      <name val="Calibri"/>
      <family val="2"/>
      <scheme val="minor"/>
    </font>
    <font>
      <b/>
      <sz val="18"/>
      <color theme="0"/>
      <name val="Calibri"/>
      <family val="2"/>
      <scheme val="minor"/>
    </font>
    <font>
      <u/>
      <sz val="11"/>
      <color theme="1"/>
      <name val="Calibri"/>
      <family val="2"/>
      <scheme val="minor"/>
    </font>
    <font>
      <b/>
      <sz val="11"/>
      <name val="Calibri"/>
      <family val="2"/>
      <scheme val="minor"/>
    </font>
    <font>
      <b/>
      <i/>
      <sz val="11"/>
      <color theme="1"/>
      <name val="Calibri"/>
      <family val="2"/>
      <scheme val="minor"/>
    </font>
    <font>
      <b/>
      <i/>
      <sz val="18"/>
      <color theme="1"/>
      <name val="Calibri"/>
      <family val="2"/>
      <scheme val="minor"/>
    </font>
    <font>
      <b/>
      <sz val="10"/>
      <color theme="0"/>
      <name val="Calibri"/>
      <family val="2"/>
      <scheme val="minor"/>
    </font>
    <font>
      <i/>
      <strike/>
      <sz val="11"/>
      <color rgb="FFFF0000"/>
      <name val="Calibri"/>
      <family val="2"/>
      <scheme val="minor"/>
    </font>
    <font>
      <b/>
      <sz val="18"/>
      <color rgb="FFFFFFFF"/>
      <name val="Calibri"/>
    </font>
    <font>
      <b/>
      <sz val="10"/>
      <color rgb="FFFFFFFF"/>
      <name val="Calibri"/>
    </font>
  </fonts>
  <fills count="12">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rgb="FF5A8A26"/>
        <bgColor indexed="64"/>
      </patternFill>
    </fill>
    <fill>
      <patternFill patternType="solid">
        <fgColor theme="7"/>
        <bgColor indexed="64"/>
      </patternFill>
    </fill>
    <fill>
      <patternFill patternType="solid">
        <fgColor rgb="FFC0E399"/>
        <bgColor indexed="64"/>
      </patternFill>
    </fill>
    <fill>
      <patternFill patternType="solid">
        <fgColor rgb="FF00B0F0"/>
        <bgColor indexed="64"/>
      </patternFill>
    </fill>
    <fill>
      <patternFill patternType="solid">
        <fgColor rgb="FF43661C"/>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right/>
      <top style="hair">
        <color indexed="64"/>
      </top>
      <bottom/>
      <diagonal/>
    </border>
    <border>
      <left/>
      <right style="medium">
        <color indexed="64"/>
      </right>
      <top style="thin">
        <color indexed="64"/>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style="hair">
        <color indexed="64"/>
      </left>
      <right style="hair">
        <color indexed="64"/>
      </right>
      <top style="thin">
        <color indexed="64"/>
      </top>
      <bottom style="hair">
        <color indexed="64"/>
      </bottom>
      <diagonal style="thin">
        <color indexed="64"/>
      </diagonal>
    </border>
    <border diagonalUp="1" diagonalDown="1">
      <left style="hair">
        <color indexed="64"/>
      </left>
      <right/>
      <top style="thin">
        <color indexed="64"/>
      </top>
      <bottom style="hair">
        <color indexed="64"/>
      </bottom>
      <diagonal style="thin">
        <color indexed="64"/>
      </diagonal>
    </border>
    <border diagonalUp="1" diagonalDown="1">
      <left style="hair">
        <color indexed="64"/>
      </left>
      <right style="medium">
        <color indexed="64"/>
      </right>
      <top style="thin">
        <color indexed="64"/>
      </top>
      <bottom style="hair">
        <color indexed="64"/>
      </bottom>
      <diagonal style="thin">
        <color indexed="64"/>
      </diagonal>
    </border>
    <border diagonalUp="1" diagonalDown="1">
      <left/>
      <right style="hair">
        <color indexed="64"/>
      </right>
      <top style="hair">
        <color indexed="64"/>
      </top>
      <bottom style="hair">
        <color indexed="64"/>
      </bottom>
      <diagonal style="thin">
        <color indexed="64"/>
      </diagonal>
    </border>
    <border diagonalUp="1" diagonalDown="1">
      <left/>
      <right/>
      <top style="hair">
        <color indexed="64"/>
      </top>
      <bottom style="hair">
        <color indexed="64"/>
      </bottom>
      <diagonal style="thin">
        <color indexed="64"/>
      </diagonal>
    </border>
    <border diagonalUp="1" diagonalDown="1">
      <left style="hair">
        <color indexed="64"/>
      </left>
      <right style="medium">
        <color indexed="64"/>
      </right>
      <top style="hair">
        <color indexed="64"/>
      </top>
      <bottom style="hair">
        <color indexed="64"/>
      </bottom>
      <diagonal style="thin">
        <color indexed="64"/>
      </diagonal>
    </border>
    <border diagonalUp="1" diagonalDown="1">
      <left style="hair">
        <color indexed="64"/>
      </left>
      <right style="hair">
        <color indexed="64"/>
      </right>
      <top style="hair">
        <color indexed="64"/>
      </top>
      <bottom style="hair">
        <color indexed="64"/>
      </bottom>
      <diagonal style="thin">
        <color indexed="64"/>
      </diagonal>
    </border>
    <border diagonalUp="1" diagonalDown="1">
      <left style="hair">
        <color indexed="64"/>
      </left>
      <right/>
      <top style="hair">
        <color indexed="64"/>
      </top>
      <bottom style="hair">
        <color indexed="64"/>
      </bottom>
      <diagonal style="thin">
        <color indexed="64"/>
      </diagonal>
    </border>
    <border diagonalUp="1" diagonalDown="1">
      <left/>
      <right/>
      <top/>
      <bottom/>
      <diagonal style="thin">
        <color indexed="64"/>
      </diagonal>
    </border>
    <border>
      <left/>
      <right/>
      <top style="thin">
        <color indexed="64"/>
      </top>
      <bottom/>
      <diagonal/>
    </border>
    <border>
      <left style="hair">
        <color indexed="64"/>
      </left>
      <right/>
      <top style="thin">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51">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3" xfId="0" applyFill="1" applyBorder="1"/>
    <xf numFmtId="0" fontId="0" fillId="0" borderId="5" xfId="0" applyBorder="1"/>
    <xf numFmtId="0" fontId="0" fillId="0" borderId="9" xfId="0" applyBorder="1"/>
    <xf numFmtId="0" fontId="0" fillId="0" borderId="5" xfId="0" applyBorder="1" applyAlignment="1">
      <alignment textRotation="90" wrapText="1"/>
    </xf>
    <xf numFmtId="0" fontId="0" fillId="0" borderId="1" xfId="0" applyBorder="1" applyAlignment="1">
      <alignment textRotation="90" wrapText="1"/>
    </xf>
    <xf numFmtId="0" fontId="0" fillId="0" borderId="2" xfId="0" applyBorder="1" applyAlignment="1">
      <alignment textRotation="90" wrapText="1"/>
    </xf>
    <xf numFmtId="0" fontId="0" fillId="0" borderId="5" xfId="0" applyBorder="1" applyAlignment="1">
      <alignment horizontal="center" textRotation="90" wrapText="1"/>
    </xf>
    <xf numFmtId="0" fontId="0" fillId="0" borderId="1" xfId="0" applyBorder="1" applyAlignment="1">
      <alignment horizontal="center" textRotation="90" wrapText="1"/>
    </xf>
    <xf numFmtId="0" fontId="0" fillId="0" borderId="6"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3" borderId="1" xfId="0" applyFill="1" applyBorder="1"/>
    <xf numFmtId="0" fontId="0" fillId="0" borderId="27" xfId="0" applyBorder="1" applyAlignment="1">
      <alignment horizontal="center"/>
    </xf>
    <xf numFmtId="164" fontId="0" fillId="0" borderId="20" xfId="0" applyNumberFormat="1" applyBorder="1" applyAlignment="1">
      <alignment horizontal="center"/>
    </xf>
    <xf numFmtId="164" fontId="0" fillId="0" borderId="19" xfId="0" applyNumberFormat="1" applyBorder="1" applyAlignment="1">
      <alignment horizontal="center"/>
    </xf>
    <xf numFmtId="0" fontId="4" fillId="2" borderId="7" xfId="0" applyFont="1" applyFill="1" applyBorder="1"/>
    <xf numFmtId="0" fontId="0" fillId="4" borderId="1" xfId="0" applyFill="1" applyBorder="1"/>
    <xf numFmtId="0" fontId="0" fillId="0" borderId="10" xfId="0" applyBorder="1" applyAlignment="1">
      <alignment textRotation="90" wrapText="1"/>
    </xf>
    <xf numFmtId="0" fontId="0" fillId="0" borderId="11" xfId="0" applyBorder="1" applyAlignment="1">
      <alignment textRotation="90" wrapText="1"/>
    </xf>
    <xf numFmtId="0" fontId="0" fillId="0" borderId="12" xfId="0" applyBorder="1" applyAlignment="1">
      <alignment textRotation="90" wrapText="1"/>
    </xf>
    <xf numFmtId="0" fontId="0" fillId="0" borderId="10" xfId="0" applyBorder="1" applyAlignment="1">
      <alignment horizontal="center" textRotation="90" wrapText="1"/>
    </xf>
    <xf numFmtId="0" fontId="0" fillId="0" borderId="11" xfId="0" applyBorder="1" applyAlignment="1">
      <alignment horizontal="center" textRotation="90" wrapText="1"/>
    </xf>
    <xf numFmtId="0" fontId="0" fillId="0" borderId="12" xfId="0" applyBorder="1" applyAlignment="1">
      <alignment horizontal="center" textRotation="90" wrapText="1"/>
    </xf>
    <xf numFmtId="0" fontId="0" fillId="0" borderId="13" xfId="0" applyBorder="1" applyAlignment="1">
      <alignment horizontal="center" textRotation="90" wrapText="1"/>
    </xf>
    <xf numFmtId="0" fontId="0" fillId="0" borderId="14" xfId="0" applyBorder="1" applyAlignment="1">
      <alignment horizontal="center" textRotation="90" wrapText="1"/>
    </xf>
    <xf numFmtId="0" fontId="0" fillId="5" borderId="15" xfId="0" applyFill="1" applyBorder="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0" fillId="5" borderId="28" xfId="0" applyFill="1" applyBorder="1" applyAlignment="1">
      <alignment horizontal="center"/>
    </xf>
    <xf numFmtId="0" fontId="3" fillId="6" borderId="0" xfId="0" applyFont="1" applyFill="1"/>
    <xf numFmtId="0" fontId="0" fillId="6" borderId="0" xfId="0" applyFill="1"/>
    <xf numFmtId="0" fontId="0" fillId="6" borderId="0" xfId="0" applyFill="1" applyAlignment="1">
      <alignment wrapText="1"/>
    </xf>
    <xf numFmtId="0" fontId="0" fillId="6" borderId="29" xfId="0" applyFill="1" applyBorder="1"/>
    <xf numFmtId="0" fontId="0" fillId="6" borderId="10" xfId="0" applyFill="1" applyBorder="1" applyAlignment="1">
      <alignment horizontal="center" textRotation="90" wrapText="1"/>
    </xf>
    <xf numFmtId="0" fontId="0" fillId="6" borderId="11" xfId="0" applyFill="1" applyBorder="1" applyAlignment="1">
      <alignment horizontal="center" textRotation="90" wrapText="1"/>
    </xf>
    <xf numFmtId="0" fontId="0" fillId="6" borderId="12" xfId="0" applyFill="1" applyBorder="1" applyAlignment="1">
      <alignment horizontal="center" textRotation="90" wrapText="1"/>
    </xf>
    <xf numFmtId="0" fontId="0" fillId="6" borderId="13" xfId="0" applyFill="1" applyBorder="1" applyAlignment="1">
      <alignment horizontal="center" textRotation="90" wrapText="1"/>
    </xf>
    <xf numFmtId="0" fontId="0" fillId="6" borderId="14" xfId="0" applyFill="1" applyBorder="1" applyAlignment="1">
      <alignment horizontal="center" textRotation="90" wrapText="1"/>
    </xf>
    <xf numFmtId="0" fontId="0" fillId="6" borderId="9" xfId="0" applyFill="1" applyBorder="1"/>
    <xf numFmtId="0" fontId="0" fillId="6" borderId="5" xfId="0" applyFill="1" applyBorder="1" applyAlignment="1">
      <alignment horizontal="center" textRotation="90" wrapText="1"/>
    </xf>
    <xf numFmtId="0" fontId="0" fillId="6" borderId="1" xfId="0" applyFill="1" applyBorder="1" applyAlignment="1">
      <alignment horizontal="center" textRotation="90" wrapText="1"/>
    </xf>
    <xf numFmtId="0" fontId="0" fillId="6" borderId="2" xfId="0" applyFill="1" applyBorder="1" applyAlignment="1">
      <alignment horizontal="center" textRotation="90" wrapText="1"/>
    </xf>
    <xf numFmtId="0" fontId="0" fillId="6" borderId="6" xfId="0" applyFill="1" applyBorder="1" applyAlignment="1">
      <alignment horizontal="center" textRotation="90" wrapText="1"/>
    </xf>
    <xf numFmtId="0" fontId="0" fillId="6" borderId="4" xfId="0" applyFill="1" applyBorder="1" applyAlignment="1">
      <alignment horizontal="center" textRotation="90" wrapText="1"/>
    </xf>
    <xf numFmtId="0" fontId="0" fillId="6" borderId="5" xfId="0" applyFill="1" applyBorder="1" applyAlignment="1">
      <alignment horizontal="center" wrapText="1"/>
    </xf>
    <xf numFmtId="0" fontId="0" fillId="6" borderId="1" xfId="0" applyFill="1" applyBorder="1" applyAlignment="1">
      <alignment horizontal="center" wrapText="1"/>
    </xf>
    <xf numFmtId="0" fontId="0" fillId="6" borderId="2" xfId="0" applyFill="1" applyBorder="1" applyAlignment="1">
      <alignment horizontal="center" wrapText="1"/>
    </xf>
    <xf numFmtId="0" fontId="0" fillId="6" borderId="6" xfId="0" applyFill="1" applyBorder="1" applyAlignment="1">
      <alignment horizontal="center" wrapText="1"/>
    </xf>
    <xf numFmtId="0" fontId="0" fillId="6" borderId="4" xfId="0" applyFill="1" applyBorder="1" applyAlignment="1">
      <alignment horizontal="center" wrapText="1"/>
    </xf>
    <xf numFmtId="164" fontId="0" fillId="6" borderId="30" xfId="0" applyNumberFormat="1" applyFill="1" applyBorder="1"/>
    <xf numFmtId="164" fontId="0" fillId="6" borderId="18" xfId="1" applyNumberFormat="1" applyFont="1" applyFill="1" applyBorder="1" applyAlignment="1">
      <alignment horizontal="center" wrapText="1"/>
    </xf>
    <xf numFmtId="164" fontId="0" fillId="6" borderId="19" xfId="1" applyNumberFormat="1" applyFont="1" applyFill="1" applyBorder="1" applyAlignment="1">
      <alignment horizontal="center" wrapText="1"/>
    </xf>
    <xf numFmtId="164" fontId="0" fillId="6" borderId="27" xfId="1" applyNumberFormat="1" applyFont="1" applyFill="1" applyBorder="1" applyAlignment="1">
      <alignment horizontal="center" wrapText="1"/>
    </xf>
    <xf numFmtId="164" fontId="0" fillId="6" borderId="20" xfId="1" applyNumberFormat="1" applyFont="1" applyFill="1" applyBorder="1" applyAlignment="1">
      <alignment horizontal="center" wrapText="1"/>
    </xf>
    <xf numFmtId="164" fontId="0" fillId="6" borderId="31" xfId="0" applyNumberFormat="1" applyFill="1" applyBorder="1"/>
    <xf numFmtId="164" fontId="0" fillId="6" borderId="21" xfId="1" applyNumberFormat="1" applyFont="1" applyFill="1" applyBorder="1" applyAlignment="1">
      <alignment horizontal="center" wrapText="1"/>
    </xf>
    <xf numFmtId="164" fontId="0" fillId="6" borderId="22" xfId="1" applyNumberFormat="1" applyFont="1" applyFill="1" applyBorder="1" applyAlignment="1">
      <alignment horizontal="center" wrapText="1"/>
    </xf>
    <xf numFmtId="164" fontId="0" fillId="6" borderId="26" xfId="1" applyNumberFormat="1" applyFont="1" applyFill="1" applyBorder="1" applyAlignment="1">
      <alignment horizontal="center" wrapText="1"/>
    </xf>
    <xf numFmtId="164" fontId="0" fillId="6" borderId="0" xfId="0" applyNumberFormat="1" applyFill="1"/>
    <xf numFmtId="164" fontId="0" fillId="6" borderId="0" xfId="1" applyNumberFormat="1" applyFont="1" applyFill="1" applyBorder="1" applyAlignment="1">
      <alignment horizontal="center" wrapText="1"/>
    </xf>
    <xf numFmtId="164" fontId="0" fillId="6" borderId="8" xfId="0" applyNumberFormat="1" applyFill="1" applyBorder="1"/>
    <xf numFmtId="164" fontId="0" fillId="6" borderId="23" xfId="0" applyNumberFormat="1" applyFill="1" applyBorder="1"/>
    <xf numFmtId="164" fontId="0" fillId="6" borderId="24" xfId="1" applyNumberFormat="1" applyFont="1" applyFill="1" applyBorder="1" applyAlignment="1">
      <alignment horizontal="center" wrapText="1"/>
    </xf>
    <xf numFmtId="164" fontId="0" fillId="6" borderId="25" xfId="1" applyNumberFormat="1" applyFont="1" applyFill="1" applyBorder="1" applyAlignment="1">
      <alignment horizontal="center" wrapText="1"/>
    </xf>
    <xf numFmtId="0" fontId="0" fillId="6" borderId="0" xfId="0" applyFill="1" applyAlignment="1">
      <alignment horizontal="center" wrapText="1"/>
    </xf>
    <xf numFmtId="0" fontId="9"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7" fillId="0" borderId="0" xfId="0" quotePrefix="1" applyFont="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6" fillId="0" borderId="1" xfId="0" applyFont="1" applyBorder="1" applyAlignment="1">
      <alignment vertical="center" wrapText="1"/>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0" fontId="10" fillId="11" borderId="1" xfId="0" applyFont="1" applyFill="1" applyBorder="1" applyAlignment="1">
      <alignment vertical="center" wrapText="1"/>
    </xf>
    <xf numFmtId="0" fontId="4" fillId="10" borderId="1" xfId="0" applyFont="1" applyFill="1" applyBorder="1" applyAlignment="1">
      <alignment vertical="center" wrapText="1"/>
    </xf>
    <xf numFmtId="0" fontId="4" fillId="9" borderId="1" xfId="0" applyFont="1" applyFill="1" applyBorder="1" applyAlignment="1">
      <alignment vertical="center" wrapText="1"/>
    </xf>
    <xf numFmtId="0" fontId="14" fillId="8" borderId="1" xfId="0" applyFont="1" applyFill="1" applyBorder="1" applyAlignment="1">
      <alignment vertical="center" wrapText="1"/>
    </xf>
    <xf numFmtId="0" fontId="4" fillId="4" borderId="1" xfId="0" applyFont="1" applyFill="1" applyBorder="1" applyAlignment="1">
      <alignment vertical="center" wrapText="1"/>
    </xf>
    <xf numFmtId="0" fontId="15" fillId="2" borderId="1" xfId="0" applyFont="1" applyFill="1" applyBorder="1" applyAlignment="1">
      <alignment vertical="center" wrapText="1"/>
    </xf>
    <xf numFmtId="0" fontId="10" fillId="7" borderId="1" xfId="0" applyFont="1" applyFill="1" applyBorder="1" applyAlignment="1">
      <alignment vertical="center" wrapText="1"/>
    </xf>
    <xf numFmtId="0" fontId="8" fillId="0" borderId="0" xfId="0" applyFont="1" applyAlignment="1">
      <alignment vertical="center"/>
    </xf>
    <xf numFmtId="0" fontId="13" fillId="0" borderId="0" xfId="0" applyFont="1" applyAlignment="1">
      <alignment vertical="center" wrapText="1"/>
    </xf>
    <xf numFmtId="0" fontId="4" fillId="4"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0" fillId="0" borderId="1" xfId="0" quotePrefix="1" applyBorder="1" applyAlignment="1">
      <alignment vertical="center" wrapText="1"/>
    </xf>
    <xf numFmtId="0" fontId="16" fillId="2" borderId="1" xfId="0" applyFont="1" applyFill="1" applyBorder="1" applyAlignment="1">
      <alignment vertical="center" wrapText="1"/>
    </xf>
    <xf numFmtId="0" fontId="11" fillId="4" borderId="1" xfId="0" applyFont="1" applyFill="1" applyBorder="1" applyAlignment="1">
      <alignment vertical="center" wrapText="1"/>
    </xf>
    <xf numFmtId="0" fontId="12" fillId="7" borderId="1" xfId="0" applyFont="1" applyFill="1" applyBorder="1" applyAlignment="1">
      <alignment vertical="center" wrapText="1"/>
    </xf>
    <xf numFmtId="0" fontId="11" fillId="9" borderId="1" xfId="0" applyFont="1" applyFill="1" applyBorder="1" applyAlignment="1">
      <alignment vertical="center" wrapText="1"/>
    </xf>
    <xf numFmtId="0" fontId="11" fillId="10" borderId="1" xfId="0" applyFont="1" applyFill="1" applyBorder="1" applyAlignment="1">
      <alignment vertical="center" wrapText="1"/>
    </xf>
    <xf numFmtId="0" fontId="12" fillId="11" borderId="1" xfId="0" applyFont="1" applyFill="1" applyBorder="1" applyAlignment="1">
      <alignment vertical="center" wrapText="1"/>
    </xf>
    <xf numFmtId="0" fontId="6" fillId="0" borderId="1" xfId="0" applyFont="1" applyBorder="1" applyAlignment="1">
      <alignment horizontal="left" wrapText="1"/>
    </xf>
    <xf numFmtId="0" fontId="6" fillId="6" borderId="1" xfId="0" applyFont="1" applyFill="1" applyBorder="1" applyAlignment="1">
      <alignment horizontal="left" wrapText="1"/>
    </xf>
    <xf numFmtId="0" fontId="0" fillId="0" borderId="32" xfId="0" applyBorder="1" applyAlignment="1">
      <alignment horizontal="center" textRotation="90" wrapText="1"/>
    </xf>
    <xf numFmtId="0" fontId="0" fillId="0" borderId="33" xfId="0" applyBorder="1" applyAlignment="1">
      <alignment horizontal="center" textRotation="90" wrapText="1"/>
    </xf>
    <xf numFmtId="0" fontId="0" fillId="0" borderId="32" xfId="0" applyBorder="1" applyAlignment="1">
      <alignment horizontal="center"/>
    </xf>
    <xf numFmtId="0" fontId="0" fillId="0" borderId="33" xfId="0" applyBorder="1" applyAlignment="1">
      <alignment horizontal="center"/>
    </xf>
    <xf numFmtId="0" fontId="0" fillId="2" borderId="34" xfId="0" applyFill="1" applyBorder="1" applyAlignment="1">
      <alignment horizontal="center"/>
    </xf>
    <xf numFmtId="0" fontId="0" fillId="5" borderId="35" xfId="0" applyFill="1" applyBorder="1" applyAlignment="1">
      <alignment horizontal="center"/>
    </xf>
    <xf numFmtId="0" fontId="0" fillId="5" borderId="36" xfId="0" applyFill="1" applyBorder="1" applyAlignment="1">
      <alignment horizontal="center"/>
    </xf>
    <xf numFmtId="0" fontId="0" fillId="5" borderId="37" xfId="0"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164" fontId="0" fillId="0" borderId="40" xfId="0" applyNumberFormat="1" applyBorder="1" applyAlignment="1">
      <alignment horizontal="center"/>
    </xf>
    <xf numFmtId="0" fontId="0" fillId="0" borderId="43" xfId="0" applyBorder="1" applyAlignment="1">
      <alignment horizontal="center"/>
    </xf>
    <xf numFmtId="0" fontId="18" fillId="0" borderId="1" xfId="0" applyFont="1" applyBorder="1" applyAlignment="1">
      <alignment horizontal="center" vertical="center" wrapText="1"/>
    </xf>
    <xf numFmtId="0" fontId="0" fillId="5" borderId="45" xfId="0" applyFill="1" applyBorder="1" applyAlignment="1">
      <alignment horizontal="center"/>
    </xf>
    <xf numFmtId="0" fontId="19" fillId="7" borderId="1" xfId="0" applyFont="1" applyFill="1" applyBorder="1" applyAlignment="1">
      <alignment vertical="center" wrapText="1"/>
    </xf>
    <xf numFmtId="0" fontId="16" fillId="2" borderId="2"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16" fillId="2" borderId="4"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7" fillId="0" borderId="46" xfId="0" quotePrefix="1" applyFont="1" applyBorder="1" applyAlignment="1">
      <alignment horizontal="left" vertical="center" wrapText="1"/>
    </xf>
    <xf numFmtId="0" fontId="7" fillId="0" borderId="44" xfId="0" quotePrefix="1" applyFont="1" applyBorder="1" applyAlignment="1">
      <alignment horizontal="left" vertical="center" wrapText="1"/>
    </xf>
    <xf numFmtId="0" fontId="7" fillId="0" borderId="47" xfId="0" quotePrefix="1" applyFont="1" applyBorder="1" applyAlignment="1">
      <alignment horizontal="left" vertical="center" wrapText="1"/>
    </xf>
    <xf numFmtId="0" fontId="7" fillId="0" borderId="48" xfId="0" quotePrefix="1" applyFont="1" applyBorder="1" applyAlignment="1">
      <alignment horizontal="left" vertical="center" wrapText="1"/>
    </xf>
    <xf numFmtId="0" fontId="7" fillId="0" borderId="0" xfId="0" quotePrefix="1" applyFont="1" applyAlignment="1">
      <alignment horizontal="left" vertical="center" wrapText="1"/>
    </xf>
    <xf numFmtId="0" fontId="7" fillId="0" borderId="49" xfId="0" quotePrefix="1" applyFont="1" applyBorder="1" applyAlignment="1">
      <alignment horizontal="left" vertical="center" wrapText="1"/>
    </xf>
    <xf numFmtId="0" fontId="7" fillId="0" borderId="50" xfId="0" quotePrefix="1" applyFont="1" applyBorder="1" applyAlignment="1">
      <alignment horizontal="left" vertical="center" wrapText="1"/>
    </xf>
    <xf numFmtId="0" fontId="7" fillId="0" borderId="51" xfId="0" quotePrefix="1" applyFont="1" applyBorder="1" applyAlignment="1">
      <alignment horizontal="left" vertical="center" wrapText="1"/>
    </xf>
    <xf numFmtId="0" fontId="7" fillId="0" borderId="52" xfId="0" quotePrefix="1"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colors>
    <mruColors>
      <color rgb="FF43661C"/>
      <color rgb="FFC0E399"/>
      <color rgb="FF5A8A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skills versus ambition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Huidig</c:v>
          </c:tx>
          <c:spPr>
            <a:ln w="28575" cap="rnd">
              <a:solidFill>
                <a:schemeClr val="accent6"/>
              </a:solidFill>
              <a:round/>
            </a:ln>
            <a:effectLst/>
          </c:spPr>
          <c:marker>
            <c:symbol val="none"/>
          </c:marker>
          <c:cat>
            <c:strRef>
              <c:f>('Results (DO NOT EDIT!!)'!$B$1,'Results (DO NOT EDIT!!)'!$H$1,'Results (DO NOT EDIT!!)'!$N$1,'Results (DO NOT EDIT!!)'!$T$1,'Results (DO NOT EDIT!!)'!$Y$1,'Results (DO NOT EDIT!!)'!$AD$1)</c:f>
              <c:strCache>
                <c:ptCount val="6"/>
                <c:pt idx="0">
                  <c:v>Digital Power Basic Skills</c:v>
                </c:pt>
                <c:pt idx="1">
                  <c:v>Domain Skills</c:v>
                </c:pt>
                <c:pt idx="2">
                  <c:v>Hardskills</c:v>
                </c:pt>
                <c:pt idx="3">
                  <c:v>Basic Consultancy Skills</c:v>
                </c:pt>
                <c:pt idx="4">
                  <c:v>Business Skills</c:v>
                </c:pt>
                <c:pt idx="5">
                  <c:v>Expert Consultancy Skills</c:v>
                </c:pt>
              </c:strCache>
            </c:strRef>
          </c:cat>
          <c:val>
            <c:numRef>
              <c:f>('Results (DO NOT EDIT!!)'!$G$5,'Results (DO NOT EDIT!!)'!$J$5,'Results (DO NOT EDIT!!)'!$R$5,'Results (DO NOT EDIT!!)'!$X$5,'Results (DO NOT EDIT!!)'!$AC$5,'Results (DO NOT EDIT!!)'!$AH$5)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5BA-4625-A9B8-C580A2F73E64}"/>
            </c:ext>
          </c:extLst>
        </c:ser>
        <c:ser>
          <c:idx val="1"/>
          <c:order val="1"/>
          <c:tx>
            <c:v>Ambitie</c:v>
          </c:tx>
          <c:spPr>
            <a:ln w="28575" cap="rnd">
              <a:solidFill>
                <a:schemeClr val="accent5"/>
              </a:solidFill>
              <a:round/>
            </a:ln>
            <a:effectLst/>
          </c:spPr>
          <c:marker>
            <c:symbol val="none"/>
          </c:marker>
          <c:cat>
            <c:strRef>
              <c:f>('Results (DO NOT EDIT!!)'!$B$1,'Results (DO NOT EDIT!!)'!$H$1,'Results (DO NOT EDIT!!)'!$N$1,'Results (DO NOT EDIT!!)'!$T$1,'Results (DO NOT EDIT!!)'!$Y$1,'Results (DO NOT EDIT!!)'!$AD$1)</c:f>
              <c:strCache>
                <c:ptCount val="6"/>
                <c:pt idx="0">
                  <c:v>Digital Power Basic Skills</c:v>
                </c:pt>
                <c:pt idx="1">
                  <c:v>Domain Skills</c:v>
                </c:pt>
                <c:pt idx="2">
                  <c:v>Hardskills</c:v>
                </c:pt>
                <c:pt idx="3">
                  <c:v>Basic Consultancy Skills</c:v>
                </c:pt>
                <c:pt idx="4">
                  <c:v>Business Skills</c:v>
                </c:pt>
                <c:pt idx="5">
                  <c:v>Expert Consultancy Skills</c:v>
                </c:pt>
              </c:strCache>
            </c:strRef>
          </c:cat>
          <c:val>
            <c:numRef>
              <c:f>('Results (DO NOT EDIT!!)'!$G$8,'Results (DO NOT EDIT!!)'!$J$8,'Results (DO NOT EDIT!!)'!$R$8,'Results (DO NOT EDIT!!)'!$X$8,'Results (DO NOT EDIT!!)'!$AC$8,'Results (DO NOT EDIT!!)'!$AH$8)</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5BA-4625-A9B8-C580A2F73E64}"/>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Power Basic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EDIT!!)'!$B$2:$G$2</c:f>
              <c:strCache>
                <c:ptCount val="6"/>
                <c:pt idx="0">
                  <c:v>Learning &amp; reflection</c:v>
                </c:pt>
                <c:pt idx="1">
                  <c:v>Support &amp; collaboration</c:v>
                </c:pt>
                <c:pt idx="2">
                  <c:v>Entrepreneurial &amp; result-oriented</c:v>
                </c:pt>
                <c:pt idx="3">
                  <c:v>Customer-oriented</c:v>
                </c:pt>
                <c:pt idx="4">
                  <c:v>Knowledge sharing</c:v>
                </c:pt>
                <c:pt idx="5">
                  <c:v>Coaching &amp; guidance</c:v>
                </c:pt>
              </c:strCache>
            </c:strRef>
          </c:cat>
          <c:val>
            <c:numRef>
              <c:f>'Results (DO NOT EDIT!!)'!$B$4:$G$4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5D7-42BA-BBE3-A651293613B5}"/>
            </c:ext>
          </c:extLst>
        </c:ser>
        <c:ser>
          <c:idx val="1"/>
          <c:order val="1"/>
          <c:tx>
            <c:v>Ambition</c:v>
          </c:tx>
          <c:spPr>
            <a:ln w="28575" cap="rnd">
              <a:solidFill>
                <a:schemeClr val="accent5"/>
              </a:solidFill>
              <a:round/>
            </a:ln>
            <a:effectLst/>
          </c:spPr>
          <c:marker>
            <c:symbol val="none"/>
          </c:marker>
          <c:cat>
            <c:strRef>
              <c:f>'Results (DO NOT EDIT!!)'!$B$2:$G$2</c:f>
              <c:strCache>
                <c:ptCount val="6"/>
                <c:pt idx="0">
                  <c:v>Learning &amp; reflection</c:v>
                </c:pt>
                <c:pt idx="1">
                  <c:v>Support &amp; collaboration</c:v>
                </c:pt>
                <c:pt idx="2">
                  <c:v>Entrepreneurial &amp; result-oriented</c:v>
                </c:pt>
                <c:pt idx="3">
                  <c:v>Customer-oriented</c:v>
                </c:pt>
                <c:pt idx="4">
                  <c:v>Knowledge sharing</c:v>
                </c:pt>
                <c:pt idx="5">
                  <c:v>Coaching &amp; guidance</c:v>
                </c:pt>
              </c:strCache>
            </c:strRef>
          </c:cat>
          <c:val>
            <c:numRef>
              <c:f>'Results (DO NOT EDIT!!)'!$B$7:$G$7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5D7-42BA-BBE3-A651293613B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EDIT!!)'!$H$2:$M$2</c:f>
              <c:strCache>
                <c:ptCount val="3"/>
                <c:pt idx="0">
                  <c:v>Communication developers/ analysts</c:v>
                </c:pt>
                <c:pt idx="1">
                  <c:v>Tagging trends in domain</c:v>
                </c:pt>
                <c:pt idx="2">
                  <c:v>Requirements</c:v>
                </c:pt>
              </c:strCache>
            </c:strRef>
          </c:cat>
          <c:val>
            <c:numRef>
              <c:f>'Results (DO NOT EDIT!!)'!$H$4:$M$4</c:f>
              <c:numCache>
                <c:formatCode>0.0</c:formatCode>
                <c:ptCount val="3"/>
                <c:pt idx="0">
                  <c:v>0</c:v>
                </c:pt>
                <c:pt idx="1">
                  <c:v>0</c:v>
                </c:pt>
                <c:pt idx="2">
                  <c:v>0</c:v>
                </c:pt>
              </c:numCache>
            </c:numRef>
          </c:val>
          <c:extLst>
            <c:ext xmlns:c16="http://schemas.microsoft.com/office/drawing/2014/chart" uri="{C3380CC4-5D6E-409C-BE32-E72D297353CC}">
              <c16:uniqueId val="{00000000-4121-458C-ABA3-856BD7FC94F5}"/>
            </c:ext>
          </c:extLst>
        </c:ser>
        <c:ser>
          <c:idx val="1"/>
          <c:order val="1"/>
          <c:tx>
            <c:v>Ambition</c:v>
          </c:tx>
          <c:spPr>
            <a:ln w="28575" cap="rnd">
              <a:solidFill>
                <a:schemeClr val="accent5"/>
              </a:solidFill>
              <a:round/>
            </a:ln>
            <a:effectLst/>
          </c:spPr>
          <c:marker>
            <c:symbol val="none"/>
          </c:marker>
          <c:cat>
            <c:strRef>
              <c:f>'Results (DO NOT EDIT!!)'!$H$2:$M$2</c:f>
              <c:strCache>
                <c:ptCount val="3"/>
                <c:pt idx="0">
                  <c:v>Communication developers/ analysts</c:v>
                </c:pt>
                <c:pt idx="1">
                  <c:v>Tagging trends in domain</c:v>
                </c:pt>
                <c:pt idx="2">
                  <c:v>Requirements</c:v>
                </c:pt>
              </c:strCache>
            </c:strRef>
          </c:cat>
          <c:val>
            <c:numRef>
              <c:f>'Results (DO NOT EDIT!!)'!$H$7:$M$7</c:f>
              <c:numCache>
                <c:formatCode>0.0</c:formatCode>
                <c:ptCount val="3"/>
                <c:pt idx="0">
                  <c:v>0</c:v>
                </c:pt>
                <c:pt idx="1">
                  <c:v>0</c:v>
                </c:pt>
                <c:pt idx="2">
                  <c:v>0</c:v>
                </c:pt>
              </c:numCache>
            </c:numRef>
          </c:val>
          <c:extLst>
            <c:ext xmlns:c16="http://schemas.microsoft.com/office/drawing/2014/chart" uri="{C3380CC4-5D6E-409C-BE32-E72D297353CC}">
              <c16:uniqueId val="{00000001-4121-458C-ABA3-856BD7FC94F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EDIT!!)'!$N$2:$S$2</c:f>
              <c:strCache>
                <c:ptCount val="5"/>
                <c:pt idx="0">
                  <c:v>Analytics (management/ admin) knowledge</c:v>
                </c:pt>
                <c:pt idx="1">
                  <c:v>Tag management</c:v>
                </c:pt>
                <c:pt idx="2">
                  <c:v>Data structures, tagplan, datalayer</c:v>
                </c:pt>
                <c:pt idx="3">
                  <c:v>Debugging</c:v>
                </c:pt>
                <c:pt idx="4">
                  <c:v>Programming</c:v>
                </c:pt>
              </c:strCache>
            </c:strRef>
          </c:cat>
          <c:val>
            <c:numRef>
              <c:f>'Results (DO NOT EDIT!!)'!$N$4:$S$4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F4D2-4679-8459-1DD705E21CE1}"/>
            </c:ext>
          </c:extLst>
        </c:ser>
        <c:ser>
          <c:idx val="1"/>
          <c:order val="1"/>
          <c:tx>
            <c:v>Ambition</c:v>
          </c:tx>
          <c:spPr>
            <a:ln w="28575" cap="rnd">
              <a:solidFill>
                <a:schemeClr val="accent5"/>
              </a:solidFill>
              <a:round/>
            </a:ln>
            <a:effectLst/>
          </c:spPr>
          <c:marker>
            <c:symbol val="none"/>
          </c:marker>
          <c:cat>
            <c:strRef>
              <c:f>'Results (DO NOT EDIT!!)'!$N$2:$S$2</c:f>
              <c:strCache>
                <c:ptCount val="5"/>
                <c:pt idx="0">
                  <c:v>Analytics (management/ admin) knowledge</c:v>
                </c:pt>
                <c:pt idx="1">
                  <c:v>Tag management</c:v>
                </c:pt>
                <c:pt idx="2">
                  <c:v>Data structures, tagplan, datalayer</c:v>
                </c:pt>
                <c:pt idx="3">
                  <c:v>Debugging</c:v>
                </c:pt>
                <c:pt idx="4">
                  <c:v>Programming</c:v>
                </c:pt>
              </c:strCache>
            </c:strRef>
          </c:cat>
          <c:val>
            <c:numRef>
              <c:f>'Results (DO NOT EDIT!!)'!$N$7:$S$7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F4D2-4679-8459-1DD705E21CE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a:t>
            </a:r>
            <a:r>
              <a:rPr lang="en-US" baseline="0"/>
              <a:t> Consultancy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EDIT!!)'!$T$2:$X$2</c:f>
              <c:strCache>
                <c:ptCount val="5"/>
                <c:pt idx="0">
                  <c:v>Advising</c:v>
                </c:pt>
                <c:pt idx="1">
                  <c:v>Decisive &amp; problem-solving </c:v>
                </c:pt>
                <c:pt idx="2">
                  <c:v>Interpersonal communication</c:v>
                </c:pt>
                <c:pt idx="3">
                  <c:v>Expectation management</c:v>
                </c:pt>
                <c:pt idx="4">
                  <c:v>Written and oral communication</c:v>
                </c:pt>
              </c:strCache>
            </c:strRef>
          </c:cat>
          <c:val>
            <c:numRef>
              <c:f>'Results (DO NOT EDIT!!)'!$T$4:$X$4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266-483F-84F6-987AC3E8328C}"/>
            </c:ext>
          </c:extLst>
        </c:ser>
        <c:ser>
          <c:idx val="1"/>
          <c:order val="1"/>
          <c:tx>
            <c:v>Ambition</c:v>
          </c:tx>
          <c:spPr>
            <a:ln w="28575" cap="rnd">
              <a:solidFill>
                <a:schemeClr val="accent5"/>
              </a:solidFill>
              <a:round/>
            </a:ln>
            <a:effectLst/>
          </c:spPr>
          <c:marker>
            <c:symbol val="none"/>
          </c:marker>
          <c:cat>
            <c:strRef>
              <c:f>'Results (DO NOT EDIT!!)'!$T$2:$X$2</c:f>
              <c:strCache>
                <c:ptCount val="5"/>
                <c:pt idx="0">
                  <c:v>Advising</c:v>
                </c:pt>
                <c:pt idx="1">
                  <c:v>Decisive &amp; problem-solving </c:v>
                </c:pt>
                <c:pt idx="2">
                  <c:v>Interpersonal communication</c:v>
                </c:pt>
                <c:pt idx="3">
                  <c:v>Expectation management</c:v>
                </c:pt>
                <c:pt idx="4">
                  <c:v>Written and oral communication</c:v>
                </c:pt>
              </c:strCache>
            </c:strRef>
          </c:cat>
          <c:val>
            <c:numRef>
              <c:f>'Results (DO NOT EDIT!!)'!$T$7:$X$7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0266-483F-84F6-987AC3E8328C}"/>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Spread current versus ambition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'Results (DO NOT EDIT!!)'!$A$7</c:f>
              <c:strCache>
                <c:ptCount val="1"/>
                <c:pt idx="0">
                  <c:v>Score ambition</c:v>
                </c:pt>
              </c:strCache>
            </c:strRef>
          </c:tx>
          <c:spPr>
            <a:solidFill>
              <a:schemeClr val="accent6"/>
            </a:solidFill>
            <a:ln w="25400">
              <a:noFill/>
            </a:ln>
            <a:effectLst/>
          </c:spPr>
          <c:cat>
            <c:strRef>
              <c:f>'Results (DO NOT EDIT!!)'!$B$2:$AH$2</c:f>
              <c:strCache>
                <c:ptCount val="29"/>
                <c:pt idx="0">
                  <c:v>Learning &amp; reflection</c:v>
                </c:pt>
                <c:pt idx="1">
                  <c:v>Support &amp; collaboration</c:v>
                </c:pt>
                <c:pt idx="2">
                  <c:v>Entrepreneurial &amp; result-oriented</c:v>
                </c:pt>
                <c:pt idx="3">
                  <c:v>Customer-oriented</c:v>
                </c:pt>
                <c:pt idx="4">
                  <c:v>Knowledge sharing</c:v>
                </c:pt>
                <c:pt idx="5">
                  <c:v>Coaching &amp; guidance</c:v>
                </c:pt>
                <c:pt idx="6">
                  <c:v>Communication developers/ analysts</c:v>
                </c:pt>
                <c:pt idx="7">
                  <c:v>Tagging trends in domain</c:v>
                </c:pt>
                <c:pt idx="8">
                  <c:v>Requirements</c:v>
                </c:pt>
                <c:pt idx="9">
                  <c:v>Analytics (management/ admin) knowledge</c:v>
                </c:pt>
                <c:pt idx="10">
                  <c:v>Tag management</c:v>
                </c:pt>
                <c:pt idx="11">
                  <c:v>Data structures, tagplan, datalayer</c:v>
                </c:pt>
                <c:pt idx="12">
                  <c:v>Debugging</c:v>
                </c:pt>
                <c:pt idx="13">
                  <c:v>Programming</c:v>
                </c:pt>
                <c:pt idx="14">
                  <c:v>Advising</c:v>
                </c:pt>
                <c:pt idx="15">
                  <c:v>Decisive &amp; problem-solving </c:v>
                </c:pt>
                <c:pt idx="16">
                  <c:v>Interpersonal communication</c:v>
                </c:pt>
                <c:pt idx="17">
                  <c:v>Expectation management</c:v>
                </c:pt>
                <c:pt idx="18">
                  <c:v>Written and oral communication</c:v>
                </c:pt>
                <c:pt idx="19">
                  <c:v>Organizational and management identification</c:v>
                </c:pt>
                <c:pt idx="20">
                  <c:v>Strategic conceptualization</c:v>
                </c:pt>
                <c:pt idx="21">
                  <c:v>Project management</c:v>
                </c:pt>
                <c:pt idx="22">
                  <c:v>Change management</c:v>
                </c:pt>
                <c:pt idx="23">
                  <c:v>Leadership</c:v>
                </c:pt>
                <c:pt idx="24">
                  <c:v>Situational communication</c:v>
                </c:pt>
                <c:pt idx="25">
                  <c:v>Goal-oriented &amp; effective communication</c:v>
                </c:pt>
                <c:pt idx="26">
                  <c:v>Decision-making</c:v>
                </c:pt>
                <c:pt idx="27">
                  <c:v>Persuading &amp; influencing</c:v>
                </c:pt>
                <c:pt idx="28">
                  <c:v>Constructive (negative) feedback &amp; bad news conversations</c:v>
                </c:pt>
              </c:strCache>
            </c:strRef>
          </c:cat>
          <c:val>
            <c:numRef>
              <c:f>'Results (DO NOT EDIT!!)'!$B$7:$AH$7</c:f>
              <c:numCache>
                <c:formatCode>0.0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extLst>
            <c:ext xmlns:c16="http://schemas.microsoft.com/office/drawing/2014/chart" uri="{C3380CC4-5D6E-409C-BE32-E72D297353CC}">
              <c16:uniqueId val="{00000001-C510-45C6-AE4C-93012B94423C}"/>
            </c:ext>
          </c:extLst>
        </c:ser>
        <c:ser>
          <c:idx val="1"/>
          <c:order val="1"/>
          <c:tx>
            <c:strRef>
              <c:f>'Results (DO NOT EDIT!!)'!$A$4</c:f>
              <c:strCache>
                <c:ptCount val="1"/>
                <c:pt idx="0">
                  <c:v>Score current situation</c:v>
                </c:pt>
              </c:strCache>
            </c:strRef>
          </c:tx>
          <c:spPr>
            <a:solidFill>
              <a:schemeClr val="accent5"/>
            </a:solidFill>
            <a:ln w="25400">
              <a:noFill/>
            </a:ln>
            <a:effectLst/>
          </c:spPr>
          <c:cat>
            <c:strRef>
              <c:f>'Results (DO NOT EDIT!!)'!$B$2:$AH$2</c:f>
              <c:strCache>
                <c:ptCount val="29"/>
                <c:pt idx="0">
                  <c:v>Learning &amp; reflection</c:v>
                </c:pt>
                <c:pt idx="1">
                  <c:v>Support &amp; collaboration</c:v>
                </c:pt>
                <c:pt idx="2">
                  <c:v>Entrepreneurial &amp; result-oriented</c:v>
                </c:pt>
                <c:pt idx="3">
                  <c:v>Customer-oriented</c:v>
                </c:pt>
                <c:pt idx="4">
                  <c:v>Knowledge sharing</c:v>
                </c:pt>
                <c:pt idx="5">
                  <c:v>Coaching &amp; guidance</c:v>
                </c:pt>
                <c:pt idx="6">
                  <c:v>Communication developers/ analysts</c:v>
                </c:pt>
                <c:pt idx="7">
                  <c:v>Tagging trends in domain</c:v>
                </c:pt>
                <c:pt idx="8">
                  <c:v>Requirements</c:v>
                </c:pt>
                <c:pt idx="9">
                  <c:v>Analytics (management/ admin) knowledge</c:v>
                </c:pt>
                <c:pt idx="10">
                  <c:v>Tag management</c:v>
                </c:pt>
                <c:pt idx="11">
                  <c:v>Data structures, tagplan, datalayer</c:v>
                </c:pt>
                <c:pt idx="12">
                  <c:v>Debugging</c:v>
                </c:pt>
                <c:pt idx="13">
                  <c:v>Programming</c:v>
                </c:pt>
                <c:pt idx="14">
                  <c:v>Advising</c:v>
                </c:pt>
                <c:pt idx="15">
                  <c:v>Decisive &amp; problem-solving </c:v>
                </c:pt>
                <c:pt idx="16">
                  <c:v>Interpersonal communication</c:v>
                </c:pt>
                <c:pt idx="17">
                  <c:v>Expectation management</c:v>
                </c:pt>
                <c:pt idx="18">
                  <c:v>Written and oral communication</c:v>
                </c:pt>
                <c:pt idx="19">
                  <c:v>Organizational and management identification</c:v>
                </c:pt>
                <c:pt idx="20">
                  <c:v>Strategic conceptualization</c:v>
                </c:pt>
                <c:pt idx="21">
                  <c:v>Project management</c:v>
                </c:pt>
                <c:pt idx="22">
                  <c:v>Change management</c:v>
                </c:pt>
                <c:pt idx="23">
                  <c:v>Leadership</c:v>
                </c:pt>
                <c:pt idx="24">
                  <c:v>Situational communication</c:v>
                </c:pt>
                <c:pt idx="25">
                  <c:v>Goal-oriented &amp; effective communication</c:v>
                </c:pt>
                <c:pt idx="26">
                  <c:v>Decision-making</c:v>
                </c:pt>
                <c:pt idx="27">
                  <c:v>Persuading &amp; influencing</c:v>
                </c:pt>
                <c:pt idx="28">
                  <c:v>Constructive (negative) feedback &amp; bad news conversations</c:v>
                </c:pt>
              </c:strCache>
            </c:strRef>
          </c:cat>
          <c:val>
            <c:numRef>
              <c:f>'Results (DO NOT EDIT!!)'!$B$4:$AH$4</c:f>
              <c:numCache>
                <c:formatCode>0.0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extLst>
            <c:ext xmlns:c16="http://schemas.microsoft.com/office/drawing/2014/chart" uri="{C3380CC4-5D6E-409C-BE32-E72D297353CC}">
              <c16:uniqueId val="{00000001-29D5-489B-AF4E-547551B81992}"/>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EDIT!!)'!$Y$2:$AC$2</c:f>
              <c:strCache>
                <c:ptCount val="5"/>
                <c:pt idx="0">
                  <c:v>Organizational and management identification</c:v>
                </c:pt>
                <c:pt idx="1">
                  <c:v>Strategic conceptualization</c:v>
                </c:pt>
                <c:pt idx="2">
                  <c:v>Project management</c:v>
                </c:pt>
                <c:pt idx="3">
                  <c:v>Change management</c:v>
                </c:pt>
                <c:pt idx="4">
                  <c:v>Leadership</c:v>
                </c:pt>
              </c:strCache>
            </c:strRef>
          </c:cat>
          <c:val>
            <c:numRef>
              <c:f>'Results (DO NOT EDIT!!)'!$Y$4:$AC$4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324E-4105-8DFF-CB15C206019F}"/>
            </c:ext>
          </c:extLst>
        </c:ser>
        <c:ser>
          <c:idx val="1"/>
          <c:order val="1"/>
          <c:tx>
            <c:v>Ambition</c:v>
          </c:tx>
          <c:spPr>
            <a:ln w="28575" cap="rnd">
              <a:solidFill>
                <a:schemeClr val="accent5"/>
              </a:solidFill>
              <a:round/>
            </a:ln>
            <a:effectLst/>
          </c:spPr>
          <c:marker>
            <c:symbol val="none"/>
          </c:marker>
          <c:cat>
            <c:strRef>
              <c:f>'Results (DO NOT EDIT!!)'!$Y$2:$AC$2</c:f>
              <c:strCache>
                <c:ptCount val="5"/>
                <c:pt idx="0">
                  <c:v>Organizational and management identification</c:v>
                </c:pt>
                <c:pt idx="1">
                  <c:v>Strategic conceptualization</c:v>
                </c:pt>
                <c:pt idx="2">
                  <c:v>Project management</c:v>
                </c:pt>
                <c:pt idx="3">
                  <c:v>Change management</c:v>
                </c:pt>
                <c:pt idx="4">
                  <c:v>Leadership</c:v>
                </c:pt>
              </c:strCache>
            </c:strRef>
          </c:cat>
          <c:val>
            <c:numRef>
              <c:f>'Results (DO NOT EDIT!!)'!$Y$7:$AC$7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324E-4105-8DFF-CB15C206019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Seniority per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Totaal</c:v>
          </c:tx>
          <c:spPr>
            <a:solidFill>
              <a:schemeClr val="accent6"/>
            </a:solidFill>
            <a:ln>
              <a:noFill/>
            </a:ln>
            <a:effectLst/>
          </c:spPr>
          <c:invertIfNegative val="0"/>
          <c:cat>
            <c:strRef>
              <c:f>('Results (DO NOT EDIT!!)'!$B$1,'Results (DO NOT EDIT!!)'!$H$1,'Results (DO NOT EDIT!!)'!$N$1,'Results (DO NOT EDIT!!)'!$T$1,'Results (DO NOT EDIT!!)'!$Y$1)</c:f>
              <c:strCache>
                <c:ptCount val="5"/>
                <c:pt idx="0">
                  <c:v>Digital Power Basic Skills</c:v>
                </c:pt>
                <c:pt idx="1">
                  <c:v>Domain Skills</c:v>
                </c:pt>
                <c:pt idx="2">
                  <c:v>Hardskills</c:v>
                </c:pt>
                <c:pt idx="3">
                  <c:v>Basic Consultancy Skills</c:v>
                </c:pt>
                <c:pt idx="4">
                  <c:v>Business Skills</c:v>
                </c:pt>
              </c:strCache>
            </c:strRef>
          </c:cat>
          <c:val>
            <c:numRef>
              <c:f>('Results (DO NOT EDIT!!)'!$G$5,'Results (DO NOT EDIT!!)'!$J$5,'Results (DO NOT EDIT!!)'!$R$5,'Results (DO NOT EDIT!!)'!$X$5,'Results (DO NOT EDIT!!)'!$AC$5,'Results (DO NOT EDIT!!)'!$AH$5)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B7D-483A-9A45-A65C2D8E1A6F}"/>
            </c:ext>
          </c:extLst>
        </c:ser>
        <c:dLbls>
          <c:showLegendKey val="0"/>
          <c:showVal val="0"/>
          <c:showCatName val="0"/>
          <c:showSerName val="0"/>
          <c:showPercent val="0"/>
          <c:showBubbleSize val="0"/>
        </c:dLbls>
        <c:gapWidth val="182"/>
        <c:axId val="759015720"/>
        <c:axId val="759016048"/>
      </c:barChart>
      <c:catAx>
        <c:axId val="759015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6048"/>
        <c:crosses val="autoZero"/>
        <c:auto val="1"/>
        <c:lblAlgn val="ctr"/>
        <c:lblOffset val="100"/>
        <c:noMultiLvlLbl val="0"/>
      </c:catAx>
      <c:valAx>
        <c:axId val="759016048"/>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5720"/>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Expert Consultancy</a:t>
            </a:r>
            <a:r>
              <a:rPr lang="en-US" baseline="0"/>
              <a: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EDIT!!)'!$AD$2:$AH$2</c:f>
              <c:strCache>
                <c:ptCount val="5"/>
                <c:pt idx="0">
                  <c:v>Situational communication</c:v>
                </c:pt>
                <c:pt idx="1">
                  <c:v>Goal-oriented &amp; effective communication</c:v>
                </c:pt>
                <c:pt idx="2">
                  <c:v>Decision-making</c:v>
                </c:pt>
                <c:pt idx="3">
                  <c:v>Persuading &amp; influencing</c:v>
                </c:pt>
                <c:pt idx="4">
                  <c:v>Constructive (negative) feedback &amp; bad news conversations</c:v>
                </c:pt>
              </c:strCache>
            </c:strRef>
          </c:cat>
          <c:val>
            <c:numRef>
              <c:f>'Results (DO NOT EDIT!!)'!$AD$4:$AH$4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CB9-42CF-A178-E4F5563D7D2B}"/>
            </c:ext>
          </c:extLst>
        </c:ser>
        <c:ser>
          <c:idx val="1"/>
          <c:order val="1"/>
          <c:tx>
            <c:v>Ambition</c:v>
          </c:tx>
          <c:spPr>
            <a:ln w="28575" cap="rnd">
              <a:solidFill>
                <a:schemeClr val="accent5"/>
              </a:solidFill>
              <a:round/>
            </a:ln>
            <a:effectLst/>
          </c:spPr>
          <c:marker>
            <c:symbol val="none"/>
          </c:marker>
          <c:cat>
            <c:strRef>
              <c:f>'Results (DO NOT EDIT!!)'!$AD$2:$AH$2</c:f>
              <c:strCache>
                <c:ptCount val="5"/>
                <c:pt idx="0">
                  <c:v>Situational communication</c:v>
                </c:pt>
                <c:pt idx="1">
                  <c:v>Goal-oriented &amp; effective communication</c:v>
                </c:pt>
                <c:pt idx="2">
                  <c:v>Decision-making</c:v>
                </c:pt>
                <c:pt idx="3">
                  <c:v>Persuading &amp; influencing</c:v>
                </c:pt>
                <c:pt idx="4">
                  <c:v>Constructive (negative) feedback &amp; bad news conversations</c:v>
                </c:pt>
              </c:strCache>
            </c:strRef>
          </c:cat>
          <c:val>
            <c:numRef>
              <c:f>'Results (DO NOT EDIT!!)'!$AD$7:$AH$7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CB9-42CF-A178-E4F5563D7D2B}"/>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C8EFC9A-BDC9-4CB0-8DCF-FD6F89FD7C78}" type="doc">
      <dgm:prSet loTypeId="urn:microsoft.com/office/officeart/2005/8/layout/lProcess2" loCatId="list" qsTypeId="urn:microsoft.com/office/officeart/2005/8/quickstyle/simple1" qsCatId="simple" csTypeId="urn:microsoft.com/office/officeart/2005/8/colors/accent6_1" csCatId="accent6" phldr="1"/>
      <dgm:spPr/>
      <dgm:t>
        <a:bodyPr/>
        <a:lstStyle/>
        <a:p>
          <a:endParaRPr lang="nl-NL"/>
        </a:p>
      </dgm:t>
    </dgm:pt>
    <dgm:pt modelId="{7ED69BD0-5C46-430C-BD11-1675B78445AF}">
      <dgm:prSet phldrT="[Tekst]" custT="1"/>
      <dgm:spPr/>
      <dgm:t>
        <a:bodyPr/>
        <a:lstStyle/>
        <a:p>
          <a:r>
            <a:rPr lang="nl-NL" sz="1800" b="1"/>
            <a:t>Digital Power Basic Skills</a:t>
          </a:r>
        </a:p>
      </dgm:t>
    </dgm:pt>
    <dgm:pt modelId="{E750908F-6048-4121-9824-44DEE38A9550}" type="parTrans" cxnId="{6E3EB49A-F9C7-49B8-A048-579421865614}">
      <dgm:prSet/>
      <dgm:spPr/>
      <dgm:t>
        <a:bodyPr/>
        <a:lstStyle/>
        <a:p>
          <a:endParaRPr lang="nl-NL" sz="2400"/>
        </a:p>
      </dgm:t>
    </dgm:pt>
    <dgm:pt modelId="{218C9A6D-6F68-45C1-B697-BBF6B4D44B14}" type="sibTrans" cxnId="{6E3EB49A-F9C7-49B8-A048-579421865614}">
      <dgm:prSet/>
      <dgm:spPr/>
      <dgm:t>
        <a:bodyPr/>
        <a:lstStyle/>
        <a:p>
          <a:endParaRPr lang="nl-NL" sz="2400"/>
        </a:p>
      </dgm:t>
    </dgm:pt>
    <dgm:pt modelId="{E4B92491-EA9A-4D22-9CF8-82866D9BC210}">
      <dgm:prSet phldrT="[Tekst]" custT="1"/>
      <dgm:spPr/>
      <dgm:t>
        <a:bodyPr/>
        <a:lstStyle/>
        <a:p>
          <a:r>
            <a:rPr lang="nl-NL" sz="900"/>
            <a:t>Leren &amp; reflecteren</a:t>
          </a:r>
        </a:p>
      </dgm:t>
    </dgm:pt>
    <dgm:pt modelId="{AAD8A640-0904-42B2-8737-4F819FCC663F}" type="parTrans" cxnId="{B9B84F3F-92DA-48E6-A3BB-B7C952E21BD3}">
      <dgm:prSet/>
      <dgm:spPr/>
      <dgm:t>
        <a:bodyPr/>
        <a:lstStyle/>
        <a:p>
          <a:endParaRPr lang="nl-NL" sz="2400"/>
        </a:p>
      </dgm:t>
    </dgm:pt>
    <dgm:pt modelId="{6A795A40-8887-4AB1-8E50-2A17E97000C7}" type="sibTrans" cxnId="{B9B84F3F-92DA-48E6-A3BB-B7C952E21BD3}">
      <dgm:prSet/>
      <dgm:spPr/>
      <dgm:t>
        <a:bodyPr/>
        <a:lstStyle/>
        <a:p>
          <a:endParaRPr lang="nl-NL" sz="2400"/>
        </a:p>
      </dgm:t>
    </dgm:pt>
    <dgm:pt modelId="{1DCEF51C-F50A-4B0B-9902-33B322D5ADEF}">
      <dgm:prSet phldrT="[Tekst]" custT="1"/>
      <dgm:spPr/>
      <dgm:t>
        <a:bodyPr/>
        <a:lstStyle/>
        <a:p>
          <a:r>
            <a:rPr lang="nl-NL" sz="900"/>
            <a:t>Ondernemen &amp; resultaatgericht</a:t>
          </a:r>
        </a:p>
      </dgm:t>
    </dgm:pt>
    <dgm:pt modelId="{2C60948B-205E-4F80-82A1-F8B8D3A331F9}" type="parTrans" cxnId="{3EC95584-F64E-4F01-9306-D20FA216FBEC}">
      <dgm:prSet/>
      <dgm:spPr/>
      <dgm:t>
        <a:bodyPr/>
        <a:lstStyle/>
        <a:p>
          <a:endParaRPr lang="nl-NL" sz="2400"/>
        </a:p>
      </dgm:t>
    </dgm:pt>
    <dgm:pt modelId="{54A7321B-FDE2-4C58-BFBF-737A8982D7C8}" type="sibTrans" cxnId="{3EC95584-F64E-4F01-9306-D20FA216FBEC}">
      <dgm:prSet/>
      <dgm:spPr/>
      <dgm:t>
        <a:bodyPr/>
        <a:lstStyle/>
        <a:p>
          <a:endParaRPr lang="nl-NL" sz="2400"/>
        </a:p>
      </dgm:t>
    </dgm:pt>
    <dgm:pt modelId="{71C93146-8DBD-47BA-9B89-8D2FF25B6FDE}">
      <dgm:prSet phldrT="[Tekst]" custT="1"/>
      <dgm:spPr/>
      <dgm:t>
        <a:bodyPr/>
        <a:lstStyle/>
        <a:p>
          <a:r>
            <a:rPr lang="nl-NL" sz="1800" b="1"/>
            <a:t>Domein skills</a:t>
          </a:r>
        </a:p>
      </dgm:t>
    </dgm:pt>
    <dgm:pt modelId="{A4EFA77B-9971-480B-8CDC-B60EE2909B0A}" type="parTrans" cxnId="{85CA7328-C88E-4CCA-A503-4BBF9E60CB5E}">
      <dgm:prSet/>
      <dgm:spPr/>
      <dgm:t>
        <a:bodyPr/>
        <a:lstStyle/>
        <a:p>
          <a:endParaRPr lang="nl-NL" sz="2400"/>
        </a:p>
      </dgm:t>
    </dgm:pt>
    <dgm:pt modelId="{8213C114-C822-4D1A-8481-C09CD83DA145}" type="sibTrans" cxnId="{85CA7328-C88E-4CCA-A503-4BBF9E60CB5E}">
      <dgm:prSet/>
      <dgm:spPr/>
      <dgm:t>
        <a:bodyPr/>
        <a:lstStyle/>
        <a:p>
          <a:endParaRPr lang="nl-NL" sz="2400"/>
        </a:p>
      </dgm:t>
    </dgm:pt>
    <dgm:pt modelId="{6C20051A-C227-4FCE-84B9-13E8355C6FE0}">
      <dgm:prSet phldrT="[Tekst]" custT="1"/>
      <dgm:spPr/>
      <dgm:t>
        <a:bodyPr/>
        <a:lstStyle/>
        <a:p>
          <a:r>
            <a:rPr lang="nl-NL" sz="900"/>
            <a:t>Communication developers/ analysts</a:t>
          </a:r>
        </a:p>
      </dgm:t>
    </dgm:pt>
    <dgm:pt modelId="{31AEE7A3-A8AC-425D-8431-C8B66249CB15}" type="parTrans" cxnId="{B6A2B7A2-FF80-4270-BE4E-2808830EFFFC}">
      <dgm:prSet/>
      <dgm:spPr/>
      <dgm:t>
        <a:bodyPr/>
        <a:lstStyle/>
        <a:p>
          <a:endParaRPr lang="nl-NL" sz="2400"/>
        </a:p>
      </dgm:t>
    </dgm:pt>
    <dgm:pt modelId="{70525940-7440-4C0F-AFCA-45BB15C67DD9}" type="sibTrans" cxnId="{B6A2B7A2-FF80-4270-BE4E-2808830EFFFC}">
      <dgm:prSet/>
      <dgm:spPr/>
      <dgm:t>
        <a:bodyPr/>
        <a:lstStyle/>
        <a:p>
          <a:endParaRPr lang="nl-NL" sz="2400"/>
        </a:p>
      </dgm:t>
    </dgm:pt>
    <dgm:pt modelId="{CB339438-8F81-4836-B0D6-39E445779B2D}">
      <dgm:prSet phldrT="[Tekst]" custT="1"/>
      <dgm:spPr/>
      <dgm:t>
        <a:bodyPr/>
        <a:lstStyle/>
        <a:p>
          <a:r>
            <a:rPr lang="nl-NL" sz="1800" b="1"/>
            <a:t>Hardskills</a:t>
          </a:r>
        </a:p>
      </dgm:t>
    </dgm:pt>
    <dgm:pt modelId="{81844B2A-8DE3-4EEB-9E0E-031ED26B43F7}" type="parTrans" cxnId="{FA676D8E-DD10-4206-946E-A18DBBC548C9}">
      <dgm:prSet/>
      <dgm:spPr/>
      <dgm:t>
        <a:bodyPr/>
        <a:lstStyle/>
        <a:p>
          <a:endParaRPr lang="nl-NL" sz="2400"/>
        </a:p>
      </dgm:t>
    </dgm:pt>
    <dgm:pt modelId="{217513DC-7E70-4D8D-9CA4-5D4693EB7292}" type="sibTrans" cxnId="{FA676D8E-DD10-4206-946E-A18DBBC548C9}">
      <dgm:prSet/>
      <dgm:spPr/>
      <dgm:t>
        <a:bodyPr/>
        <a:lstStyle/>
        <a:p>
          <a:endParaRPr lang="nl-NL" sz="2400"/>
        </a:p>
      </dgm:t>
    </dgm:pt>
    <dgm:pt modelId="{D38A169C-73FA-404F-BBC1-E58D54FDBE12}">
      <dgm:prSet phldrT="[Tekst]" custT="1"/>
      <dgm:spPr/>
      <dgm:t>
        <a:bodyPr/>
        <a:lstStyle/>
        <a:p>
          <a:r>
            <a:rPr lang="nl-NL" sz="900"/>
            <a:t>Analytics (management/ admin) kennis</a:t>
          </a:r>
        </a:p>
      </dgm:t>
    </dgm:pt>
    <dgm:pt modelId="{972BF931-FB6A-47EF-8701-10AC9CDA14F0}" type="parTrans" cxnId="{3FCEE895-271C-4136-B426-FE7F1582CEF1}">
      <dgm:prSet/>
      <dgm:spPr/>
      <dgm:t>
        <a:bodyPr/>
        <a:lstStyle/>
        <a:p>
          <a:endParaRPr lang="nl-NL" sz="2400"/>
        </a:p>
      </dgm:t>
    </dgm:pt>
    <dgm:pt modelId="{A99A1C84-B8AD-4CE4-944A-AF6FBA84AD6E}" type="sibTrans" cxnId="{3FCEE895-271C-4136-B426-FE7F1582CEF1}">
      <dgm:prSet/>
      <dgm:spPr/>
      <dgm:t>
        <a:bodyPr/>
        <a:lstStyle/>
        <a:p>
          <a:endParaRPr lang="nl-NL" sz="2400"/>
        </a:p>
      </dgm:t>
    </dgm:pt>
    <dgm:pt modelId="{39F506DE-50F1-49BE-9ED2-88EFDAE6F0E1}">
      <dgm:prSet phldrT="[Tekst]" custT="1"/>
      <dgm:spPr/>
      <dgm:t>
        <a:bodyPr/>
        <a:lstStyle/>
        <a:p>
          <a:r>
            <a:rPr lang="nl-NL" sz="1800" b="1"/>
            <a:t>Basic Consultancy Skills</a:t>
          </a:r>
        </a:p>
      </dgm:t>
    </dgm:pt>
    <dgm:pt modelId="{7F60D346-2BA8-4279-8596-2765F26B3192}" type="parTrans" cxnId="{81471AD1-0069-4A55-AFA7-7230934509D8}">
      <dgm:prSet/>
      <dgm:spPr/>
      <dgm:t>
        <a:bodyPr/>
        <a:lstStyle/>
        <a:p>
          <a:endParaRPr lang="nl-NL" sz="2400"/>
        </a:p>
      </dgm:t>
    </dgm:pt>
    <dgm:pt modelId="{7C66CED6-4EF2-4379-89C4-7E1B0D2D3641}" type="sibTrans" cxnId="{81471AD1-0069-4A55-AFA7-7230934509D8}">
      <dgm:prSet/>
      <dgm:spPr/>
      <dgm:t>
        <a:bodyPr/>
        <a:lstStyle/>
        <a:p>
          <a:endParaRPr lang="nl-NL" sz="2400"/>
        </a:p>
      </dgm:t>
    </dgm:pt>
    <dgm:pt modelId="{5689EC68-4989-4E1E-96FD-3A6DB0CAD78C}">
      <dgm:prSet phldrT="[Tekst]" custT="1"/>
      <dgm:spPr/>
      <dgm:t>
        <a:bodyPr/>
        <a:lstStyle/>
        <a:p>
          <a:r>
            <a:rPr lang="nl-NL" sz="900"/>
            <a:t>Adviseren</a:t>
          </a:r>
        </a:p>
      </dgm:t>
    </dgm:pt>
    <dgm:pt modelId="{5E002F54-8A10-472E-96C2-6347E5C62ABE}" type="parTrans" cxnId="{9E5B2586-4117-46D2-A77F-55BE96C0CD18}">
      <dgm:prSet/>
      <dgm:spPr/>
      <dgm:t>
        <a:bodyPr/>
        <a:lstStyle/>
        <a:p>
          <a:endParaRPr lang="nl-NL" sz="2400"/>
        </a:p>
      </dgm:t>
    </dgm:pt>
    <dgm:pt modelId="{A783D2D8-9AA5-4B37-B664-80F0625BDE23}" type="sibTrans" cxnId="{9E5B2586-4117-46D2-A77F-55BE96C0CD18}">
      <dgm:prSet/>
      <dgm:spPr/>
      <dgm:t>
        <a:bodyPr/>
        <a:lstStyle/>
        <a:p>
          <a:endParaRPr lang="nl-NL" sz="2400"/>
        </a:p>
      </dgm:t>
    </dgm:pt>
    <dgm:pt modelId="{731B959C-F05A-4425-AA8A-A0CC576E0CD6}">
      <dgm:prSet phldrT="[Tekst]" custT="1"/>
      <dgm:spPr/>
      <dgm:t>
        <a:bodyPr/>
        <a:lstStyle/>
        <a:p>
          <a:r>
            <a:rPr lang="nl-NL" sz="1800" b="1"/>
            <a:t>Expert Consultancy Skills</a:t>
          </a:r>
        </a:p>
      </dgm:t>
    </dgm:pt>
    <dgm:pt modelId="{4DAF3717-69D8-4024-BC2D-22D2476AC76E}" type="parTrans" cxnId="{3898561C-AE03-4718-AE3E-8110DF2975AE}">
      <dgm:prSet/>
      <dgm:spPr/>
      <dgm:t>
        <a:bodyPr/>
        <a:lstStyle/>
        <a:p>
          <a:endParaRPr lang="nl-NL" sz="2400"/>
        </a:p>
      </dgm:t>
    </dgm:pt>
    <dgm:pt modelId="{4B9E5D53-0B42-48F6-AA2B-6F5F833B01D8}" type="sibTrans" cxnId="{3898561C-AE03-4718-AE3E-8110DF2975AE}">
      <dgm:prSet/>
      <dgm:spPr/>
      <dgm:t>
        <a:bodyPr/>
        <a:lstStyle/>
        <a:p>
          <a:endParaRPr lang="nl-NL" sz="2400"/>
        </a:p>
      </dgm:t>
    </dgm:pt>
    <dgm:pt modelId="{E4529BFC-7FBA-401E-83DC-ED21706EC71E}">
      <dgm:prSet phldrT="[Tekst]" custT="1"/>
      <dgm:spPr/>
      <dgm:t>
        <a:bodyPr/>
        <a:lstStyle/>
        <a:p>
          <a:r>
            <a:rPr lang="nl-NL" sz="900"/>
            <a:t>Situationele communicatie</a:t>
          </a:r>
        </a:p>
      </dgm:t>
    </dgm:pt>
    <dgm:pt modelId="{75EC726F-0F1A-4A9A-AAA4-BA5A62E7EF13}" type="parTrans" cxnId="{B9770FDA-37FF-43F8-A310-12FA30D16BC1}">
      <dgm:prSet/>
      <dgm:spPr/>
      <dgm:t>
        <a:bodyPr/>
        <a:lstStyle/>
        <a:p>
          <a:endParaRPr lang="nl-NL" sz="2400"/>
        </a:p>
      </dgm:t>
    </dgm:pt>
    <dgm:pt modelId="{2694060A-8504-46CC-B366-F826D32B0115}" type="sibTrans" cxnId="{B9770FDA-37FF-43F8-A310-12FA30D16BC1}">
      <dgm:prSet/>
      <dgm:spPr/>
      <dgm:t>
        <a:bodyPr/>
        <a:lstStyle/>
        <a:p>
          <a:endParaRPr lang="nl-NL" sz="2400"/>
        </a:p>
      </dgm:t>
    </dgm:pt>
    <dgm:pt modelId="{086678A7-F493-4823-B3B6-57A9657951CF}">
      <dgm:prSet phldrT="[Tekst]" custT="1"/>
      <dgm:spPr/>
      <dgm:t>
        <a:bodyPr/>
        <a:lstStyle/>
        <a:p>
          <a:r>
            <a:rPr lang="nl-NL" sz="900"/>
            <a:t>Ondersteunen &amp; samenwerken</a:t>
          </a:r>
        </a:p>
      </dgm:t>
    </dgm:pt>
    <dgm:pt modelId="{D26FD918-8E0C-41E9-A734-59F853D9C88E}" type="parTrans" cxnId="{58C72467-DF9F-4CB4-858D-2E57F85622DE}">
      <dgm:prSet/>
      <dgm:spPr/>
      <dgm:t>
        <a:bodyPr/>
        <a:lstStyle/>
        <a:p>
          <a:endParaRPr lang="nl-NL" sz="2400"/>
        </a:p>
      </dgm:t>
    </dgm:pt>
    <dgm:pt modelId="{BEC88BC7-710D-498D-B073-44C36555D78A}" type="sibTrans" cxnId="{58C72467-DF9F-4CB4-858D-2E57F85622DE}">
      <dgm:prSet/>
      <dgm:spPr/>
      <dgm:t>
        <a:bodyPr/>
        <a:lstStyle/>
        <a:p>
          <a:endParaRPr lang="nl-NL" sz="2400"/>
        </a:p>
      </dgm:t>
    </dgm:pt>
    <dgm:pt modelId="{2E51DF25-B7C0-43DA-ADCE-0B6DAA3E9F7B}">
      <dgm:prSet phldrT="[Tekst]" custT="1"/>
      <dgm:spPr/>
      <dgm:t>
        <a:bodyPr/>
        <a:lstStyle/>
        <a:p>
          <a:r>
            <a:rPr lang="nl-NL" sz="900"/>
            <a:t>Klantgericht</a:t>
          </a:r>
        </a:p>
      </dgm:t>
    </dgm:pt>
    <dgm:pt modelId="{060E53C2-706B-40E2-B6B1-DC5694082B1A}" type="parTrans" cxnId="{9AA6C102-B33A-45C3-AE7D-4BCB09515111}">
      <dgm:prSet/>
      <dgm:spPr/>
      <dgm:t>
        <a:bodyPr/>
        <a:lstStyle/>
        <a:p>
          <a:endParaRPr lang="nl-NL" sz="2400"/>
        </a:p>
      </dgm:t>
    </dgm:pt>
    <dgm:pt modelId="{54C986C0-7254-4D77-8EF8-B2E27153E9C6}" type="sibTrans" cxnId="{9AA6C102-B33A-45C3-AE7D-4BCB09515111}">
      <dgm:prSet/>
      <dgm:spPr/>
      <dgm:t>
        <a:bodyPr/>
        <a:lstStyle/>
        <a:p>
          <a:endParaRPr lang="nl-NL" sz="2400"/>
        </a:p>
      </dgm:t>
    </dgm:pt>
    <dgm:pt modelId="{C765EFE1-9587-4BD0-BA1D-81A6425C17DB}">
      <dgm:prSet phldrT="[Tekst]" custT="1"/>
      <dgm:spPr/>
      <dgm:t>
        <a:bodyPr/>
        <a:lstStyle/>
        <a:p>
          <a:r>
            <a:rPr lang="nl-NL" sz="900"/>
            <a:t>Kennisdeling</a:t>
          </a:r>
        </a:p>
      </dgm:t>
    </dgm:pt>
    <dgm:pt modelId="{9666F175-7D96-457C-A175-023DEBE6F969}" type="parTrans" cxnId="{B60D540F-CFA6-412D-9DCA-BF4FB473BD58}">
      <dgm:prSet/>
      <dgm:spPr/>
      <dgm:t>
        <a:bodyPr/>
        <a:lstStyle/>
        <a:p>
          <a:endParaRPr lang="nl-NL" sz="2400"/>
        </a:p>
      </dgm:t>
    </dgm:pt>
    <dgm:pt modelId="{F6867B9E-C732-4845-A91D-352DB38C5B50}" type="sibTrans" cxnId="{B60D540F-CFA6-412D-9DCA-BF4FB473BD58}">
      <dgm:prSet/>
      <dgm:spPr/>
      <dgm:t>
        <a:bodyPr/>
        <a:lstStyle/>
        <a:p>
          <a:endParaRPr lang="nl-NL" sz="2400"/>
        </a:p>
      </dgm:t>
    </dgm:pt>
    <dgm:pt modelId="{7C0E973C-743C-470A-8B02-0F4E3FD93FC5}">
      <dgm:prSet phldrT="[Tekst]" custT="1"/>
      <dgm:spPr/>
      <dgm:t>
        <a:bodyPr/>
        <a:lstStyle/>
        <a:p>
          <a:r>
            <a:rPr lang="nl-NL" sz="900"/>
            <a:t>Coaching &amp; begeleiding</a:t>
          </a:r>
        </a:p>
      </dgm:t>
    </dgm:pt>
    <dgm:pt modelId="{6D16B90E-7EB1-4EB7-A35C-49E2D6F9539C}" type="parTrans" cxnId="{4D3BDD4D-4325-42D8-8823-D4F547B79AB4}">
      <dgm:prSet/>
      <dgm:spPr/>
      <dgm:t>
        <a:bodyPr/>
        <a:lstStyle/>
        <a:p>
          <a:endParaRPr lang="nl-NL" sz="2400"/>
        </a:p>
      </dgm:t>
    </dgm:pt>
    <dgm:pt modelId="{CC84AF64-DE57-4A04-8A0F-424FADB77927}" type="sibTrans" cxnId="{4D3BDD4D-4325-42D8-8823-D4F547B79AB4}">
      <dgm:prSet/>
      <dgm:spPr/>
      <dgm:t>
        <a:bodyPr/>
        <a:lstStyle/>
        <a:p>
          <a:endParaRPr lang="nl-NL" sz="2400"/>
        </a:p>
      </dgm:t>
    </dgm:pt>
    <dgm:pt modelId="{C134F88E-4C4C-4F83-B22D-C129B7E3477A}">
      <dgm:prSet phldrT="[Tekst]" custT="1"/>
      <dgm:spPr/>
      <dgm:t>
        <a:bodyPr/>
        <a:lstStyle/>
        <a:p>
          <a:r>
            <a:rPr lang="nl-NL" sz="900"/>
            <a:t>Doortastend &amp; probleemoplossend</a:t>
          </a:r>
        </a:p>
      </dgm:t>
    </dgm:pt>
    <dgm:pt modelId="{3A9BCE9D-421C-4EAB-A25F-50ADA7668B4B}" type="parTrans" cxnId="{6317B032-9E2D-4C09-BFCB-DEE7F6FB19EC}">
      <dgm:prSet/>
      <dgm:spPr/>
      <dgm:t>
        <a:bodyPr/>
        <a:lstStyle/>
        <a:p>
          <a:endParaRPr lang="nl-NL" sz="2400"/>
        </a:p>
      </dgm:t>
    </dgm:pt>
    <dgm:pt modelId="{4236607B-8CE8-427B-A6C7-9C4FA5BC3E95}" type="sibTrans" cxnId="{6317B032-9E2D-4C09-BFCB-DEE7F6FB19EC}">
      <dgm:prSet/>
      <dgm:spPr/>
      <dgm:t>
        <a:bodyPr/>
        <a:lstStyle/>
        <a:p>
          <a:endParaRPr lang="nl-NL" sz="2400"/>
        </a:p>
      </dgm:t>
    </dgm:pt>
    <dgm:pt modelId="{5788F799-C613-40C5-8761-BEA82B1C90FC}">
      <dgm:prSet phldrT="[Tekst]" custT="1"/>
      <dgm:spPr/>
      <dgm:t>
        <a:bodyPr/>
        <a:lstStyle/>
        <a:p>
          <a:r>
            <a:rPr lang="nl-NL" sz="900"/>
            <a:t>Interpersoonlijke communicatie</a:t>
          </a:r>
        </a:p>
      </dgm:t>
    </dgm:pt>
    <dgm:pt modelId="{B1600F06-2268-4E93-8025-6213C861BF03}" type="parTrans" cxnId="{DFD1EAA7-E9B7-4782-A476-14CE33073947}">
      <dgm:prSet/>
      <dgm:spPr/>
      <dgm:t>
        <a:bodyPr/>
        <a:lstStyle/>
        <a:p>
          <a:endParaRPr lang="nl-NL" sz="2400"/>
        </a:p>
      </dgm:t>
    </dgm:pt>
    <dgm:pt modelId="{34DDA67C-48F2-49AC-B592-522587E58066}" type="sibTrans" cxnId="{DFD1EAA7-E9B7-4782-A476-14CE33073947}">
      <dgm:prSet/>
      <dgm:spPr/>
      <dgm:t>
        <a:bodyPr/>
        <a:lstStyle/>
        <a:p>
          <a:endParaRPr lang="nl-NL" sz="2400"/>
        </a:p>
      </dgm:t>
    </dgm:pt>
    <dgm:pt modelId="{451149D5-FEDA-4765-B600-5039ABB58E53}">
      <dgm:prSet phldrT="[Tekst]" custT="1"/>
      <dgm:spPr/>
      <dgm:t>
        <a:bodyPr/>
        <a:lstStyle/>
        <a:p>
          <a:r>
            <a:rPr lang="nl-NL" sz="900"/>
            <a:t>Verwachtings-management</a:t>
          </a:r>
        </a:p>
      </dgm:t>
    </dgm:pt>
    <dgm:pt modelId="{4E2281CA-A78E-45B2-B336-A5EC6E0D7E46}" type="parTrans" cxnId="{A91C153A-AAE1-478B-8F28-DD6597A354F0}">
      <dgm:prSet/>
      <dgm:spPr/>
      <dgm:t>
        <a:bodyPr/>
        <a:lstStyle/>
        <a:p>
          <a:endParaRPr lang="nl-NL" sz="2400"/>
        </a:p>
      </dgm:t>
    </dgm:pt>
    <dgm:pt modelId="{9902A7BB-1925-42EB-BB58-87F6AD6E80B5}" type="sibTrans" cxnId="{A91C153A-AAE1-478B-8F28-DD6597A354F0}">
      <dgm:prSet/>
      <dgm:spPr/>
      <dgm:t>
        <a:bodyPr/>
        <a:lstStyle/>
        <a:p>
          <a:endParaRPr lang="nl-NL" sz="2400"/>
        </a:p>
      </dgm:t>
    </dgm:pt>
    <dgm:pt modelId="{C73CB937-E35C-46A7-A528-03AE78F9430B}">
      <dgm:prSet phldrT="[Tekst]" custT="1"/>
      <dgm:spPr/>
      <dgm:t>
        <a:bodyPr/>
        <a:lstStyle/>
        <a:p>
          <a:r>
            <a:rPr lang="nl-NL" sz="900"/>
            <a:t>Schriftelijke en mondelinge communicatie</a:t>
          </a:r>
        </a:p>
      </dgm:t>
    </dgm:pt>
    <dgm:pt modelId="{4C4481EF-620D-4181-8F00-31DC7C846A66}" type="parTrans" cxnId="{DF4930EE-E080-4A33-A5A2-D0A164B70308}">
      <dgm:prSet/>
      <dgm:spPr/>
      <dgm:t>
        <a:bodyPr/>
        <a:lstStyle/>
        <a:p>
          <a:endParaRPr lang="nl-NL" sz="2400"/>
        </a:p>
      </dgm:t>
    </dgm:pt>
    <dgm:pt modelId="{CF0C6F57-028A-4F8B-9B40-15B58322102D}" type="sibTrans" cxnId="{DF4930EE-E080-4A33-A5A2-D0A164B70308}">
      <dgm:prSet/>
      <dgm:spPr/>
      <dgm:t>
        <a:bodyPr/>
        <a:lstStyle/>
        <a:p>
          <a:endParaRPr lang="nl-NL" sz="2400"/>
        </a:p>
      </dgm:t>
    </dgm:pt>
    <dgm:pt modelId="{00C5AD74-BB5E-4C37-87ED-5C005FAF2322}">
      <dgm:prSet phldrT="[Tekst]" custT="1"/>
      <dgm:spPr/>
      <dgm:t>
        <a:bodyPr/>
        <a:lstStyle/>
        <a:p>
          <a:r>
            <a:rPr lang="nl-NL" sz="900"/>
            <a:t>Doelgerichte &amp; effectieve communicatie</a:t>
          </a:r>
        </a:p>
      </dgm:t>
    </dgm:pt>
    <dgm:pt modelId="{404B7502-7D11-4D22-9D7C-06E3E9EF975E}" type="parTrans" cxnId="{501AF81F-EDA7-4634-BE2F-4461AC162427}">
      <dgm:prSet/>
      <dgm:spPr/>
      <dgm:t>
        <a:bodyPr/>
        <a:lstStyle/>
        <a:p>
          <a:endParaRPr lang="nl-NL" sz="2400"/>
        </a:p>
      </dgm:t>
    </dgm:pt>
    <dgm:pt modelId="{3EDD23AB-CD9C-43D5-A813-69B24A88F265}" type="sibTrans" cxnId="{501AF81F-EDA7-4634-BE2F-4461AC162427}">
      <dgm:prSet/>
      <dgm:spPr/>
      <dgm:t>
        <a:bodyPr/>
        <a:lstStyle/>
        <a:p>
          <a:endParaRPr lang="nl-NL" sz="2400"/>
        </a:p>
      </dgm:t>
    </dgm:pt>
    <dgm:pt modelId="{33D15CE1-2AE0-443F-9467-251AED4D49CA}">
      <dgm:prSet phldrT="[Tekst]" custT="1"/>
      <dgm:spPr/>
      <dgm:t>
        <a:bodyPr/>
        <a:lstStyle/>
        <a:p>
          <a:r>
            <a:rPr lang="nl-NL" sz="900"/>
            <a:t>Besluitvaardigheid</a:t>
          </a:r>
        </a:p>
      </dgm:t>
    </dgm:pt>
    <dgm:pt modelId="{8DBE2E30-A162-48E8-A94C-52C937E1A99A}" type="parTrans" cxnId="{30B7E838-9B7D-4D9C-AF84-FB3D80B5C2B5}">
      <dgm:prSet/>
      <dgm:spPr/>
      <dgm:t>
        <a:bodyPr/>
        <a:lstStyle/>
        <a:p>
          <a:endParaRPr lang="nl-NL" sz="2400"/>
        </a:p>
      </dgm:t>
    </dgm:pt>
    <dgm:pt modelId="{4DADF293-3BD0-4310-9161-04488FADA7BD}" type="sibTrans" cxnId="{30B7E838-9B7D-4D9C-AF84-FB3D80B5C2B5}">
      <dgm:prSet/>
      <dgm:spPr/>
      <dgm:t>
        <a:bodyPr/>
        <a:lstStyle/>
        <a:p>
          <a:endParaRPr lang="nl-NL" sz="2400"/>
        </a:p>
      </dgm:t>
    </dgm:pt>
    <dgm:pt modelId="{464CADB2-5C0A-499E-880D-27B3B06B5A3D}">
      <dgm:prSet phldrT="[Tekst]" custT="1"/>
      <dgm:spPr/>
      <dgm:t>
        <a:bodyPr/>
        <a:lstStyle/>
        <a:p>
          <a:r>
            <a:rPr lang="nl-NL" sz="900"/>
            <a:t>Overtuigen &amp; beinvloeden</a:t>
          </a:r>
        </a:p>
      </dgm:t>
    </dgm:pt>
    <dgm:pt modelId="{8119D722-6BA9-4785-8A53-4105DEEDF657}" type="parTrans" cxnId="{16961D73-ACEE-46B1-941F-230149DA61A6}">
      <dgm:prSet/>
      <dgm:spPr/>
      <dgm:t>
        <a:bodyPr/>
        <a:lstStyle/>
        <a:p>
          <a:endParaRPr lang="nl-NL" sz="2400"/>
        </a:p>
      </dgm:t>
    </dgm:pt>
    <dgm:pt modelId="{B913E8EF-34C5-40F3-B6EB-CE64043368BA}" type="sibTrans" cxnId="{16961D73-ACEE-46B1-941F-230149DA61A6}">
      <dgm:prSet/>
      <dgm:spPr/>
      <dgm:t>
        <a:bodyPr/>
        <a:lstStyle/>
        <a:p>
          <a:endParaRPr lang="nl-NL" sz="2400"/>
        </a:p>
      </dgm:t>
    </dgm:pt>
    <dgm:pt modelId="{A7DDA4F1-B40B-46B4-B746-EA89906A2FB4}">
      <dgm:prSet phldrT="[Tekst]" custT="1"/>
      <dgm:spPr/>
      <dgm:t>
        <a:bodyPr/>
        <a:lstStyle/>
        <a:p>
          <a:r>
            <a:rPr lang="nl-NL" sz="900"/>
            <a:t>Opbouwende feedback &amp; slecht nieuws gesprekken</a:t>
          </a:r>
        </a:p>
      </dgm:t>
    </dgm:pt>
    <dgm:pt modelId="{27302846-3F4E-4890-8FD2-653D02ED08C4}" type="parTrans" cxnId="{1A1ED718-5287-4C05-9F2C-9C591CDAFBB1}">
      <dgm:prSet/>
      <dgm:spPr/>
      <dgm:t>
        <a:bodyPr/>
        <a:lstStyle/>
        <a:p>
          <a:endParaRPr lang="nl-NL" sz="2400"/>
        </a:p>
      </dgm:t>
    </dgm:pt>
    <dgm:pt modelId="{BDDA1F47-37EC-4594-B19B-6BEADC130A10}" type="sibTrans" cxnId="{1A1ED718-5287-4C05-9F2C-9C591CDAFBB1}">
      <dgm:prSet/>
      <dgm:spPr/>
      <dgm:t>
        <a:bodyPr/>
        <a:lstStyle/>
        <a:p>
          <a:endParaRPr lang="nl-NL" sz="2400"/>
        </a:p>
      </dgm:t>
    </dgm:pt>
    <dgm:pt modelId="{35F91573-84CF-4D05-97CE-0E5A3583D4E6}">
      <dgm:prSet phldrT="[Tekst]" custT="1"/>
      <dgm:spPr/>
      <dgm:t>
        <a:bodyPr/>
        <a:lstStyle/>
        <a:p>
          <a:r>
            <a:rPr lang="nl-NL" sz="1800" b="1"/>
            <a:t>Business Skills</a:t>
          </a:r>
        </a:p>
      </dgm:t>
    </dgm:pt>
    <dgm:pt modelId="{C4B92D65-5D5B-4031-AC81-F50BE376D814}" type="parTrans" cxnId="{D99B360E-0CD9-4872-8220-7B7AB6BFD839}">
      <dgm:prSet/>
      <dgm:spPr/>
      <dgm:t>
        <a:bodyPr/>
        <a:lstStyle/>
        <a:p>
          <a:endParaRPr lang="nl-NL"/>
        </a:p>
      </dgm:t>
    </dgm:pt>
    <dgm:pt modelId="{F141414D-6441-49BD-B8D1-7829EEA431E5}" type="sibTrans" cxnId="{D99B360E-0CD9-4872-8220-7B7AB6BFD839}">
      <dgm:prSet/>
      <dgm:spPr/>
      <dgm:t>
        <a:bodyPr/>
        <a:lstStyle/>
        <a:p>
          <a:endParaRPr lang="nl-NL"/>
        </a:p>
      </dgm:t>
    </dgm:pt>
    <dgm:pt modelId="{437562EF-45B9-4108-A430-E90D425350DB}">
      <dgm:prSet phldrT="[Tekst]"/>
      <dgm:spPr/>
      <dgm:t>
        <a:bodyPr/>
        <a:lstStyle/>
        <a:p>
          <a:r>
            <a:rPr lang="nl-NL"/>
            <a:t>Organisatie- en management identificatie</a:t>
          </a:r>
        </a:p>
      </dgm:t>
    </dgm:pt>
    <dgm:pt modelId="{5D122FFE-41EF-4D98-A656-471511B9F739}" type="parTrans" cxnId="{55C2DFF2-EDBE-45FB-8FCB-121AEBAE19AA}">
      <dgm:prSet/>
      <dgm:spPr/>
      <dgm:t>
        <a:bodyPr/>
        <a:lstStyle/>
        <a:p>
          <a:endParaRPr lang="nl-NL"/>
        </a:p>
      </dgm:t>
    </dgm:pt>
    <dgm:pt modelId="{DA5646B2-415F-44CC-B454-6CDE34BFAF76}" type="sibTrans" cxnId="{55C2DFF2-EDBE-45FB-8FCB-121AEBAE19AA}">
      <dgm:prSet/>
      <dgm:spPr/>
      <dgm:t>
        <a:bodyPr/>
        <a:lstStyle/>
        <a:p>
          <a:endParaRPr lang="nl-NL"/>
        </a:p>
      </dgm:t>
    </dgm:pt>
    <dgm:pt modelId="{2B8DCA65-5882-490B-B6E0-1244B42860BD}">
      <dgm:prSet phldrT="[Tekst]"/>
      <dgm:spPr/>
      <dgm:t>
        <a:bodyPr/>
        <a:lstStyle/>
        <a:p>
          <a:r>
            <a:rPr lang="nl-NL"/>
            <a:t>Strategische conceptualisatie</a:t>
          </a:r>
        </a:p>
      </dgm:t>
    </dgm:pt>
    <dgm:pt modelId="{AF4BB2B8-6F57-43A5-998F-8FEB6870A237}" type="parTrans" cxnId="{C6CB4B4E-3CB8-4590-84FC-3F095DABDA92}">
      <dgm:prSet/>
      <dgm:spPr/>
      <dgm:t>
        <a:bodyPr/>
        <a:lstStyle/>
        <a:p>
          <a:endParaRPr lang="nl-NL"/>
        </a:p>
      </dgm:t>
    </dgm:pt>
    <dgm:pt modelId="{DCAF1C21-F262-4AFE-8421-2B398F24486E}" type="sibTrans" cxnId="{C6CB4B4E-3CB8-4590-84FC-3F095DABDA92}">
      <dgm:prSet/>
      <dgm:spPr/>
      <dgm:t>
        <a:bodyPr/>
        <a:lstStyle/>
        <a:p>
          <a:endParaRPr lang="nl-NL"/>
        </a:p>
      </dgm:t>
    </dgm:pt>
    <dgm:pt modelId="{15D775C9-9490-4A8C-8606-292DE6D1D53F}">
      <dgm:prSet phldrT="[Tekst]"/>
      <dgm:spPr/>
      <dgm:t>
        <a:bodyPr/>
        <a:lstStyle/>
        <a:p>
          <a:r>
            <a:rPr lang="nl-NL"/>
            <a:t>Projectmanagement</a:t>
          </a:r>
        </a:p>
      </dgm:t>
    </dgm:pt>
    <dgm:pt modelId="{F8978FD2-D021-43EA-A358-35B52665F96B}" type="parTrans" cxnId="{3DE601D1-0C81-4723-843D-1DD0725735FE}">
      <dgm:prSet/>
      <dgm:spPr/>
      <dgm:t>
        <a:bodyPr/>
        <a:lstStyle/>
        <a:p>
          <a:endParaRPr lang="nl-NL"/>
        </a:p>
      </dgm:t>
    </dgm:pt>
    <dgm:pt modelId="{F54A7DEE-2768-4F69-97DE-957C9B2086DF}" type="sibTrans" cxnId="{3DE601D1-0C81-4723-843D-1DD0725735FE}">
      <dgm:prSet/>
      <dgm:spPr/>
      <dgm:t>
        <a:bodyPr/>
        <a:lstStyle/>
        <a:p>
          <a:endParaRPr lang="nl-NL"/>
        </a:p>
      </dgm:t>
    </dgm:pt>
    <dgm:pt modelId="{23669D9C-1B83-4042-BBDD-E437161DD5D6}">
      <dgm:prSet phldrT="[Tekst]"/>
      <dgm:spPr/>
      <dgm:t>
        <a:bodyPr/>
        <a:lstStyle/>
        <a:p>
          <a:r>
            <a:rPr lang="nl-NL"/>
            <a:t>Verander-management</a:t>
          </a:r>
        </a:p>
      </dgm:t>
    </dgm:pt>
    <dgm:pt modelId="{BC0690C2-1CFB-4558-98BE-D57A2ED56433}" type="parTrans" cxnId="{BC0D9673-3077-4617-B59E-EC25082B159E}">
      <dgm:prSet/>
      <dgm:spPr/>
      <dgm:t>
        <a:bodyPr/>
        <a:lstStyle/>
        <a:p>
          <a:endParaRPr lang="nl-NL"/>
        </a:p>
      </dgm:t>
    </dgm:pt>
    <dgm:pt modelId="{F788100D-E697-41D6-8F56-32F86DF6336D}" type="sibTrans" cxnId="{BC0D9673-3077-4617-B59E-EC25082B159E}">
      <dgm:prSet/>
      <dgm:spPr/>
      <dgm:t>
        <a:bodyPr/>
        <a:lstStyle/>
        <a:p>
          <a:endParaRPr lang="nl-NL"/>
        </a:p>
      </dgm:t>
    </dgm:pt>
    <dgm:pt modelId="{9CC56A7C-11FF-4892-B122-891E65EB1004}">
      <dgm:prSet phldrT="[Tekst]"/>
      <dgm:spPr/>
      <dgm:t>
        <a:bodyPr/>
        <a:lstStyle/>
        <a:p>
          <a:r>
            <a:rPr lang="nl-NL"/>
            <a:t>Leidinggeven</a:t>
          </a:r>
        </a:p>
      </dgm:t>
    </dgm:pt>
    <dgm:pt modelId="{F9FC4AA1-7DA9-455E-8AF2-773670B97011}" type="parTrans" cxnId="{DD5B6D5E-0C04-4034-8CAF-6472FC67D767}">
      <dgm:prSet/>
      <dgm:spPr/>
      <dgm:t>
        <a:bodyPr/>
        <a:lstStyle/>
        <a:p>
          <a:endParaRPr lang="nl-NL"/>
        </a:p>
      </dgm:t>
    </dgm:pt>
    <dgm:pt modelId="{D118C918-C2CF-42EA-A3C1-36E577D91416}" type="sibTrans" cxnId="{DD5B6D5E-0C04-4034-8CAF-6472FC67D767}">
      <dgm:prSet/>
      <dgm:spPr/>
      <dgm:t>
        <a:bodyPr/>
        <a:lstStyle/>
        <a:p>
          <a:endParaRPr lang="nl-NL"/>
        </a:p>
      </dgm:t>
    </dgm:pt>
    <dgm:pt modelId="{142175FC-D925-4743-A65F-E3BE4CE93482}">
      <dgm:prSet phldrT="[Tekst]" custT="1"/>
      <dgm:spPr/>
      <dgm:t>
        <a:bodyPr/>
        <a:lstStyle/>
        <a:p>
          <a:r>
            <a:rPr lang="nl-NL" sz="900"/>
            <a:t>Tag management</a:t>
          </a:r>
        </a:p>
      </dgm:t>
    </dgm:pt>
    <dgm:pt modelId="{3FA5FB17-3DCF-4F2B-B758-E9DEE5EB1962}" type="parTrans" cxnId="{65FAA14E-38CD-404C-950A-F762B2F661D2}">
      <dgm:prSet/>
      <dgm:spPr/>
      <dgm:t>
        <a:bodyPr/>
        <a:lstStyle/>
        <a:p>
          <a:endParaRPr lang="nl-NL"/>
        </a:p>
      </dgm:t>
    </dgm:pt>
    <dgm:pt modelId="{BCC39440-6D9C-40A9-BF31-AD46292F7C99}" type="sibTrans" cxnId="{65FAA14E-38CD-404C-950A-F762B2F661D2}">
      <dgm:prSet/>
      <dgm:spPr/>
      <dgm:t>
        <a:bodyPr/>
        <a:lstStyle/>
        <a:p>
          <a:endParaRPr lang="nl-NL"/>
        </a:p>
      </dgm:t>
    </dgm:pt>
    <dgm:pt modelId="{8B7F9807-F819-4F92-A42F-D1E559B2FD53}">
      <dgm:prSet phldrT="[Tekst]" custT="1"/>
      <dgm:spPr/>
      <dgm:t>
        <a:bodyPr/>
        <a:lstStyle/>
        <a:p>
          <a:r>
            <a:rPr lang="nl-NL" sz="900"/>
            <a:t>Data structures, tagplans, datalayer</a:t>
          </a:r>
        </a:p>
      </dgm:t>
    </dgm:pt>
    <dgm:pt modelId="{5E92501D-E90C-4AA4-BA27-C3436E3BDF67}" type="parTrans" cxnId="{783CA538-8FB1-403A-B0D1-3B523ED66EEE}">
      <dgm:prSet/>
      <dgm:spPr/>
      <dgm:t>
        <a:bodyPr/>
        <a:lstStyle/>
        <a:p>
          <a:endParaRPr lang="nl-NL"/>
        </a:p>
      </dgm:t>
    </dgm:pt>
    <dgm:pt modelId="{EFF7AD93-D1FA-447F-B930-D4EA2D8A3B0F}" type="sibTrans" cxnId="{783CA538-8FB1-403A-B0D1-3B523ED66EEE}">
      <dgm:prSet/>
      <dgm:spPr/>
      <dgm:t>
        <a:bodyPr/>
        <a:lstStyle/>
        <a:p>
          <a:endParaRPr lang="nl-NL"/>
        </a:p>
      </dgm:t>
    </dgm:pt>
    <dgm:pt modelId="{63B20721-F312-4469-9B91-765994301A3A}">
      <dgm:prSet phldrT="[Tekst]" custT="1"/>
      <dgm:spPr/>
      <dgm:t>
        <a:bodyPr/>
        <a:lstStyle/>
        <a:p>
          <a:r>
            <a:rPr lang="nl-NL" sz="900"/>
            <a:t>Tagging trends in domain</a:t>
          </a:r>
        </a:p>
      </dgm:t>
    </dgm:pt>
    <dgm:pt modelId="{FE7C9C80-E997-488F-B028-AB25F0C60E70}" type="parTrans" cxnId="{25D5E091-BCCF-42D9-A142-620561D0902E}">
      <dgm:prSet/>
      <dgm:spPr/>
      <dgm:t>
        <a:bodyPr/>
        <a:lstStyle/>
        <a:p>
          <a:endParaRPr lang="nl-NL"/>
        </a:p>
      </dgm:t>
    </dgm:pt>
    <dgm:pt modelId="{DD71912C-D0E8-402C-ABBE-4158FA781DEE}" type="sibTrans" cxnId="{25D5E091-BCCF-42D9-A142-620561D0902E}">
      <dgm:prSet/>
      <dgm:spPr/>
      <dgm:t>
        <a:bodyPr/>
        <a:lstStyle/>
        <a:p>
          <a:endParaRPr lang="nl-NL"/>
        </a:p>
      </dgm:t>
    </dgm:pt>
    <dgm:pt modelId="{F41F5EF3-2752-4CE6-9583-DFB4FA12F31D}">
      <dgm:prSet phldrT="[Tekst]" custT="1"/>
      <dgm:spPr/>
      <dgm:t>
        <a:bodyPr/>
        <a:lstStyle/>
        <a:p>
          <a:r>
            <a:rPr lang="nl-NL" sz="900"/>
            <a:t>Requirements</a:t>
          </a:r>
        </a:p>
      </dgm:t>
    </dgm:pt>
    <dgm:pt modelId="{385EEA3B-1394-41DA-A43F-24A17FEFB3B2}" type="parTrans" cxnId="{6F93BD73-4263-47E7-94A0-571A55A762C7}">
      <dgm:prSet/>
      <dgm:spPr/>
      <dgm:t>
        <a:bodyPr/>
        <a:lstStyle/>
        <a:p>
          <a:endParaRPr lang="nl-NL"/>
        </a:p>
      </dgm:t>
    </dgm:pt>
    <dgm:pt modelId="{02483115-51F1-442B-8CDD-DEE60CFEA49D}" type="sibTrans" cxnId="{6F93BD73-4263-47E7-94A0-571A55A762C7}">
      <dgm:prSet/>
      <dgm:spPr/>
      <dgm:t>
        <a:bodyPr/>
        <a:lstStyle/>
        <a:p>
          <a:endParaRPr lang="nl-NL"/>
        </a:p>
      </dgm:t>
    </dgm:pt>
    <dgm:pt modelId="{388D3BE7-BB07-4056-B16C-FE7D33D6BD36}">
      <dgm:prSet phldrT="[Tekst]" custT="1"/>
      <dgm:spPr/>
      <dgm:t>
        <a:bodyPr/>
        <a:lstStyle/>
        <a:p>
          <a:r>
            <a:rPr lang="nl-NL" sz="900"/>
            <a:t>Debugging</a:t>
          </a:r>
        </a:p>
      </dgm:t>
    </dgm:pt>
    <dgm:pt modelId="{3635858B-35C0-4468-B5C9-D9FC46059623}" type="parTrans" cxnId="{A6E7CE32-7554-41F6-9C25-95A7B6D33A8D}">
      <dgm:prSet/>
      <dgm:spPr/>
      <dgm:t>
        <a:bodyPr/>
        <a:lstStyle/>
        <a:p>
          <a:endParaRPr lang="nl-NL"/>
        </a:p>
      </dgm:t>
    </dgm:pt>
    <dgm:pt modelId="{C00E6615-BADB-41A3-9F0D-44980A4A6198}" type="sibTrans" cxnId="{A6E7CE32-7554-41F6-9C25-95A7B6D33A8D}">
      <dgm:prSet/>
      <dgm:spPr/>
      <dgm:t>
        <a:bodyPr/>
        <a:lstStyle/>
        <a:p>
          <a:endParaRPr lang="nl-NL"/>
        </a:p>
      </dgm:t>
    </dgm:pt>
    <dgm:pt modelId="{0D2DEA6F-D8C0-4FEB-A933-8C9C6B02B855}">
      <dgm:prSet phldrT="[Tekst]" custT="1"/>
      <dgm:spPr/>
      <dgm:t>
        <a:bodyPr/>
        <a:lstStyle/>
        <a:p>
          <a:r>
            <a:rPr lang="nl-NL" sz="900"/>
            <a:t>Programming</a:t>
          </a:r>
        </a:p>
      </dgm:t>
    </dgm:pt>
    <dgm:pt modelId="{1338C48E-51BB-4AD9-A052-029E069EE8E2}" type="parTrans" cxnId="{EB5F0B77-1588-4912-9274-8563CFAF44EE}">
      <dgm:prSet/>
      <dgm:spPr/>
      <dgm:t>
        <a:bodyPr/>
        <a:lstStyle/>
        <a:p>
          <a:endParaRPr lang="nl-NL"/>
        </a:p>
      </dgm:t>
    </dgm:pt>
    <dgm:pt modelId="{98F0B367-9504-44A7-94E2-F2134D7D10F8}" type="sibTrans" cxnId="{EB5F0B77-1588-4912-9274-8563CFAF44EE}">
      <dgm:prSet/>
      <dgm:spPr/>
      <dgm:t>
        <a:bodyPr/>
        <a:lstStyle/>
        <a:p>
          <a:endParaRPr lang="nl-NL"/>
        </a:p>
      </dgm:t>
    </dgm:pt>
    <dgm:pt modelId="{7D112E5F-5E8D-4BAC-B50E-86C24ABA9E6B}" type="pres">
      <dgm:prSet presAssocID="{3C8EFC9A-BDC9-4CB0-8DCF-FD6F89FD7C78}" presName="theList" presStyleCnt="0">
        <dgm:presLayoutVars>
          <dgm:dir/>
          <dgm:animLvl val="lvl"/>
          <dgm:resizeHandles val="exact"/>
        </dgm:presLayoutVars>
      </dgm:prSet>
      <dgm:spPr/>
    </dgm:pt>
    <dgm:pt modelId="{4301FABA-D3E5-4FCD-BE6A-B0CB16ED0DEF}" type="pres">
      <dgm:prSet presAssocID="{7ED69BD0-5C46-430C-BD11-1675B78445AF}" presName="compNode" presStyleCnt="0"/>
      <dgm:spPr/>
    </dgm:pt>
    <dgm:pt modelId="{4470F352-0887-4B4E-81B9-385C6AD8A1EF}" type="pres">
      <dgm:prSet presAssocID="{7ED69BD0-5C46-430C-BD11-1675B78445AF}" presName="aNode" presStyleLbl="bgShp" presStyleIdx="0" presStyleCnt="6" custLinFactNeighborX="-32702" custLinFactNeighborY="-11298"/>
      <dgm:spPr/>
    </dgm:pt>
    <dgm:pt modelId="{F05B5A65-AC5E-407E-B187-D515ADC27144}" type="pres">
      <dgm:prSet presAssocID="{7ED69BD0-5C46-430C-BD11-1675B78445AF}" presName="textNode" presStyleLbl="bgShp" presStyleIdx="0" presStyleCnt="6"/>
      <dgm:spPr/>
    </dgm:pt>
    <dgm:pt modelId="{A624F00D-DAF2-4670-AA4A-208C7DFEA3B7}" type="pres">
      <dgm:prSet presAssocID="{7ED69BD0-5C46-430C-BD11-1675B78445AF}" presName="compChildNode" presStyleCnt="0"/>
      <dgm:spPr/>
    </dgm:pt>
    <dgm:pt modelId="{533A268E-215C-474A-8A7A-CC045A7FFEC3}" type="pres">
      <dgm:prSet presAssocID="{7ED69BD0-5C46-430C-BD11-1675B78445AF}" presName="theInnerList" presStyleCnt="0"/>
      <dgm:spPr/>
    </dgm:pt>
    <dgm:pt modelId="{D9D4FC23-0730-4C6A-92D3-55905B566BDA}" type="pres">
      <dgm:prSet presAssocID="{E4B92491-EA9A-4D22-9CF8-82866D9BC210}" presName="childNode" presStyleLbl="node1" presStyleIdx="0" presStyleCnt="29">
        <dgm:presLayoutVars>
          <dgm:bulletEnabled val="1"/>
        </dgm:presLayoutVars>
      </dgm:prSet>
      <dgm:spPr/>
    </dgm:pt>
    <dgm:pt modelId="{7CC912D5-C980-4E1E-9C52-57A9CBD43DD8}" type="pres">
      <dgm:prSet presAssocID="{E4B92491-EA9A-4D22-9CF8-82866D9BC210}" presName="aSpace2" presStyleCnt="0"/>
      <dgm:spPr/>
    </dgm:pt>
    <dgm:pt modelId="{B92FF65D-7314-4281-8C61-D2E02ABB453E}" type="pres">
      <dgm:prSet presAssocID="{086678A7-F493-4823-B3B6-57A9657951CF}" presName="childNode" presStyleLbl="node1" presStyleIdx="1" presStyleCnt="29">
        <dgm:presLayoutVars>
          <dgm:bulletEnabled val="1"/>
        </dgm:presLayoutVars>
      </dgm:prSet>
      <dgm:spPr/>
    </dgm:pt>
    <dgm:pt modelId="{73953B14-DABE-4B45-B824-FBE124E351EA}" type="pres">
      <dgm:prSet presAssocID="{086678A7-F493-4823-B3B6-57A9657951CF}" presName="aSpace2" presStyleCnt="0"/>
      <dgm:spPr/>
    </dgm:pt>
    <dgm:pt modelId="{8BA67AC5-5D23-4E1E-BC34-5B51379E48E7}" type="pres">
      <dgm:prSet presAssocID="{1DCEF51C-F50A-4B0B-9902-33B322D5ADEF}" presName="childNode" presStyleLbl="node1" presStyleIdx="2" presStyleCnt="29">
        <dgm:presLayoutVars>
          <dgm:bulletEnabled val="1"/>
        </dgm:presLayoutVars>
      </dgm:prSet>
      <dgm:spPr/>
    </dgm:pt>
    <dgm:pt modelId="{90BBE37B-DDB2-4AAE-AB19-880B559F56DA}" type="pres">
      <dgm:prSet presAssocID="{1DCEF51C-F50A-4B0B-9902-33B322D5ADEF}" presName="aSpace2" presStyleCnt="0"/>
      <dgm:spPr/>
    </dgm:pt>
    <dgm:pt modelId="{EE4F65C3-F61D-4F57-82E6-6248AF681702}" type="pres">
      <dgm:prSet presAssocID="{2E51DF25-B7C0-43DA-ADCE-0B6DAA3E9F7B}" presName="childNode" presStyleLbl="node1" presStyleIdx="3" presStyleCnt="29">
        <dgm:presLayoutVars>
          <dgm:bulletEnabled val="1"/>
        </dgm:presLayoutVars>
      </dgm:prSet>
      <dgm:spPr/>
    </dgm:pt>
    <dgm:pt modelId="{59A96A6C-4DA1-40BF-BF04-0514F78121CF}" type="pres">
      <dgm:prSet presAssocID="{2E51DF25-B7C0-43DA-ADCE-0B6DAA3E9F7B}" presName="aSpace2" presStyleCnt="0"/>
      <dgm:spPr/>
    </dgm:pt>
    <dgm:pt modelId="{4AA2C2D8-38AC-49A4-B325-32683F44EAF4}" type="pres">
      <dgm:prSet presAssocID="{C765EFE1-9587-4BD0-BA1D-81A6425C17DB}" presName="childNode" presStyleLbl="node1" presStyleIdx="4" presStyleCnt="29">
        <dgm:presLayoutVars>
          <dgm:bulletEnabled val="1"/>
        </dgm:presLayoutVars>
      </dgm:prSet>
      <dgm:spPr/>
    </dgm:pt>
    <dgm:pt modelId="{660A3C69-90FE-49F7-90AF-6D0370DB9A7D}" type="pres">
      <dgm:prSet presAssocID="{C765EFE1-9587-4BD0-BA1D-81A6425C17DB}" presName="aSpace2" presStyleCnt="0"/>
      <dgm:spPr/>
    </dgm:pt>
    <dgm:pt modelId="{211DDDCD-7378-4BEA-A98D-65ED33393EC4}" type="pres">
      <dgm:prSet presAssocID="{7C0E973C-743C-470A-8B02-0F4E3FD93FC5}" presName="childNode" presStyleLbl="node1" presStyleIdx="5" presStyleCnt="29">
        <dgm:presLayoutVars>
          <dgm:bulletEnabled val="1"/>
        </dgm:presLayoutVars>
      </dgm:prSet>
      <dgm:spPr/>
    </dgm:pt>
    <dgm:pt modelId="{C16AB182-874D-4807-9AFD-D4E1B87B6A38}" type="pres">
      <dgm:prSet presAssocID="{7ED69BD0-5C46-430C-BD11-1675B78445AF}" presName="aSpace" presStyleCnt="0"/>
      <dgm:spPr/>
    </dgm:pt>
    <dgm:pt modelId="{DDC1624A-B4AF-45C4-96AB-6684F5D040BE}" type="pres">
      <dgm:prSet presAssocID="{71C93146-8DBD-47BA-9B89-8D2FF25B6FDE}" presName="compNode" presStyleCnt="0"/>
      <dgm:spPr/>
    </dgm:pt>
    <dgm:pt modelId="{54671E33-5AC7-4CD0-91C9-A60A47022F3E}" type="pres">
      <dgm:prSet presAssocID="{71C93146-8DBD-47BA-9B89-8D2FF25B6FDE}" presName="aNode" presStyleLbl="bgShp" presStyleIdx="1" presStyleCnt="6"/>
      <dgm:spPr/>
    </dgm:pt>
    <dgm:pt modelId="{6480FF0A-C4CA-4878-B3DC-5C3D2BC5401E}" type="pres">
      <dgm:prSet presAssocID="{71C93146-8DBD-47BA-9B89-8D2FF25B6FDE}" presName="textNode" presStyleLbl="bgShp" presStyleIdx="1" presStyleCnt="6"/>
      <dgm:spPr/>
    </dgm:pt>
    <dgm:pt modelId="{A367C46E-BD57-4EAA-AAC8-349DD5760DC9}" type="pres">
      <dgm:prSet presAssocID="{71C93146-8DBD-47BA-9B89-8D2FF25B6FDE}" presName="compChildNode" presStyleCnt="0"/>
      <dgm:spPr/>
    </dgm:pt>
    <dgm:pt modelId="{10201B17-1614-4D45-8D1F-E89E82CE147B}" type="pres">
      <dgm:prSet presAssocID="{71C93146-8DBD-47BA-9B89-8D2FF25B6FDE}" presName="theInnerList" presStyleCnt="0"/>
      <dgm:spPr/>
    </dgm:pt>
    <dgm:pt modelId="{9B677AB5-8643-43AB-A8BB-D8E12AD5A274}" type="pres">
      <dgm:prSet presAssocID="{6C20051A-C227-4FCE-84B9-13E8355C6FE0}" presName="childNode" presStyleLbl="node1" presStyleIdx="6" presStyleCnt="29">
        <dgm:presLayoutVars>
          <dgm:bulletEnabled val="1"/>
        </dgm:presLayoutVars>
      </dgm:prSet>
      <dgm:spPr/>
    </dgm:pt>
    <dgm:pt modelId="{E08A0542-F05D-4D2B-80EB-8F1029EAB166}" type="pres">
      <dgm:prSet presAssocID="{6C20051A-C227-4FCE-84B9-13E8355C6FE0}" presName="aSpace2" presStyleCnt="0"/>
      <dgm:spPr/>
    </dgm:pt>
    <dgm:pt modelId="{B5D870D0-097B-4398-AB09-A25CBC7E53C9}" type="pres">
      <dgm:prSet presAssocID="{63B20721-F312-4469-9B91-765994301A3A}" presName="childNode" presStyleLbl="node1" presStyleIdx="7" presStyleCnt="29">
        <dgm:presLayoutVars>
          <dgm:bulletEnabled val="1"/>
        </dgm:presLayoutVars>
      </dgm:prSet>
      <dgm:spPr/>
    </dgm:pt>
    <dgm:pt modelId="{66D684AA-86FB-4848-AAFE-13D2A9B89885}" type="pres">
      <dgm:prSet presAssocID="{63B20721-F312-4469-9B91-765994301A3A}" presName="aSpace2" presStyleCnt="0"/>
      <dgm:spPr/>
    </dgm:pt>
    <dgm:pt modelId="{74775DD3-DAF7-431F-8441-2EBCC37BE9A2}" type="pres">
      <dgm:prSet presAssocID="{F41F5EF3-2752-4CE6-9583-DFB4FA12F31D}" presName="childNode" presStyleLbl="node1" presStyleIdx="8" presStyleCnt="29">
        <dgm:presLayoutVars>
          <dgm:bulletEnabled val="1"/>
        </dgm:presLayoutVars>
      </dgm:prSet>
      <dgm:spPr/>
    </dgm:pt>
    <dgm:pt modelId="{E1E0E8BA-EBC3-4F70-B3ED-DB8A17482F28}" type="pres">
      <dgm:prSet presAssocID="{71C93146-8DBD-47BA-9B89-8D2FF25B6FDE}" presName="aSpace" presStyleCnt="0"/>
      <dgm:spPr/>
    </dgm:pt>
    <dgm:pt modelId="{402D373B-B130-4BCE-B754-88E874A8BA2F}" type="pres">
      <dgm:prSet presAssocID="{CB339438-8F81-4836-B0D6-39E445779B2D}" presName="compNode" presStyleCnt="0"/>
      <dgm:spPr/>
    </dgm:pt>
    <dgm:pt modelId="{6D56517E-766B-45C1-B3BA-03A92A9F1628}" type="pres">
      <dgm:prSet presAssocID="{CB339438-8F81-4836-B0D6-39E445779B2D}" presName="aNode" presStyleLbl="bgShp" presStyleIdx="2" presStyleCnt="6" custLinFactNeighborX="1282" custLinFactNeighborY="-546"/>
      <dgm:spPr/>
    </dgm:pt>
    <dgm:pt modelId="{3D88E221-0C0B-49C5-BB85-D37F5241594C}" type="pres">
      <dgm:prSet presAssocID="{CB339438-8F81-4836-B0D6-39E445779B2D}" presName="textNode" presStyleLbl="bgShp" presStyleIdx="2" presStyleCnt="6"/>
      <dgm:spPr/>
    </dgm:pt>
    <dgm:pt modelId="{FC127A81-509B-4C31-A143-B820FFD61064}" type="pres">
      <dgm:prSet presAssocID="{CB339438-8F81-4836-B0D6-39E445779B2D}" presName="compChildNode" presStyleCnt="0"/>
      <dgm:spPr/>
    </dgm:pt>
    <dgm:pt modelId="{E3A1EC06-F8F1-47EA-A4C0-7BCCDF995841}" type="pres">
      <dgm:prSet presAssocID="{CB339438-8F81-4836-B0D6-39E445779B2D}" presName="theInnerList" presStyleCnt="0"/>
      <dgm:spPr/>
    </dgm:pt>
    <dgm:pt modelId="{A239EC8B-8508-4BCF-8FEB-C4B29C102781}" type="pres">
      <dgm:prSet presAssocID="{D38A169C-73FA-404F-BBC1-E58D54FDBE12}" presName="childNode" presStyleLbl="node1" presStyleIdx="9" presStyleCnt="29">
        <dgm:presLayoutVars>
          <dgm:bulletEnabled val="1"/>
        </dgm:presLayoutVars>
      </dgm:prSet>
      <dgm:spPr/>
    </dgm:pt>
    <dgm:pt modelId="{DE9FC021-E5D3-46E0-B2AF-55F27F9D3A13}" type="pres">
      <dgm:prSet presAssocID="{D38A169C-73FA-404F-BBC1-E58D54FDBE12}" presName="aSpace2" presStyleCnt="0"/>
      <dgm:spPr/>
    </dgm:pt>
    <dgm:pt modelId="{6A2DAABB-876A-47FD-BE7B-55DED4AE8D7D}" type="pres">
      <dgm:prSet presAssocID="{142175FC-D925-4743-A65F-E3BE4CE93482}" presName="childNode" presStyleLbl="node1" presStyleIdx="10" presStyleCnt="29">
        <dgm:presLayoutVars>
          <dgm:bulletEnabled val="1"/>
        </dgm:presLayoutVars>
      </dgm:prSet>
      <dgm:spPr/>
    </dgm:pt>
    <dgm:pt modelId="{E23970C8-D920-4BF0-A669-CF40216FEE7B}" type="pres">
      <dgm:prSet presAssocID="{142175FC-D925-4743-A65F-E3BE4CE93482}" presName="aSpace2" presStyleCnt="0"/>
      <dgm:spPr/>
    </dgm:pt>
    <dgm:pt modelId="{BA720AA9-5F7C-42D6-8013-F5034CA8CF9A}" type="pres">
      <dgm:prSet presAssocID="{8B7F9807-F819-4F92-A42F-D1E559B2FD53}" presName="childNode" presStyleLbl="node1" presStyleIdx="11" presStyleCnt="29">
        <dgm:presLayoutVars>
          <dgm:bulletEnabled val="1"/>
        </dgm:presLayoutVars>
      </dgm:prSet>
      <dgm:spPr/>
    </dgm:pt>
    <dgm:pt modelId="{930CB17E-F995-4612-817C-0477E558F88E}" type="pres">
      <dgm:prSet presAssocID="{8B7F9807-F819-4F92-A42F-D1E559B2FD53}" presName="aSpace2" presStyleCnt="0"/>
      <dgm:spPr/>
    </dgm:pt>
    <dgm:pt modelId="{EDE04BA0-5878-419E-8E19-C3EF2AA315AF}" type="pres">
      <dgm:prSet presAssocID="{388D3BE7-BB07-4056-B16C-FE7D33D6BD36}" presName="childNode" presStyleLbl="node1" presStyleIdx="12" presStyleCnt="29">
        <dgm:presLayoutVars>
          <dgm:bulletEnabled val="1"/>
        </dgm:presLayoutVars>
      </dgm:prSet>
      <dgm:spPr/>
    </dgm:pt>
    <dgm:pt modelId="{50B41810-C3B5-432B-A0A1-357D5753AF7A}" type="pres">
      <dgm:prSet presAssocID="{388D3BE7-BB07-4056-B16C-FE7D33D6BD36}" presName="aSpace2" presStyleCnt="0"/>
      <dgm:spPr/>
    </dgm:pt>
    <dgm:pt modelId="{A68845FC-6DDE-4C7E-881F-812E90A866F1}" type="pres">
      <dgm:prSet presAssocID="{0D2DEA6F-D8C0-4FEB-A933-8C9C6B02B855}" presName="childNode" presStyleLbl="node1" presStyleIdx="13" presStyleCnt="29">
        <dgm:presLayoutVars>
          <dgm:bulletEnabled val="1"/>
        </dgm:presLayoutVars>
      </dgm:prSet>
      <dgm:spPr/>
    </dgm:pt>
    <dgm:pt modelId="{3E1558C7-1B44-4DF1-9150-BC01D24B90ED}" type="pres">
      <dgm:prSet presAssocID="{CB339438-8F81-4836-B0D6-39E445779B2D}" presName="aSpace" presStyleCnt="0"/>
      <dgm:spPr/>
    </dgm:pt>
    <dgm:pt modelId="{8A5ABB40-4AF3-4F54-8A23-25AF2440FB8F}" type="pres">
      <dgm:prSet presAssocID="{39F506DE-50F1-49BE-9ED2-88EFDAE6F0E1}" presName="compNode" presStyleCnt="0"/>
      <dgm:spPr/>
    </dgm:pt>
    <dgm:pt modelId="{D3D71071-A754-4C0E-9FFD-064FC19C1E19}" type="pres">
      <dgm:prSet presAssocID="{39F506DE-50F1-49BE-9ED2-88EFDAE6F0E1}" presName="aNode" presStyleLbl="bgShp" presStyleIdx="3" presStyleCnt="6"/>
      <dgm:spPr/>
    </dgm:pt>
    <dgm:pt modelId="{7B18AFFD-E121-412C-9D04-2A61C280EF92}" type="pres">
      <dgm:prSet presAssocID="{39F506DE-50F1-49BE-9ED2-88EFDAE6F0E1}" presName="textNode" presStyleLbl="bgShp" presStyleIdx="3" presStyleCnt="6"/>
      <dgm:spPr/>
    </dgm:pt>
    <dgm:pt modelId="{6464E99A-573D-4147-88DF-98BE15D9D1B3}" type="pres">
      <dgm:prSet presAssocID="{39F506DE-50F1-49BE-9ED2-88EFDAE6F0E1}" presName="compChildNode" presStyleCnt="0"/>
      <dgm:spPr/>
    </dgm:pt>
    <dgm:pt modelId="{9429677E-75CB-407F-90AA-2397BCA125A9}" type="pres">
      <dgm:prSet presAssocID="{39F506DE-50F1-49BE-9ED2-88EFDAE6F0E1}" presName="theInnerList" presStyleCnt="0"/>
      <dgm:spPr/>
    </dgm:pt>
    <dgm:pt modelId="{5FFDAE0D-01DD-4F48-856B-01906FDFAC4D}" type="pres">
      <dgm:prSet presAssocID="{5689EC68-4989-4E1E-96FD-3A6DB0CAD78C}" presName="childNode" presStyleLbl="node1" presStyleIdx="14" presStyleCnt="29">
        <dgm:presLayoutVars>
          <dgm:bulletEnabled val="1"/>
        </dgm:presLayoutVars>
      </dgm:prSet>
      <dgm:spPr/>
    </dgm:pt>
    <dgm:pt modelId="{60D1828E-3849-4FD2-B0B7-E09590FEA5A9}" type="pres">
      <dgm:prSet presAssocID="{5689EC68-4989-4E1E-96FD-3A6DB0CAD78C}" presName="aSpace2" presStyleCnt="0"/>
      <dgm:spPr/>
    </dgm:pt>
    <dgm:pt modelId="{7BE6FBB6-2C7F-4090-924E-AD3A157FFABE}" type="pres">
      <dgm:prSet presAssocID="{C134F88E-4C4C-4F83-B22D-C129B7E3477A}" presName="childNode" presStyleLbl="node1" presStyleIdx="15" presStyleCnt="29">
        <dgm:presLayoutVars>
          <dgm:bulletEnabled val="1"/>
        </dgm:presLayoutVars>
      </dgm:prSet>
      <dgm:spPr/>
    </dgm:pt>
    <dgm:pt modelId="{EB50AF21-1867-4AFD-9D93-5104C82232E5}" type="pres">
      <dgm:prSet presAssocID="{C134F88E-4C4C-4F83-B22D-C129B7E3477A}" presName="aSpace2" presStyleCnt="0"/>
      <dgm:spPr/>
    </dgm:pt>
    <dgm:pt modelId="{1BF27B21-0FAC-4F32-B691-48071D34A960}" type="pres">
      <dgm:prSet presAssocID="{5788F799-C613-40C5-8761-BEA82B1C90FC}" presName="childNode" presStyleLbl="node1" presStyleIdx="16" presStyleCnt="29">
        <dgm:presLayoutVars>
          <dgm:bulletEnabled val="1"/>
        </dgm:presLayoutVars>
      </dgm:prSet>
      <dgm:spPr/>
    </dgm:pt>
    <dgm:pt modelId="{E10D0A9F-4D55-40F0-920D-07936253DA14}" type="pres">
      <dgm:prSet presAssocID="{5788F799-C613-40C5-8761-BEA82B1C90FC}" presName="aSpace2" presStyleCnt="0"/>
      <dgm:spPr/>
    </dgm:pt>
    <dgm:pt modelId="{9821E4E8-E247-4525-A9DD-43D8B524714D}" type="pres">
      <dgm:prSet presAssocID="{451149D5-FEDA-4765-B600-5039ABB58E53}" presName="childNode" presStyleLbl="node1" presStyleIdx="17" presStyleCnt="29">
        <dgm:presLayoutVars>
          <dgm:bulletEnabled val="1"/>
        </dgm:presLayoutVars>
      </dgm:prSet>
      <dgm:spPr/>
    </dgm:pt>
    <dgm:pt modelId="{01482FE3-B603-4D03-A6E2-136BA9F2BD0C}" type="pres">
      <dgm:prSet presAssocID="{451149D5-FEDA-4765-B600-5039ABB58E53}" presName="aSpace2" presStyleCnt="0"/>
      <dgm:spPr/>
    </dgm:pt>
    <dgm:pt modelId="{6081A0E7-3270-44D0-B4CD-B69CEEB69F68}" type="pres">
      <dgm:prSet presAssocID="{C73CB937-E35C-46A7-A528-03AE78F9430B}" presName="childNode" presStyleLbl="node1" presStyleIdx="18" presStyleCnt="29">
        <dgm:presLayoutVars>
          <dgm:bulletEnabled val="1"/>
        </dgm:presLayoutVars>
      </dgm:prSet>
      <dgm:spPr/>
    </dgm:pt>
    <dgm:pt modelId="{2F25DA26-E475-4DCC-81D7-E51A03860FE1}" type="pres">
      <dgm:prSet presAssocID="{39F506DE-50F1-49BE-9ED2-88EFDAE6F0E1}" presName="aSpace" presStyleCnt="0"/>
      <dgm:spPr/>
    </dgm:pt>
    <dgm:pt modelId="{7945454D-625D-4AB2-B97D-5B3833EB7F93}" type="pres">
      <dgm:prSet presAssocID="{35F91573-84CF-4D05-97CE-0E5A3583D4E6}" presName="compNode" presStyleCnt="0"/>
      <dgm:spPr/>
    </dgm:pt>
    <dgm:pt modelId="{8387A50E-865C-4F7E-BAF7-78F89B5F3C88}" type="pres">
      <dgm:prSet presAssocID="{35F91573-84CF-4D05-97CE-0E5A3583D4E6}" presName="aNode" presStyleLbl="bgShp" presStyleIdx="4" presStyleCnt="6"/>
      <dgm:spPr/>
    </dgm:pt>
    <dgm:pt modelId="{639BD1C7-0242-4D12-913E-B2E949B465C2}" type="pres">
      <dgm:prSet presAssocID="{35F91573-84CF-4D05-97CE-0E5A3583D4E6}" presName="textNode" presStyleLbl="bgShp" presStyleIdx="4" presStyleCnt="6"/>
      <dgm:spPr/>
    </dgm:pt>
    <dgm:pt modelId="{CEC341EC-BD97-4257-ACDD-A06B55818C2D}" type="pres">
      <dgm:prSet presAssocID="{35F91573-84CF-4D05-97CE-0E5A3583D4E6}" presName="compChildNode" presStyleCnt="0"/>
      <dgm:spPr/>
    </dgm:pt>
    <dgm:pt modelId="{AEC892E2-6604-443A-A67F-53AE05637B15}" type="pres">
      <dgm:prSet presAssocID="{35F91573-84CF-4D05-97CE-0E5A3583D4E6}" presName="theInnerList" presStyleCnt="0"/>
      <dgm:spPr/>
    </dgm:pt>
    <dgm:pt modelId="{45ED17EB-782D-462A-9CC1-E53FA40A33C7}" type="pres">
      <dgm:prSet presAssocID="{437562EF-45B9-4108-A430-E90D425350DB}" presName="childNode" presStyleLbl="node1" presStyleIdx="19" presStyleCnt="29">
        <dgm:presLayoutVars>
          <dgm:bulletEnabled val="1"/>
        </dgm:presLayoutVars>
      </dgm:prSet>
      <dgm:spPr/>
    </dgm:pt>
    <dgm:pt modelId="{16E19EC9-ED01-4DAC-B0F1-F8A96C2B51C5}" type="pres">
      <dgm:prSet presAssocID="{437562EF-45B9-4108-A430-E90D425350DB}" presName="aSpace2" presStyleCnt="0"/>
      <dgm:spPr/>
    </dgm:pt>
    <dgm:pt modelId="{0482D866-2B3F-412E-9D66-E84151969353}" type="pres">
      <dgm:prSet presAssocID="{2B8DCA65-5882-490B-B6E0-1244B42860BD}" presName="childNode" presStyleLbl="node1" presStyleIdx="20" presStyleCnt="29">
        <dgm:presLayoutVars>
          <dgm:bulletEnabled val="1"/>
        </dgm:presLayoutVars>
      </dgm:prSet>
      <dgm:spPr/>
    </dgm:pt>
    <dgm:pt modelId="{7093F947-1EB5-42F2-8171-F0AB740A3D09}" type="pres">
      <dgm:prSet presAssocID="{2B8DCA65-5882-490B-B6E0-1244B42860BD}" presName="aSpace2" presStyleCnt="0"/>
      <dgm:spPr/>
    </dgm:pt>
    <dgm:pt modelId="{07A918F0-62D9-46AE-9F9F-62DB5B328CB3}" type="pres">
      <dgm:prSet presAssocID="{15D775C9-9490-4A8C-8606-292DE6D1D53F}" presName="childNode" presStyleLbl="node1" presStyleIdx="21" presStyleCnt="29">
        <dgm:presLayoutVars>
          <dgm:bulletEnabled val="1"/>
        </dgm:presLayoutVars>
      </dgm:prSet>
      <dgm:spPr/>
    </dgm:pt>
    <dgm:pt modelId="{D02C7D20-3486-4424-8131-95B71FAD3264}" type="pres">
      <dgm:prSet presAssocID="{15D775C9-9490-4A8C-8606-292DE6D1D53F}" presName="aSpace2" presStyleCnt="0"/>
      <dgm:spPr/>
    </dgm:pt>
    <dgm:pt modelId="{DED3F222-26E6-4809-AA91-F07F244295C3}" type="pres">
      <dgm:prSet presAssocID="{23669D9C-1B83-4042-BBDD-E437161DD5D6}" presName="childNode" presStyleLbl="node1" presStyleIdx="22" presStyleCnt="29">
        <dgm:presLayoutVars>
          <dgm:bulletEnabled val="1"/>
        </dgm:presLayoutVars>
      </dgm:prSet>
      <dgm:spPr/>
    </dgm:pt>
    <dgm:pt modelId="{6CA8B92D-366A-4BEA-A92A-6679C45DAB15}" type="pres">
      <dgm:prSet presAssocID="{23669D9C-1B83-4042-BBDD-E437161DD5D6}" presName="aSpace2" presStyleCnt="0"/>
      <dgm:spPr/>
    </dgm:pt>
    <dgm:pt modelId="{AAF2ACE6-5E38-4636-B080-BC2D37E74DD8}" type="pres">
      <dgm:prSet presAssocID="{9CC56A7C-11FF-4892-B122-891E65EB1004}" presName="childNode" presStyleLbl="node1" presStyleIdx="23" presStyleCnt="29">
        <dgm:presLayoutVars>
          <dgm:bulletEnabled val="1"/>
        </dgm:presLayoutVars>
      </dgm:prSet>
      <dgm:spPr/>
    </dgm:pt>
    <dgm:pt modelId="{0CBD8366-63C9-47EF-B087-7561B6477CB6}" type="pres">
      <dgm:prSet presAssocID="{35F91573-84CF-4D05-97CE-0E5A3583D4E6}" presName="aSpace" presStyleCnt="0"/>
      <dgm:spPr/>
    </dgm:pt>
    <dgm:pt modelId="{C76F0AA8-C3B8-424D-828B-9F3AEB3DDD02}" type="pres">
      <dgm:prSet presAssocID="{731B959C-F05A-4425-AA8A-A0CC576E0CD6}" presName="compNode" presStyleCnt="0"/>
      <dgm:spPr/>
    </dgm:pt>
    <dgm:pt modelId="{788DE979-FF1A-4219-BF84-8A28593CCB94}" type="pres">
      <dgm:prSet presAssocID="{731B959C-F05A-4425-AA8A-A0CC576E0CD6}" presName="aNode" presStyleLbl="bgShp" presStyleIdx="5" presStyleCnt="6"/>
      <dgm:spPr/>
    </dgm:pt>
    <dgm:pt modelId="{71B56B25-BAF1-420C-B037-BB4722F02D90}" type="pres">
      <dgm:prSet presAssocID="{731B959C-F05A-4425-AA8A-A0CC576E0CD6}" presName="textNode" presStyleLbl="bgShp" presStyleIdx="5" presStyleCnt="6"/>
      <dgm:spPr/>
    </dgm:pt>
    <dgm:pt modelId="{3F1D360B-481D-4C5E-90CF-3EAB36CBAFB2}" type="pres">
      <dgm:prSet presAssocID="{731B959C-F05A-4425-AA8A-A0CC576E0CD6}" presName="compChildNode" presStyleCnt="0"/>
      <dgm:spPr/>
    </dgm:pt>
    <dgm:pt modelId="{E1A254AC-78C7-4655-ACAE-FADF2CEC1676}" type="pres">
      <dgm:prSet presAssocID="{731B959C-F05A-4425-AA8A-A0CC576E0CD6}" presName="theInnerList" presStyleCnt="0"/>
      <dgm:spPr/>
    </dgm:pt>
    <dgm:pt modelId="{F1F16BAE-86C3-4B1E-85EA-E74B55A21462}" type="pres">
      <dgm:prSet presAssocID="{E4529BFC-7FBA-401E-83DC-ED21706EC71E}" presName="childNode" presStyleLbl="node1" presStyleIdx="24" presStyleCnt="29">
        <dgm:presLayoutVars>
          <dgm:bulletEnabled val="1"/>
        </dgm:presLayoutVars>
      </dgm:prSet>
      <dgm:spPr/>
    </dgm:pt>
    <dgm:pt modelId="{C398DBA4-3F4A-45C5-A3D1-F3F64D633C42}" type="pres">
      <dgm:prSet presAssocID="{E4529BFC-7FBA-401E-83DC-ED21706EC71E}" presName="aSpace2" presStyleCnt="0"/>
      <dgm:spPr/>
    </dgm:pt>
    <dgm:pt modelId="{2EA20561-6CFD-4954-A64B-AB91B0668E80}" type="pres">
      <dgm:prSet presAssocID="{00C5AD74-BB5E-4C37-87ED-5C005FAF2322}" presName="childNode" presStyleLbl="node1" presStyleIdx="25" presStyleCnt="29">
        <dgm:presLayoutVars>
          <dgm:bulletEnabled val="1"/>
        </dgm:presLayoutVars>
      </dgm:prSet>
      <dgm:spPr/>
    </dgm:pt>
    <dgm:pt modelId="{D0826BCA-BC11-48B7-B01F-89A295A6B808}" type="pres">
      <dgm:prSet presAssocID="{00C5AD74-BB5E-4C37-87ED-5C005FAF2322}" presName="aSpace2" presStyleCnt="0"/>
      <dgm:spPr/>
    </dgm:pt>
    <dgm:pt modelId="{23C873A2-9912-4FE4-BDE7-C88BA9B2ECB3}" type="pres">
      <dgm:prSet presAssocID="{33D15CE1-2AE0-443F-9467-251AED4D49CA}" presName="childNode" presStyleLbl="node1" presStyleIdx="26" presStyleCnt="29">
        <dgm:presLayoutVars>
          <dgm:bulletEnabled val="1"/>
        </dgm:presLayoutVars>
      </dgm:prSet>
      <dgm:spPr/>
    </dgm:pt>
    <dgm:pt modelId="{ED34EE53-D035-4AEC-9CC5-068CFCF668D1}" type="pres">
      <dgm:prSet presAssocID="{33D15CE1-2AE0-443F-9467-251AED4D49CA}" presName="aSpace2" presStyleCnt="0"/>
      <dgm:spPr/>
    </dgm:pt>
    <dgm:pt modelId="{95E7D6F0-32A9-4AB9-8051-93F3945D429B}" type="pres">
      <dgm:prSet presAssocID="{464CADB2-5C0A-499E-880D-27B3B06B5A3D}" presName="childNode" presStyleLbl="node1" presStyleIdx="27" presStyleCnt="29">
        <dgm:presLayoutVars>
          <dgm:bulletEnabled val="1"/>
        </dgm:presLayoutVars>
      </dgm:prSet>
      <dgm:spPr/>
    </dgm:pt>
    <dgm:pt modelId="{A3398A3F-042E-4757-B783-3A417B74E948}" type="pres">
      <dgm:prSet presAssocID="{464CADB2-5C0A-499E-880D-27B3B06B5A3D}" presName="aSpace2" presStyleCnt="0"/>
      <dgm:spPr/>
    </dgm:pt>
    <dgm:pt modelId="{66D2E35F-6AA8-4674-9525-32D6D3B769C9}" type="pres">
      <dgm:prSet presAssocID="{A7DDA4F1-B40B-46B4-B746-EA89906A2FB4}" presName="childNode" presStyleLbl="node1" presStyleIdx="28" presStyleCnt="29">
        <dgm:presLayoutVars>
          <dgm:bulletEnabled val="1"/>
        </dgm:presLayoutVars>
      </dgm:prSet>
      <dgm:spPr/>
    </dgm:pt>
  </dgm:ptLst>
  <dgm:cxnLst>
    <dgm:cxn modelId="{9AA6C102-B33A-45C3-AE7D-4BCB09515111}" srcId="{7ED69BD0-5C46-430C-BD11-1675B78445AF}" destId="{2E51DF25-B7C0-43DA-ADCE-0B6DAA3E9F7B}" srcOrd="3" destOrd="0" parTransId="{060E53C2-706B-40E2-B6B1-DC5694082B1A}" sibTransId="{54C986C0-7254-4D77-8EF8-B2E27153E9C6}"/>
    <dgm:cxn modelId="{D99B360E-0CD9-4872-8220-7B7AB6BFD839}" srcId="{3C8EFC9A-BDC9-4CB0-8DCF-FD6F89FD7C78}" destId="{35F91573-84CF-4D05-97CE-0E5A3583D4E6}" srcOrd="4" destOrd="0" parTransId="{C4B92D65-5D5B-4031-AC81-F50BE376D814}" sibTransId="{F141414D-6441-49BD-B8D1-7829EEA431E5}"/>
    <dgm:cxn modelId="{B60D540F-CFA6-412D-9DCA-BF4FB473BD58}" srcId="{7ED69BD0-5C46-430C-BD11-1675B78445AF}" destId="{C765EFE1-9587-4BD0-BA1D-81A6425C17DB}" srcOrd="4" destOrd="0" parTransId="{9666F175-7D96-457C-A175-023DEBE6F969}" sibTransId="{F6867B9E-C732-4845-A91D-352DB38C5B50}"/>
    <dgm:cxn modelId="{4BE64F11-975A-44CD-AF03-F9379E492A67}" type="presOf" srcId="{142175FC-D925-4743-A65F-E3BE4CE93482}" destId="{6A2DAABB-876A-47FD-BE7B-55DED4AE8D7D}" srcOrd="0" destOrd="0" presId="urn:microsoft.com/office/officeart/2005/8/layout/lProcess2"/>
    <dgm:cxn modelId="{87E5DC14-D8F4-4FF6-967E-E898B4A4AAFC}" type="presOf" srcId="{C134F88E-4C4C-4F83-B22D-C129B7E3477A}" destId="{7BE6FBB6-2C7F-4090-924E-AD3A157FFABE}" srcOrd="0" destOrd="0" presId="urn:microsoft.com/office/officeart/2005/8/layout/lProcess2"/>
    <dgm:cxn modelId="{3D5ED217-C440-4DAD-B796-925F57CAEF8C}" type="presOf" srcId="{2B8DCA65-5882-490B-B6E0-1244B42860BD}" destId="{0482D866-2B3F-412E-9D66-E84151969353}" srcOrd="0" destOrd="0" presId="urn:microsoft.com/office/officeart/2005/8/layout/lProcess2"/>
    <dgm:cxn modelId="{82B99418-45F1-46F6-B0FF-42D4FB4A43A8}" type="presOf" srcId="{63B20721-F312-4469-9B91-765994301A3A}" destId="{B5D870D0-097B-4398-AB09-A25CBC7E53C9}" srcOrd="0" destOrd="0" presId="urn:microsoft.com/office/officeart/2005/8/layout/lProcess2"/>
    <dgm:cxn modelId="{1A1ED718-5287-4C05-9F2C-9C591CDAFBB1}" srcId="{731B959C-F05A-4425-AA8A-A0CC576E0CD6}" destId="{A7DDA4F1-B40B-46B4-B746-EA89906A2FB4}" srcOrd="4" destOrd="0" parTransId="{27302846-3F4E-4890-8FD2-653D02ED08C4}" sibTransId="{BDDA1F47-37EC-4594-B19B-6BEADC130A10}"/>
    <dgm:cxn modelId="{3898561C-AE03-4718-AE3E-8110DF2975AE}" srcId="{3C8EFC9A-BDC9-4CB0-8DCF-FD6F89FD7C78}" destId="{731B959C-F05A-4425-AA8A-A0CC576E0CD6}" srcOrd="5" destOrd="0" parTransId="{4DAF3717-69D8-4024-BC2D-22D2476AC76E}" sibTransId="{4B9E5D53-0B42-48F6-AA2B-6F5F833B01D8}"/>
    <dgm:cxn modelId="{B6AAD51F-543F-4E8D-AAD7-E61B73866953}" type="presOf" srcId="{D38A169C-73FA-404F-BBC1-E58D54FDBE12}" destId="{A239EC8B-8508-4BCF-8FEB-C4B29C102781}" srcOrd="0" destOrd="0" presId="urn:microsoft.com/office/officeart/2005/8/layout/lProcess2"/>
    <dgm:cxn modelId="{501AF81F-EDA7-4634-BE2F-4461AC162427}" srcId="{731B959C-F05A-4425-AA8A-A0CC576E0CD6}" destId="{00C5AD74-BB5E-4C37-87ED-5C005FAF2322}" srcOrd="1" destOrd="0" parTransId="{404B7502-7D11-4D22-9D7C-06E3E9EF975E}" sibTransId="{3EDD23AB-CD9C-43D5-A813-69B24A88F265}"/>
    <dgm:cxn modelId="{9780FA21-45DF-4540-B5A2-9882D8B9DA62}" type="presOf" srcId="{CB339438-8F81-4836-B0D6-39E445779B2D}" destId="{6D56517E-766B-45C1-B3BA-03A92A9F1628}" srcOrd="0" destOrd="0" presId="urn:microsoft.com/office/officeart/2005/8/layout/lProcess2"/>
    <dgm:cxn modelId="{B513EC22-4735-44F9-AB8B-990B8C83BB17}" type="presOf" srcId="{086678A7-F493-4823-B3B6-57A9657951CF}" destId="{B92FF65D-7314-4281-8C61-D2E02ABB453E}" srcOrd="0" destOrd="0" presId="urn:microsoft.com/office/officeart/2005/8/layout/lProcess2"/>
    <dgm:cxn modelId="{85CA7328-C88E-4CCA-A503-4BBF9E60CB5E}" srcId="{3C8EFC9A-BDC9-4CB0-8DCF-FD6F89FD7C78}" destId="{71C93146-8DBD-47BA-9B89-8D2FF25B6FDE}" srcOrd="1" destOrd="0" parTransId="{A4EFA77B-9971-480B-8CDC-B60EE2909B0A}" sibTransId="{8213C114-C822-4D1A-8481-C09CD83DA145}"/>
    <dgm:cxn modelId="{6317B032-9E2D-4C09-BFCB-DEE7F6FB19EC}" srcId="{39F506DE-50F1-49BE-9ED2-88EFDAE6F0E1}" destId="{C134F88E-4C4C-4F83-B22D-C129B7E3477A}" srcOrd="1" destOrd="0" parTransId="{3A9BCE9D-421C-4EAB-A25F-50ADA7668B4B}" sibTransId="{4236607B-8CE8-427B-A6C7-9C4FA5BC3E95}"/>
    <dgm:cxn modelId="{A6E7CE32-7554-41F6-9C25-95A7B6D33A8D}" srcId="{CB339438-8F81-4836-B0D6-39E445779B2D}" destId="{388D3BE7-BB07-4056-B16C-FE7D33D6BD36}" srcOrd="3" destOrd="0" parTransId="{3635858B-35C0-4468-B5C9-D9FC46059623}" sibTransId="{C00E6615-BADB-41A3-9F0D-44980A4A6198}"/>
    <dgm:cxn modelId="{B3794135-D6F8-4259-9889-4CFE23B573EA}" type="presOf" srcId="{5689EC68-4989-4E1E-96FD-3A6DB0CAD78C}" destId="{5FFDAE0D-01DD-4F48-856B-01906FDFAC4D}" srcOrd="0" destOrd="0" presId="urn:microsoft.com/office/officeart/2005/8/layout/lProcess2"/>
    <dgm:cxn modelId="{783CA538-8FB1-403A-B0D1-3B523ED66EEE}" srcId="{CB339438-8F81-4836-B0D6-39E445779B2D}" destId="{8B7F9807-F819-4F92-A42F-D1E559B2FD53}" srcOrd="2" destOrd="0" parTransId="{5E92501D-E90C-4AA4-BA27-C3436E3BDF67}" sibTransId="{EFF7AD93-D1FA-447F-B930-D4EA2D8A3B0F}"/>
    <dgm:cxn modelId="{30B7E838-9B7D-4D9C-AF84-FB3D80B5C2B5}" srcId="{731B959C-F05A-4425-AA8A-A0CC576E0CD6}" destId="{33D15CE1-2AE0-443F-9467-251AED4D49CA}" srcOrd="2" destOrd="0" parTransId="{8DBE2E30-A162-48E8-A94C-52C937E1A99A}" sibTransId="{4DADF293-3BD0-4310-9161-04488FADA7BD}"/>
    <dgm:cxn modelId="{A91C153A-AAE1-478B-8F28-DD6597A354F0}" srcId="{39F506DE-50F1-49BE-9ED2-88EFDAE6F0E1}" destId="{451149D5-FEDA-4765-B600-5039ABB58E53}" srcOrd="3" destOrd="0" parTransId="{4E2281CA-A78E-45B2-B336-A5EC6E0D7E46}" sibTransId="{9902A7BB-1925-42EB-BB58-87F6AD6E80B5}"/>
    <dgm:cxn modelId="{12BC693D-0B61-4DD5-9951-D069F37E2097}" type="presOf" srcId="{451149D5-FEDA-4765-B600-5039ABB58E53}" destId="{9821E4E8-E247-4525-A9DD-43D8B524714D}" srcOrd="0" destOrd="0" presId="urn:microsoft.com/office/officeart/2005/8/layout/lProcess2"/>
    <dgm:cxn modelId="{EE06583E-1D7B-4600-9D41-C238521BACA8}" type="presOf" srcId="{6C20051A-C227-4FCE-84B9-13E8355C6FE0}" destId="{9B677AB5-8643-43AB-A8BB-D8E12AD5A274}" srcOrd="0" destOrd="0" presId="urn:microsoft.com/office/officeart/2005/8/layout/lProcess2"/>
    <dgm:cxn modelId="{B9B84F3F-92DA-48E6-A3BB-B7C952E21BD3}" srcId="{7ED69BD0-5C46-430C-BD11-1675B78445AF}" destId="{E4B92491-EA9A-4D22-9CF8-82866D9BC210}" srcOrd="0" destOrd="0" parTransId="{AAD8A640-0904-42B2-8737-4F819FCC663F}" sibTransId="{6A795A40-8887-4AB1-8E50-2A17E97000C7}"/>
    <dgm:cxn modelId="{797C7740-3B4D-4E3F-93C7-6B97DEBA0EF6}" type="presOf" srcId="{00C5AD74-BB5E-4C37-87ED-5C005FAF2322}" destId="{2EA20561-6CFD-4954-A64B-AB91B0668E80}" srcOrd="0" destOrd="0" presId="urn:microsoft.com/office/officeart/2005/8/layout/lProcess2"/>
    <dgm:cxn modelId="{C29DF05B-63D1-42E6-B9B5-44A8CDB3529E}" type="presOf" srcId="{39F506DE-50F1-49BE-9ED2-88EFDAE6F0E1}" destId="{7B18AFFD-E121-412C-9D04-2A61C280EF92}" srcOrd="1" destOrd="0" presId="urn:microsoft.com/office/officeart/2005/8/layout/lProcess2"/>
    <dgm:cxn modelId="{DD5B6D5E-0C04-4034-8CAF-6472FC67D767}" srcId="{35F91573-84CF-4D05-97CE-0E5A3583D4E6}" destId="{9CC56A7C-11FF-4892-B122-891E65EB1004}" srcOrd="4" destOrd="0" parTransId="{F9FC4AA1-7DA9-455E-8AF2-773670B97011}" sibTransId="{D118C918-C2CF-42EA-A3C1-36E577D91416}"/>
    <dgm:cxn modelId="{5712085F-5B9C-44ED-88D8-AD409E3C3FE7}" type="presOf" srcId="{C73CB937-E35C-46A7-A528-03AE78F9430B}" destId="{6081A0E7-3270-44D0-B4CD-B69CEEB69F68}" srcOrd="0" destOrd="0" presId="urn:microsoft.com/office/officeart/2005/8/layout/lProcess2"/>
    <dgm:cxn modelId="{ED7DF260-3958-4453-94DC-9FE9FCA20AB2}" type="presOf" srcId="{A7DDA4F1-B40B-46B4-B746-EA89906A2FB4}" destId="{66D2E35F-6AA8-4674-9525-32D6D3B769C9}" srcOrd="0" destOrd="0" presId="urn:microsoft.com/office/officeart/2005/8/layout/lProcess2"/>
    <dgm:cxn modelId="{3C0AD464-02F9-447E-A6D3-18CA9A9E3E97}" type="presOf" srcId="{E4B92491-EA9A-4D22-9CF8-82866D9BC210}" destId="{D9D4FC23-0730-4C6A-92D3-55905B566BDA}" srcOrd="0" destOrd="0" presId="urn:microsoft.com/office/officeart/2005/8/layout/lProcess2"/>
    <dgm:cxn modelId="{58C72467-DF9F-4CB4-858D-2E57F85622DE}" srcId="{7ED69BD0-5C46-430C-BD11-1675B78445AF}" destId="{086678A7-F493-4823-B3B6-57A9657951CF}" srcOrd="1" destOrd="0" parTransId="{D26FD918-8E0C-41E9-A734-59F853D9C88E}" sibTransId="{BEC88BC7-710D-498D-B073-44C36555D78A}"/>
    <dgm:cxn modelId="{E5F02B68-97E5-4639-8043-C8F4C8193752}" type="presOf" srcId="{C765EFE1-9587-4BD0-BA1D-81A6425C17DB}" destId="{4AA2C2D8-38AC-49A4-B325-32683F44EAF4}" srcOrd="0" destOrd="0" presId="urn:microsoft.com/office/officeart/2005/8/layout/lProcess2"/>
    <dgm:cxn modelId="{9969786C-264F-4F62-BB97-56DA74150D18}" type="presOf" srcId="{464CADB2-5C0A-499E-880D-27B3B06B5A3D}" destId="{95E7D6F0-32A9-4AB9-8051-93F3945D429B}" srcOrd="0" destOrd="0" presId="urn:microsoft.com/office/officeart/2005/8/layout/lProcess2"/>
    <dgm:cxn modelId="{4D3BDD4D-4325-42D8-8823-D4F547B79AB4}" srcId="{7ED69BD0-5C46-430C-BD11-1675B78445AF}" destId="{7C0E973C-743C-470A-8B02-0F4E3FD93FC5}" srcOrd="5" destOrd="0" parTransId="{6D16B90E-7EB1-4EB7-A35C-49E2D6F9539C}" sibTransId="{CC84AF64-DE57-4A04-8A0F-424FADB77927}"/>
    <dgm:cxn modelId="{C6CB4B4E-3CB8-4590-84FC-3F095DABDA92}" srcId="{35F91573-84CF-4D05-97CE-0E5A3583D4E6}" destId="{2B8DCA65-5882-490B-B6E0-1244B42860BD}" srcOrd="1" destOrd="0" parTransId="{AF4BB2B8-6F57-43A5-998F-8FEB6870A237}" sibTransId="{DCAF1C21-F262-4AFE-8421-2B398F24486E}"/>
    <dgm:cxn modelId="{65FAA14E-38CD-404C-950A-F762B2F661D2}" srcId="{CB339438-8F81-4836-B0D6-39E445779B2D}" destId="{142175FC-D925-4743-A65F-E3BE4CE93482}" srcOrd="1" destOrd="0" parTransId="{3FA5FB17-3DCF-4F2B-B758-E9DEE5EB1962}" sibTransId="{BCC39440-6D9C-40A9-BF31-AD46292F7C99}"/>
    <dgm:cxn modelId="{EA6FDD51-17DC-45DD-94EB-D04872699E7D}" type="presOf" srcId="{731B959C-F05A-4425-AA8A-A0CC576E0CD6}" destId="{788DE979-FF1A-4219-BF84-8A28593CCB94}" srcOrd="0" destOrd="0" presId="urn:microsoft.com/office/officeart/2005/8/layout/lProcess2"/>
    <dgm:cxn modelId="{16961D73-ACEE-46B1-941F-230149DA61A6}" srcId="{731B959C-F05A-4425-AA8A-A0CC576E0CD6}" destId="{464CADB2-5C0A-499E-880D-27B3B06B5A3D}" srcOrd="3" destOrd="0" parTransId="{8119D722-6BA9-4785-8A53-4105DEEDF657}" sibTransId="{B913E8EF-34C5-40F3-B6EB-CE64043368BA}"/>
    <dgm:cxn modelId="{BC0D9673-3077-4617-B59E-EC25082B159E}" srcId="{35F91573-84CF-4D05-97CE-0E5A3583D4E6}" destId="{23669D9C-1B83-4042-BBDD-E437161DD5D6}" srcOrd="3" destOrd="0" parTransId="{BC0690C2-1CFB-4558-98BE-D57A2ED56433}" sibTransId="{F788100D-E697-41D6-8F56-32F86DF6336D}"/>
    <dgm:cxn modelId="{6F93BD73-4263-47E7-94A0-571A55A762C7}" srcId="{71C93146-8DBD-47BA-9B89-8D2FF25B6FDE}" destId="{F41F5EF3-2752-4CE6-9583-DFB4FA12F31D}" srcOrd="2" destOrd="0" parTransId="{385EEA3B-1394-41DA-A43F-24A17FEFB3B2}" sibTransId="{02483115-51F1-442B-8CDD-DEE60CFEA49D}"/>
    <dgm:cxn modelId="{3C39BA76-36BD-45C8-9B8C-C56D6FC2B6E2}" type="presOf" srcId="{23669D9C-1B83-4042-BBDD-E437161DD5D6}" destId="{DED3F222-26E6-4809-AA91-F07F244295C3}" srcOrd="0" destOrd="0" presId="urn:microsoft.com/office/officeart/2005/8/layout/lProcess2"/>
    <dgm:cxn modelId="{EB5F0B77-1588-4912-9274-8563CFAF44EE}" srcId="{CB339438-8F81-4836-B0D6-39E445779B2D}" destId="{0D2DEA6F-D8C0-4FEB-A933-8C9C6B02B855}" srcOrd="4" destOrd="0" parTransId="{1338C48E-51BB-4AD9-A052-029E069EE8E2}" sibTransId="{98F0B367-9504-44A7-94E2-F2134D7D10F8}"/>
    <dgm:cxn modelId="{FF4B5158-2282-42EF-8818-48BE7EC54C4F}" type="presOf" srcId="{9CC56A7C-11FF-4892-B122-891E65EB1004}" destId="{AAF2ACE6-5E38-4636-B080-BC2D37E74DD8}" srcOrd="0" destOrd="0" presId="urn:microsoft.com/office/officeart/2005/8/layout/lProcess2"/>
    <dgm:cxn modelId="{8FE2367D-ADE8-4FEA-BE5D-EA5106E541C9}" type="presOf" srcId="{3C8EFC9A-BDC9-4CB0-8DCF-FD6F89FD7C78}" destId="{7D112E5F-5E8D-4BAC-B50E-86C24ABA9E6B}" srcOrd="0" destOrd="0" presId="urn:microsoft.com/office/officeart/2005/8/layout/lProcess2"/>
    <dgm:cxn modelId="{3EC95584-F64E-4F01-9306-D20FA216FBEC}" srcId="{7ED69BD0-5C46-430C-BD11-1675B78445AF}" destId="{1DCEF51C-F50A-4B0B-9902-33B322D5ADEF}" srcOrd="2" destOrd="0" parTransId="{2C60948B-205E-4F80-82A1-F8B8D3A331F9}" sibTransId="{54A7321B-FDE2-4C58-BFBF-737A8982D7C8}"/>
    <dgm:cxn modelId="{58469884-803F-439B-9785-08C6FAF8746C}" type="presOf" srcId="{731B959C-F05A-4425-AA8A-A0CC576E0CD6}" destId="{71B56B25-BAF1-420C-B037-BB4722F02D90}" srcOrd="1" destOrd="0" presId="urn:microsoft.com/office/officeart/2005/8/layout/lProcess2"/>
    <dgm:cxn modelId="{9E5B2586-4117-46D2-A77F-55BE96C0CD18}" srcId="{39F506DE-50F1-49BE-9ED2-88EFDAE6F0E1}" destId="{5689EC68-4989-4E1E-96FD-3A6DB0CAD78C}" srcOrd="0" destOrd="0" parTransId="{5E002F54-8A10-472E-96C2-6347E5C62ABE}" sibTransId="{A783D2D8-9AA5-4B37-B664-80F0625BDE23}"/>
    <dgm:cxn modelId="{28396088-9F13-41F4-B6CB-6A5C0B3DD9F0}" type="presOf" srcId="{35F91573-84CF-4D05-97CE-0E5A3583D4E6}" destId="{8387A50E-865C-4F7E-BAF7-78F89B5F3C88}" srcOrd="0" destOrd="0" presId="urn:microsoft.com/office/officeart/2005/8/layout/lProcess2"/>
    <dgm:cxn modelId="{FA676D8E-DD10-4206-946E-A18DBBC548C9}" srcId="{3C8EFC9A-BDC9-4CB0-8DCF-FD6F89FD7C78}" destId="{CB339438-8F81-4836-B0D6-39E445779B2D}" srcOrd="2" destOrd="0" parTransId="{81844B2A-8DE3-4EEB-9E0E-031ED26B43F7}" sibTransId="{217513DC-7E70-4D8D-9CA4-5D4693EB7292}"/>
    <dgm:cxn modelId="{B2882690-5A70-4ECB-A90D-9F881A8595C0}" type="presOf" srcId="{F41F5EF3-2752-4CE6-9583-DFB4FA12F31D}" destId="{74775DD3-DAF7-431F-8441-2EBCC37BE9A2}" srcOrd="0" destOrd="0" presId="urn:microsoft.com/office/officeart/2005/8/layout/lProcess2"/>
    <dgm:cxn modelId="{25D5E091-BCCF-42D9-A142-620561D0902E}" srcId="{71C93146-8DBD-47BA-9B89-8D2FF25B6FDE}" destId="{63B20721-F312-4469-9B91-765994301A3A}" srcOrd="1" destOrd="0" parTransId="{FE7C9C80-E997-488F-B028-AB25F0C60E70}" sibTransId="{DD71912C-D0E8-402C-ABBE-4158FA781DEE}"/>
    <dgm:cxn modelId="{CC0B9192-6ADB-42ED-A62D-0C2A56F3FA4F}" type="presOf" srcId="{71C93146-8DBD-47BA-9B89-8D2FF25B6FDE}" destId="{54671E33-5AC7-4CD0-91C9-A60A47022F3E}" srcOrd="0" destOrd="0" presId="urn:microsoft.com/office/officeart/2005/8/layout/lProcess2"/>
    <dgm:cxn modelId="{3FCEE895-271C-4136-B426-FE7F1582CEF1}" srcId="{CB339438-8F81-4836-B0D6-39E445779B2D}" destId="{D38A169C-73FA-404F-BBC1-E58D54FDBE12}" srcOrd="0" destOrd="0" parTransId="{972BF931-FB6A-47EF-8701-10AC9CDA14F0}" sibTransId="{A99A1C84-B8AD-4CE4-944A-AF6FBA84AD6E}"/>
    <dgm:cxn modelId="{1646CD98-FB6D-4976-8B21-A121456BD744}" type="presOf" srcId="{7ED69BD0-5C46-430C-BD11-1675B78445AF}" destId="{F05B5A65-AC5E-407E-B187-D515ADC27144}" srcOrd="1" destOrd="0" presId="urn:microsoft.com/office/officeart/2005/8/layout/lProcess2"/>
    <dgm:cxn modelId="{6E3EB49A-F9C7-49B8-A048-579421865614}" srcId="{3C8EFC9A-BDC9-4CB0-8DCF-FD6F89FD7C78}" destId="{7ED69BD0-5C46-430C-BD11-1675B78445AF}" srcOrd="0" destOrd="0" parTransId="{E750908F-6048-4121-9824-44DEE38A9550}" sibTransId="{218C9A6D-6F68-45C1-B697-BBF6B4D44B14}"/>
    <dgm:cxn modelId="{086606A1-EFCF-480C-BAE3-93E070795E3A}" type="presOf" srcId="{35F91573-84CF-4D05-97CE-0E5A3583D4E6}" destId="{639BD1C7-0242-4D12-913E-B2E949B465C2}" srcOrd="1" destOrd="0" presId="urn:microsoft.com/office/officeart/2005/8/layout/lProcess2"/>
    <dgm:cxn modelId="{D67B36A2-AF53-4234-BC4C-3A7AE32157F3}" type="presOf" srcId="{7ED69BD0-5C46-430C-BD11-1675B78445AF}" destId="{4470F352-0887-4B4E-81B9-385C6AD8A1EF}" srcOrd="0" destOrd="0" presId="urn:microsoft.com/office/officeart/2005/8/layout/lProcess2"/>
    <dgm:cxn modelId="{B6A2B7A2-FF80-4270-BE4E-2808830EFFFC}" srcId="{71C93146-8DBD-47BA-9B89-8D2FF25B6FDE}" destId="{6C20051A-C227-4FCE-84B9-13E8355C6FE0}" srcOrd="0" destOrd="0" parTransId="{31AEE7A3-A8AC-425D-8431-C8B66249CB15}" sibTransId="{70525940-7440-4C0F-AFCA-45BB15C67DD9}"/>
    <dgm:cxn modelId="{DFD1EAA7-E9B7-4782-A476-14CE33073947}" srcId="{39F506DE-50F1-49BE-9ED2-88EFDAE6F0E1}" destId="{5788F799-C613-40C5-8761-BEA82B1C90FC}" srcOrd="2" destOrd="0" parTransId="{B1600F06-2268-4E93-8025-6213C861BF03}" sibTransId="{34DDA67C-48F2-49AC-B592-522587E58066}"/>
    <dgm:cxn modelId="{D091B5AA-06F2-4212-88E3-8A0B0FC112E2}" type="presOf" srcId="{15D775C9-9490-4A8C-8606-292DE6D1D53F}" destId="{07A918F0-62D9-46AE-9F9F-62DB5B328CB3}" srcOrd="0" destOrd="0" presId="urn:microsoft.com/office/officeart/2005/8/layout/lProcess2"/>
    <dgm:cxn modelId="{E920E3AA-97E6-4BAF-919F-76150C3B3DF5}" type="presOf" srcId="{71C93146-8DBD-47BA-9B89-8D2FF25B6FDE}" destId="{6480FF0A-C4CA-4878-B3DC-5C3D2BC5401E}" srcOrd="1" destOrd="0" presId="urn:microsoft.com/office/officeart/2005/8/layout/lProcess2"/>
    <dgm:cxn modelId="{816512B8-B791-4083-B49A-F17B35A4A282}" type="presOf" srcId="{33D15CE1-2AE0-443F-9467-251AED4D49CA}" destId="{23C873A2-9912-4FE4-BDE7-C88BA9B2ECB3}" srcOrd="0" destOrd="0" presId="urn:microsoft.com/office/officeart/2005/8/layout/lProcess2"/>
    <dgm:cxn modelId="{70C240BD-A947-494F-854E-E0EA692EFD0B}" type="presOf" srcId="{CB339438-8F81-4836-B0D6-39E445779B2D}" destId="{3D88E221-0C0B-49C5-BB85-D37F5241594C}" srcOrd="1" destOrd="0" presId="urn:microsoft.com/office/officeart/2005/8/layout/lProcess2"/>
    <dgm:cxn modelId="{852A1DC0-679A-4E54-9831-EBD2510F81C6}" type="presOf" srcId="{8B7F9807-F819-4F92-A42F-D1E559B2FD53}" destId="{BA720AA9-5F7C-42D6-8013-F5034CA8CF9A}" srcOrd="0" destOrd="0" presId="urn:microsoft.com/office/officeart/2005/8/layout/lProcess2"/>
    <dgm:cxn modelId="{12D52EC1-9057-4336-9228-A28D8FE64A47}" type="presOf" srcId="{437562EF-45B9-4108-A430-E90D425350DB}" destId="{45ED17EB-782D-462A-9CC1-E53FA40A33C7}" srcOrd="0" destOrd="0" presId="urn:microsoft.com/office/officeart/2005/8/layout/lProcess2"/>
    <dgm:cxn modelId="{433CDCC2-514D-4568-8FDD-01E055559F50}" type="presOf" srcId="{2E51DF25-B7C0-43DA-ADCE-0B6DAA3E9F7B}" destId="{EE4F65C3-F61D-4F57-82E6-6248AF681702}" srcOrd="0" destOrd="0" presId="urn:microsoft.com/office/officeart/2005/8/layout/lProcess2"/>
    <dgm:cxn modelId="{E8230BC9-5D2F-41DC-B14F-B53E64BF6D3B}" type="presOf" srcId="{388D3BE7-BB07-4056-B16C-FE7D33D6BD36}" destId="{EDE04BA0-5878-419E-8E19-C3EF2AA315AF}" srcOrd="0" destOrd="0" presId="urn:microsoft.com/office/officeart/2005/8/layout/lProcess2"/>
    <dgm:cxn modelId="{3DE601D1-0C81-4723-843D-1DD0725735FE}" srcId="{35F91573-84CF-4D05-97CE-0E5A3583D4E6}" destId="{15D775C9-9490-4A8C-8606-292DE6D1D53F}" srcOrd="2" destOrd="0" parTransId="{F8978FD2-D021-43EA-A358-35B52665F96B}" sibTransId="{F54A7DEE-2768-4F69-97DE-957C9B2086DF}"/>
    <dgm:cxn modelId="{81471AD1-0069-4A55-AFA7-7230934509D8}" srcId="{3C8EFC9A-BDC9-4CB0-8DCF-FD6F89FD7C78}" destId="{39F506DE-50F1-49BE-9ED2-88EFDAE6F0E1}" srcOrd="3" destOrd="0" parTransId="{7F60D346-2BA8-4279-8596-2765F26B3192}" sibTransId="{7C66CED6-4EF2-4379-89C4-7E1B0D2D3641}"/>
    <dgm:cxn modelId="{B9770FDA-37FF-43F8-A310-12FA30D16BC1}" srcId="{731B959C-F05A-4425-AA8A-A0CC576E0CD6}" destId="{E4529BFC-7FBA-401E-83DC-ED21706EC71E}" srcOrd="0" destOrd="0" parTransId="{75EC726F-0F1A-4A9A-AAA4-BA5A62E7EF13}" sibTransId="{2694060A-8504-46CC-B366-F826D32B0115}"/>
    <dgm:cxn modelId="{F308BAE7-1FBD-4455-84CE-6A223E953B08}" type="presOf" srcId="{7C0E973C-743C-470A-8B02-0F4E3FD93FC5}" destId="{211DDDCD-7378-4BEA-A98D-65ED33393EC4}" srcOrd="0" destOrd="0" presId="urn:microsoft.com/office/officeart/2005/8/layout/lProcess2"/>
    <dgm:cxn modelId="{98F8C8E7-1E09-4995-A193-68D1DB8F5229}" type="presOf" srcId="{1DCEF51C-F50A-4B0B-9902-33B322D5ADEF}" destId="{8BA67AC5-5D23-4E1E-BC34-5B51379E48E7}" srcOrd="0" destOrd="0" presId="urn:microsoft.com/office/officeart/2005/8/layout/lProcess2"/>
    <dgm:cxn modelId="{31858EE9-F261-41B5-A294-FE3B79DCA3B5}" type="presOf" srcId="{E4529BFC-7FBA-401E-83DC-ED21706EC71E}" destId="{F1F16BAE-86C3-4B1E-85EA-E74B55A21462}" srcOrd="0" destOrd="0" presId="urn:microsoft.com/office/officeart/2005/8/layout/lProcess2"/>
    <dgm:cxn modelId="{A2284DEA-3E3A-4830-89E4-1322DB7044F3}" type="presOf" srcId="{5788F799-C613-40C5-8761-BEA82B1C90FC}" destId="{1BF27B21-0FAC-4F32-B691-48071D34A960}" srcOrd="0" destOrd="0" presId="urn:microsoft.com/office/officeart/2005/8/layout/lProcess2"/>
    <dgm:cxn modelId="{31AD6CED-D4AF-43F4-824A-277B720C111A}" type="presOf" srcId="{39F506DE-50F1-49BE-9ED2-88EFDAE6F0E1}" destId="{D3D71071-A754-4C0E-9FFD-064FC19C1E19}" srcOrd="0" destOrd="0" presId="urn:microsoft.com/office/officeart/2005/8/layout/lProcess2"/>
    <dgm:cxn modelId="{DF4930EE-E080-4A33-A5A2-D0A164B70308}" srcId="{39F506DE-50F1-49BE-9ED2-88EFDAE6F0E1}" destId="{C73CB937-E35C-46A7-A528-03AE78F9430B}" srcOrd="4" destOrd="0" parTransId="{4C4481EF-620D-4181-8F00-31DC7C846A66}" sibTransId="{CF0C6F57-028A-4F8B-9B40-15B58322102D}"/>
    <dgm:cxn modelId="{1E3663F2-CDF7-427B-B325-353EC2EFB496}" type="presOf" srcId="{0D2DEA6F-D8C0-4FEB-A933-8C9C6B02B855}" destId="{A68845FC-6DDE-4C7E-881F-812E90A866F1}" srcOrd="0" destOrd="0" presId="urn:microsoft.com/office/officeart/2005/8/layout/lProcess2"/>
    <dgm:cxn modelId="{55C2DFF2-EDBE-45FB-8FCB-121AEBAE19AA}" srcId="{35F91573-84CF-4D05-97CE-0E5A3583D4E6}" destId="{437562EF-45B9-4108-A430-E90D425350DB}" srcOrd="0" destOrd="0" parTransId="{5D122FFE-41EF-4D98-A656-471511B9F739}" sibTransId="{DA5646B2-415F-44CC-B454-6CDE34BFAF76}"/>
    <dgm:cxn modelId="{A056049E-86FE-43ED-9099-2C4CAD749607}" type="presParOf" srcId="{7D112E5F-5E8D-4BAC-B50E-86C24ABA9E6B}" destId="{4301FABA-D3E5-4FCD-BE6A-B0CB16ED0DEF}" srcOrd="0" destOrd="0" presId="urn:microsoft.com/office/officeart/2005/8/layout/lProcess2"/>
    <dgm:cxn modelId="{9710DC8F-A5A1-4A41-93C5-EA85A8B4D188}" type="presParOf" srcId="{4301FABA-D3E5-4FCD-BE6A-B0CB16ED0DEF}" destId="{4470F352-0887-4B4E-81B9-385C6AD8A1EF}" srcOrd="0" destOrd="0" presId="urn:microsoft.com/office/officeart/2005/8/layout/lProcess2"/>
    <dgm:cxn modelId="{279D81FD-8D40-42F4-81DB-F1CF196C4F81}" type="presParOf" srcId="{4301FABA-D3E5-4FCD-BE6A-B0CB16ED0DEF}" destId="{F05B5A65-AC5E-407E-B187-D515ADC27144}" srcOrd="1" destOrd="0" presId="urn:microsoft.com/office/officeart/2005/8/layout/lProcess2"/>
    <dgm:cxn modelId="{E7D0C837-2334-4C52-8527-CB3D48AD8BDF}" type="presParOf" srcId="{4301FABA-D3E5-4FCD-BE6A-B0CB16ED0DEF}" destId="{A624F00D-DAF2-4670-AA4A-208C7DFEA3B7}" srcOrd="2" destOrd="0" presId="urn:microsoft.com/office/officeart/2005/8/layout/lProcess2"/>
    <dgm:cxn modelId="{9BD7A6B7-DE8C-4A03-B765-9729003F4BF2}" type="presParOf" srcId="{A624F00D-DAF2-4670-AA4A-208C7DFEA3B7}" destId="{533A268E-215C-474A-8A7A-CC045A7FFEC3}" srcOrd="0" destOrd="0" presId="urn:microsoft.com/office/officeart/2005/8/layout/lProcess2"/>
    <dgm:cxn modelId="{7324FF2D-26D8-4571-8B0E-ECB986A64C0C}" type="presParOf" srcId="{533A268E-215C-474A-8A7A-CC045A7FFEC3}" destId="{D9D4FC23-0730-4C6A-92D3-55905B566BDA}" srcOrd="0" destOrd="0" presId="urn:microsoft.com/office/officeart/2005/8/layout/lProcess2"/>
    <dgm:cxn modelId="{BA76495D-6FBA-4905-9F98-7DEDAC294293}" type="presParOf" srcId="{533A268E-215C-474A-8A7A-CC045A7FFEC3}" destId="{7CC912D5-C980-4E1E-9C52-57A9CBD43DD8}" srcOrd="1" destOrd="0" presId="urn:microsoft.com/office/officeart/2005/8/layout/lProcess2"/>
    <dgm:cxn modelId="{BAE869BE-CF87-4841-89B3-B743F6E26BFD}" type="presParOf" srcId="{533A268E-215C-474A-8A7A-CC045A7FFEC3}" destId="{B92FF65D-7314-4281-8C61-D2E02ABB453E}" srcOrd="2" destOrd="0" presId="urn:microsoft.com/office/officeart/2005/8/layout/lProcess2"/>
    <dgm:cxn modelId="{A4C56D76-F2CC-4AB3-A280-833535A82A01}" type="presParOf" srcId="{533A268E-215C-474A-8A7A-CC045A7FFEC3}" destId="{73953B14-DABE-4B45-B824-FBE124E351EA}" srcOrd="3" destOrd="0" presId="urn:microsoft.com/office/officeart/2005/8/layout/lProcess2"/>
    <dgm:cxn modelId="{FED760C4-E4C7-44F5-A29C-348CCD3D2269}" type="presParOf" srcId="{533A268E-215C-474A-8A7A-CC045A7FFEC3}" destId="{8BA67AC5-5D23-4E1E-BC34-5B51379E48E7}" srcOrd="4" destOrd="0" presId="urn:microsoft.com/office/officeart/2005/8/layout/lProcess2"/>
    <dgm:cxn modelId="{379D47EA-1A3E-483B-A77E-BF8632C09DDB}" type="presParOf" srcId="{533A268E-215C-474A-8A7A-CC045A7FFEC3}" destId="{90BBE37B-DDB2-4AAE-AB19-880B559F56DA}" srcOrd="5" destOrd="0" presId="urn:microsoft.com/office/officeart/2005/8/layout/lProcess2"/>
    <dgm:cxn modelId="{454A79F9-BB7B-4EFA-BF2D-5045174A9C19}" type="presParOf" srcId="{533A268E-215C-474A-8A7A-CC045A7FFEC3}" destId="{EE4F65C3-F61D-4F57-82E6-6248AF681702}" srcOrd="6" destOrd="0" presId="urn:microsoft.com/office/officeart/2005/8/layout/lProcess2"/>
    <dgm:cxn modelId="{3B719333-B040-4E1C-904F-1887631B316A}" type="presParOf" srcId="{533A268E-215C-474A-8A7A-CC045A7FFEC3}" destId="{59A96A6C-4DA1-40BF-BF04-0514F78121CF}" srcOrd="7" destOrd="0" presId="urn:microsoft.com/office/officeart/2005/8/layout/lProcess2"/>
    <dgm:cxn modelId="{79BAC0C6-5822-4545-A904-A28FE855EAA1}" type="presParOf" srcId="{533A268E-215C-474A-8A7A-CC045A7FFEC3}" destId="{4AA2C2D8-38AC-49A4-B325-32683F44EAF4}" srcOrd="8" destOrd="0" presId="urn:microsoft.com/office/officeart/2005/8/layout/lProcess2"/>
    <dgm:cxn modelId="{0AD70405-EF2F-4ABC-8222-4472616F97A7}" type="presParOf" srcId="{533A268E-215C-474A-8A7A-CC045A7FFEC3}" destId="{660A3C69-90FE-49F7-90AF-6D0370DB9A7D}" srcOrd="9" destOrd="0" presId="urn:microsoft.com/office/officeart/2005/8/layout/lProcess2"/>
    <dgm:cxn modelId="{D1558DD3-7A05-4534-8EE9-D9366F325865}" type="presParOf" srcId="{533A268E-215C-474A-8A7A-CC045A7FFEC3}" destId="{211DDDCD-7378-4BEA-A98D-65ED33393EC4}" srcOrd="10" destOrd="0" presId="urn:microsoft.com/office/officeart/2005/8/layout/lProcess2"/>
    <dgm:cxn modelId="{EC334A76-5583-4F2A-973A-E9AD86B4709D}" type="presParOf" srcId="{7D112E5F-5E8D-4BAC-B50E-86C24ABA9E6B}" destId="{C16AB182-874D-4807-9AFD-D4E1B87B6A38}" srcOrd="1" destOrd="0" presId="urn:microsoft.com/office/officeart/2005/8/layout/lProcess2"/>
    <dgm:cxn modelId="{74F1208B-3AF7-4357-B024-6D1FB2CECDE9}" type="presParOf" srcId="{7D112E5F-5E8D-4BAC-B50E-86C24ABA9E6B}" destId="{DDC1624A-B4AF-45C4-96AB-6684F5D040BE}" srcOrd="2" destOrd="0" presId="urn:microsoft.com/office/officeart/2005/8/layout/lProcess2"/>
    <dgm:cxn modelId="{727F27BE-AE0D-4B68-B42B-596CF09531AD}" type="presParOf" srcId="{DDC1624A-B4AF-45C4-96AB-6684F5D040BE}" destId="{54671E33-5AC7-4CD0-91C9-A60A47022F3E}" srcOrd="0" destOrd="0" presId="urn:microsoft.com/office/officeart/2005/8/layout/lProcess2"/>
    <dgm:cxn modelId="{793EEAE4-420B-4D3B-A88A-F2136FA1A235}" type="presParOf" srcId="{DDC1624A-B4AF-45C4-96AB-6684F5D040BE}" destId="{6480FF0A-C4CA-4878-B3DC-5C3D2BC5401E}" srcOrd="1" destOrd="0" presId="urn:microsoft.com/office/officeart/2005/8/layout/lProcess2"/>
    <dgm:cxn modelId="{94B84977-A4F6-4448-9D58-685A72097A15}" type="presParOf" srcId="{DDC1624A-B4AF-45C4-96AB-6684F5D040BE}" destId="{A367C46E-BD57-4EAA-AAC8-349DD5760DC9}" srcOrd="2" destOrd="0" presId="urn:microsoft.com/office/officeart/2005/8/layout/lProcess2"/>
    <dgm:cxn modelId="{9DE71FA0-C308-4A6D-A79A-627AB6B9ABD9}" type="presParOf" srcId="{A367C46E-BD57-4EAA-AAC8-349DD5760DC9}" destId="{10201B17-1614-4D45-8D1F-E89E82CE147B}" srcOrd="0" destOrd="0" presId="urn:microsoft.com/office/officeart/2005/8/layout/lProcess2"/>
    <dgm:cxn modelId="{B69C4A38-A460-44E4-B339-D89F99E0A4ED}" type="presParOf" srcId="{10201B17-1614-4D45-8D1F-E89E82CE147B}" destId="{9B677AB5-8643-43AB-A8BB-D8E12AD5A274}" srcOrd="0" destOrd="0" presId="urn:microsoft.com/office/officeart/2005/8/layout/lProcess2"/>
    <dgm:cxn modelId="{876ED38A-43C3-469B-B13C-01CF90ECA7CB}" type="presParOf" srcId="{10201B17-1614-4D45-8D1F-E89E82CE147B}" destId="{E08A0542-F05D-4D2B-80EB-8F1029EAB166}" srcOrd="1" destOrd="0" presId="urn:microsoft.com/office/officeart/2005/8/layout/lProcess2"/>
    <dgm:cxn modelId="{41A63CB4-A278-45C5-A8E9-48C8B4C42C65}" type="presParOf" srcId="{10201B17-1614-4D45-8D1F-E89E82CE147B}" destId="{B5D870D0-097B-4398-AB09-A25CBC7E53C9}" srcOrd="2" destOrd="0" presId="urn:microsoft.com/office/officeart/2005/8/layout/lProcess2"/>
    <dgm:cxn modelId="{31B6EA66-BA5A-4916-B3DD-E4C25144DE04}" type="presParOf" srcId="{10201B17-1614-4D45-8D1F-E89E82CE147B}" destId="{66D684AA-86FB-4848-AAFE-13D2A9B89885}" srcOrd="3" destOrd="0" presId="urn:microsoft.com/office/officeart/2005/8/layout/lProcess2"/>
    <dgm:cxn modelId="{093A00E3-8893-4624-B45E-7AB80C2D73FB}" type="presParOf" srcId="{10201B17-1614-4D45-8D1F-E89E82CE147B}" destId="{74775DD3-DAF7-431F-8441-2EBCC37BE9A2}" srcOrd="4" destOrd="0" presId="urn:microsoft.com/office/officeart/2005/8/layout/lProcess2"/>
    <dgm:cxn modelId="{19FA7A70-1A7B-405C-8C9F-A0EB42071384}" type="presParOf" srcId="{7D112E5F-5E8D-4BAC-B50E-86C24ABA9E6B}" destId="{E1E0E8BA-EBC3-4F70-B3ED-DB8A17482F28}" srcOrd="3" destOrd="0" presId="urn:microsoft.com/office/officeart/2005/8/layout/lProcess2"/>
    <dgm:cxn modelId="{29349B50-153A-43D1-AA95-E2633D2BAA0F}" type="presParOf" srcId="{7D112E5F-5E8D-4BAC-B50E-86C24ABA9E6B}" destId="{402D373B-B130-4BCE-B754-88E874A8BA2F}" srcOrd="4" destOrd="0" presId="urn:microsoft.com/office/officeart/2005/8/layout/lProcess2"/>
    <dgm:cxn modelId="{4C4DF165-B39C-42F3-BF0D-8F2721C8088F}" type="presParOf" srcId="{402D373B-B130-4BCE-B754-88E874A8BA2F}" destId="{6D56517E-766B-45C1-B3BA-03A92A9F1628}" srcOrd="0" destOrd="0" presId="urn:microsoft.com/office/officeart/2005/8/layout/lProcess2"/>
    <dgm:cxn modelId="{B6F48FD7-59C7-4558-A446-40E4A21E2FE9}" type="presParOf" srcId="{402D373B-B130-4BCE-B754-88E874A8BA2F}" destId="{3D88E221-0C0B-49C5-BB85-D37F5241594C}" srcOrd="1" destOrd="0" presId="urn:microsoft.com/office/officeart/2005/8/layout/lProcess2"/>
    <dgm:cxn modelId="{B2540334-EEF1-4C03-A15D-E38BC4D2BFDE}" type="presParOf" srcId="{402D373B-B130-4BCE-B754-88E874A8BA2F}" destId="{FC127A81-509B-4C31-A143-B820FFD61064}" srcOrd="2" destOrd="0" presId="urn:microsoft.com/office/officeart/2005/8/layout/lProcess2"/>
    <dgm:cxn modelId="{30B8A702-3504-4149-B1D6-B5E2C309E86A}" type="presParOf" srcId="{FC127A81-509B-4C31-A143-B820FFD61064}" destId="{E3A1EC06-F8F1-47EA-A4C0-7BCCDF995841}" srcOrd="0" destOrd="0" presId="urn:microsoft.com/office/officeart/2005/8/layout/lProcess2"/>
    <dgm:cxn modelId="{1F598639-395E-4A74-8D46-D6194C90E113}" type="presParOf" srcId="{E3A1EC06-F8F1-47EA-A4C0-7BCCDF995841}" destId="{A239EC8B-8508-4BCF-8FEB-C4B29C102781}" srcOrd="0" destOrd="0" presId="urn:microsoft.com/office/officeart/2005/8/layout/lProcess2"/>
    <dgm:cxn modelId="{09F8D730-983D-492E-8D06-1F91DDBB18AB}" type="presParOf" srcId="{E3A1EC06-F8F1-47EA-A4C0-7BCCDF995841}" destId="{DE9FC021-E5D3-46E0-B2AF-55F27F9D3A13}" srcOrd="1" destOrd="0" presId="urn:microsoft.com/office/officeart/2005/8/layout/lProcess2"/>
    <dgm:cxn modelId="{F5492AA8-DFB4-43F0-80DE-ECD5239B5118}" type="presParOf" srcId="{E3A1EC06-F8F1-47EA-A4C0-7BCCDF995841}" destId="{6A2DAABB-876A-47FD-BE7B-55DED4AE8D7D}" srcOrd="2" destOrd="0" presId="urn:microsoft.com/office/officeart/2005/8/layout/lProcess2"/>
    <dgm:cxn modelId="{29533B5E-2330-40DC-9906-FF4814F39757}" type="presParOf" srcId="{E3A1EC06-F8F1-47EA-A4C0-7BCCDF995841}" destId="{E23970C8-D920-4BF0-A669-CF40216FEE7B}" srcOrd="3" destOrd="0" presId="urn:microsoft.com/office/officeart/2005/8/layout/lProcess2"/>
    <dgm:cxn modelId="{68987DDF-79A2-45DA-A3DC-FEEDE00C1135}" type="presParOf" srcId="{E3A1EC06-F8F1-47EA-A4C0-7BCCDF995841}" destId="{BA720AA9-5F7C-42D6-8013-F5034CA8CF9A}" srcOrd="4" destOrd="0" presId="urn:microsoft.com/office/officeart/2005/8/layout/lProcess2"/>
    <dgm:cxn modelId="{7E7F878C-65B6-4AA9-8461-2D5DBA9915DD}" type="presParOf" srcId="{E3A1EC06-F8F1-47EA-A4C0-7BCCDF995841}" destId="{930CB17E-F995-4612-817C-0477E558F88E}" srcOrd="5" destOrd="0" presId="urn:microsoft.com/office/officeart/2005/8/layout/lProcess2"/>
    <dgm:cxn modelId="{9683B2A9-8997-49CC-A4D1-ED4D3976BAFF}" type="presParOf" srcId="{E3A1EC06-F8F1-47EA-A4C0-7BCCDF995841}" destId="{EDE04BA0-5878-419E-8E19-C3EF2AA315AF}" srcOrd="6" destOrd="0" presId="urn:microsoft.com/office/officeart/2005/8/layout/lProcess2"/>
    <dgm:cxn modelId="{4B12AE15-03CE-42EF-9267-5E65BCC75734}" type="presParOf" srcId="{E3A1EC06-F8F1-47EA-A4C0-7BCCDF995841}" destId="{50B41810-C3B5-432B-A0A1-357D5753AF7A}" srcOrd="7" destOrd="0" presId="urn:microsoft.com/office/officeart/2005/8/layout/lProcess2"/>
    <dgm:cxn modelId="{2AE62FDB-E272-4FC6-8F75-BB7695C1A45C}" type="presParOf" srcId="{E3A1EC06-F8F1-47EA-A4C0-7BCCDF995841}" destId="{A68845FC-6DDE-4C7E-881F-812E90A866F1}" srcOrd="8" destOrd="0" presId="urn:microsoft.com/office/officeart/2005/8/layout/lProcess2"/>
    <dgm:cxn modelId="{0AC80DD8-3BEC-4952-B6DE-AF90259CE7B2}" type="presParOf" srcId="{7D112E5F-5E8D-4BAC-B50E-86C24ABA9E6B}" destId="{3E1558C7-1B44-4DF1-9150-BC01D24B90ED}" srcOrd="5" destOrd="0" presId="urn:microsoft.com/office/officeart/2005/8/layout/lProcess2"/>
    <dgm:cxn modelId="{3C952C8B-3A52-403F-A6F3-5561A9C3464D}" type="presParOf" srcId="{7D112E5F-5E8D-4BAC-B50E-86C24ABA9E6B}" destId="{8A5ABB40-4AF3-4F54-8A23-25AF2440FB8F}" srcOrd="6" destOrd="0" presId="urn:microsoft.com/office/officeart/2005/8/layout/lProcess2"/>
    <dgm:cxn modelId="{EFFFF2BB-0F41-494E-ADC2-859E75BC9C74}" type="presParOf" srcId="{8A5ABB40-4AF3-4F54-8A23-25AF2440FB8F}" destId="{D3D71071-A754-4C0E-9FFD-064FC19C1E19}" srcOrd="0" destOrd="0" presId="urn:microsoft.com/office/officeart/2005/8/layout/lProcess2"/>
    <dgm:cxn modelId="{C80A7A74-C622-42E3-86FF-235E26E77346}" type="presParOf" srcId="{8A5ABB40-4AF3-4F54-8A23-25AF2440FB8F}" destId="{7B18AFFD-E121-412C-9D04-2A61C280EF92}" srcOrd="1" destOrd="0" presId="urn:microsoft.com/office/officeart/2005/8/layout/lProcess2"/>
    <dgm:cxn modelId="{6EDD2137-29B6-432F-8A7C-C8E99A15BBF3}" type="presParOf" srcId="{8A5ABB40-4AF3-4F54-8A23-25AF2440FB8F}" destId="{6464E99A-573D-4147-88DF-98BE15D9D1B3}" srcOrd="2" destOrd="0" presId="urn:microsoft.com/office/officeart/2005/8/layout/lProcess2"/>
    <dgm:cxn modelId="{3971B6C4-FAF4-4BBD-85C1-C230D1137D55}" type="presParOf" srcId="{6464E99A-573D-4147-88DF-98BE15D9D1B3}" destId="{9429677E-75CB-407F-90AA-2397BCA125A9}" srcOrd="0" destOrd="0" presId="urn:microsoft.com/office/officeart/2005/8/layout/lProcess2"/>
    <dgm:cxn modelId="{339FB0A5-324F-40B8-8252-74F01619B08E}" type="presParOf" srcId="{9429677E-75CB-407F-90AA-2397BCA125A9}" destId="{5FFDAE0D-01DD-4F48-856B-01906FDFAC4D}" srcOrd="0" destOrd="0" presId="urn:microsoft.com/office/officeart/2005/8/layout/lProcess2"/>
    <dgm:cxn modelId="{4EFDAB99-74E6-497F-B539-B12513908C99}" type="presParOf" srcId="{9429677E-75CB-407F-90AA-2397BCA125A9}" destId="{60D1828E-3849-4FD2-B0B7-E09590FEA5A9}" srcOrd="1" destOrd="0" presId="urn:microsoft.com/office/officeart/2005/8/layout/lProcess2"/>
    <dgm:cxn modelId="{7DFFD8BC-4D0D-4055-92DF-64AED45DB561}" type="presParOf" srcId="{9429677E-75CB-407F-90AA-2397BCA125A9}" destId="{7BE6FBB6-2C7F-4090-924E-AD3A157FFABE}" srcOrd="2" destOrd="0" presId="urn:microsoft.com/office/officeart/2005/8/layout/lProcess2"/>
    <dgm:cxn modelId="{476A1405-CCDB-4DEA-94B4-04705F09949A}" type="presParOf" srcId="{9429677E-75CB-407F-90AA-2397BCA125A9}" destId="{EB50AF21-1867-4AFD-9D93-5104C82232E5}" srcOrd="3" destOrd="0" presId="urn:microsoft.com/office/officeart/2005/8/layout/lProcess2"/>
    <dgm:cxn modelId="{1AA3931C-C6CA-4123-8B71-201AC9573086}" type="presParOf" srcId="{9429677E-75CB-407F-90AA-2397BCA125A9}" destId="{1BF27B21-0FAC-4F32-B691-48071D34A960}" srcOrd="4" destOrd="0" presId="urn:microsoft.com/office/officeart/2005/8/layout/lProcess2"/>
    <dgm:cxn modelId="{48F04CA5-9E03-463D-914D-04A3FB584A8B}" type="presParOf" srcId="{9429677E-75CB-407F-90AA-2397BCA125A9}" destId="{E10D0A9F-4D55-40F0-920D-07936253DA14}" srcOrd="5" destOrd="0" presId="urn:microsoft.com/office/officeart/2005/8/layout/lProcess2"/>
    <dgm:cxn modelId="{1390E960-1F36-451B-A5E2-D73DDABA1B25}" type="presParOf" srcId="{9429677E-75CB-407F-90AA-2397BCA125A9}" destId="{9821E4E8-E247-4525-A9DD-43D8B524714D}" srcOrd="6" destOrd="0" presId="urn:microsoft.com/office/officeart/2005/8/layout/lProcess2"/>
    <dgm:cxn modelId="{E74D2205-B9B3-4F3A-9F3E-EADDDDCE4864}" type="presParOf" srcId="{9429677E-75CB-407F-90AA-2397BCA125A9}" destId="{01482FE3-B603-4D03-A6E2-136BA9F2BD0C}" srcOrd="7" destOrd="0" presId="urn:microsoft.com/office/officeart/2005/8/layout/lProcess2"/>
    <dgm:cxn modelId="{6098A5D6-09B8-4439-B5F7-B9F97617A3B4}" type="presParOf" srcId="{9429677E-75CB-407F-90AA-2397BCA125A9}" destId="{6081A0E7-3270-44D0-B4CD-B69CEEB69F68}" srcOrd="8" destOrd="0" presId="urn:microsoft.com/office/officeart/2005/8/layout/lProcess2"/>
    <dgm:cxn modelId="{B58F1AC7-5271-4B2D-86CE-2CEA1F7582C7}" type="presParOf" srcId="{7D112E5F-5E8D-4BAC-B50E-86C24ABA9E6B}" destId="{2F25DA26-E475-4DCC-81D7-E51A03860FE1}" srcOrd="7" destOrd="0" presId="urn:microsoft.com/office/officeart/2005/8/layout/lProcess2"/>
    <dgm:cxn modelId="{92572A93-D97B-428F-B729-08CA10B5C713}" type="presParOf" srcId="{7D112E5F-5E8D-4BAC-B50E-86C24ABA9E6B}" destId="{7945454D-625D-4AB2-B97D-5B3833EB7F93}" srcOrd="8" destOrd="0" presId="urn:microsoft.com/office/officeart/2005/8/layout/lProcess2"/>
    <dgm:cxn modelId="{E8011017-626A-476A-9012-08B6A5593BBC}" type="presParOf" srcId="{7945454D-625D-4AB2-B97D-5B3833EB7F93}" destId="{8387A50E-865C-4F7E-BAF7-78F89B5F3C88}" srcOrd="0" destOrd="0" presId="urn:microsoft.com/office/officeart/2005/8/layout/lProcess2"/>
    <dgm:cxn modelId="{F88250FA-C354-46E5-BFB3-7652F26A4928}" type="presParOf" srcId="{7945454D-625D-4AB2-B97D-5B3833EB7F93}" destId="{639BD1C7-0242-4D12-913E-B2E949B465C2}" srcOrd="1" destOrd="0" presId="urn:microsoft.com/office/officeart/2005/8/layout/lProcess2"/>
    <dgm:cxn modelId="{E90E3D55-052A-4957-83C5-A692D1735657}" type="presParOf" srcId="{7945454D-625D-4AB2-B97D-5B3833EB7F93}" destId="{CEC341EC-BD97-4257-ACDD-A06B55818C2D}" srcOrd="2" destOrd="0" presId="urn:microsoft.com/office/officeart/2005/8/layout/lProcess2"/>
    <dgm:cxn modelId="{D7913AEA-BDEB-48B0-A9DD-A233B47DFEDE}" type="presParOf" srcId="{CEC341EC-BD97-4257-ACDD-A06B55818C2D}" destId="{AEC892E2-6604-443A-A67F-53AE05637B15}" srcOrd="0" destOrd="0" presId="urn:microsoft.com/office/officeart/2005/8/layout/lProcess2"/>
    <dgm:cxn modelId="{6EAAA6FF-DF37-4587-9849-AB37A71481B1}" type="presParOf" srcId="{AEC892E2-6604-443A-A67F-53AE05637B15}" destId="{45ED17EB-782D-462A-9CC1-E53FA40A33C7}" srcOrd="0" destOrd="0" presId="urn:microsoft.com/office/officeart/2005/8/layout/lProcess2"/>
    <dgm:cxn modelId="{7FFBA2FF-DC70-4E95-BC8E-D238EC5E2114}" type="presParOf" srcId="{AEC892E2-6604-443A-A67F-53AE05637B15}" destId="{16E19EC9-ED01-4DAC-B0F1-F8A96C2B51C5}" srcOrd="1" destOrd="0" presId="urn:microsoft.com/office/officeart/2005/8/layout/lProcess2"/>
    <dgm:cxn modelId="{60EA8CE6-DBA3-46DD-95DB-AB304FA16B39}" type="presParOf" srcId="{AEC892E2-6604-443A-A67F-53AE05637B15}" destId="{0482D866-2B3F-412E-9D66-E84151969353}" srcOrd="2" destOrd="0" presId="urn:microsoft.com/office/officeart/2005/8/layout/lProcess2"/>
    <dgm:cxn modelId="{03A85D16-8B75-4E16-A986-451F9C971CCF}" type="presParOf" srcId="{AEC892E2-6604-443A-A67F-53AE05637B15}" destId="{7093F947-1EB5-42F2-8171-F0AB740A3D09}" srcOrd="3" destOrd="0" presId="urn:microsoft.com/office/officeart/2005/8/layout/lProcess2"/>
    <dgm:cxn modelId="{0A1F46A3-3195-4A2D-91B8-237F45AA3E69}" type="presParOf" srcId="{AEC892E2-6604-443A-A67F-53AE05637B15}" destId="{07A918F0-62D9-46AE-9F9F-62DB5B328CB3}" srcOrd="4" destOrd="0" presId="urn:microsoft.com/office/officeart/2005/8/layout/lProcess2"/>
    <dgm:cxn modelId="{175EDDAC-611C-49B5-8934-EE6B8A97170B}" type="presParOf" srcId="{AEC892E2-6604-443A-A67F-53AE05637B15}" destId="{D02C7D20-3486-4424-8131-95B71FAD3264}" srcOrd="5" destOrd="0" presId="urn:microsoft.com/office/officeart/2005/8/layout/lProcess2"/>
    <dgm:cxn modelId="{35285825-F0D3-4204-8E24-C435CFCE23D4}" type="presParOf" srcId="{AEC892E2-6604-443A-A67F-53AE05637B15}" destId="{DED3F222-26E6-4809-AA91-F07F244295C3}" srcOrd="6" destOrd="0" presId="urn:microsoft.com/office/officeart/2005/8/layout/lProcess2"/>
    <dgm:cxn modelId="{E3BA7ABB-5306-455F-8300-DD676516D827}" type="presParOf" srcId="{AEC892E2-6604-443A-A67F-53AE05637B15}" destId="{6CA8B92D-366A-4BEA-A92A-6679C45DAB15}" srcOrd="7" destOrd="0" presId="urn:microsoft.com/office/officeart/2005/8/layout/lProcess2"/>
    <dgm:cxn modelId="{5F53D0CB-9DF7-4043-AB2B-594E1E68A130}" type="presParOf" srcId="{AEC892E2-6604-443A-A67F-53AE05637B15}" destId="{AAF2ACE6-5E38-4636-B080-BC2D37E74DD8}" srcOrd="8" destOrd="0" presId="urn:microsoft.com/office/officeart/2005/8/layout/lProcess2"/>
    <dgm:cxn modelId="{8C1E96BA-18C3-44A7-B448-22C4B68F8889}" type="presParOf" srcId="{7D112E5F-5E8D-4BAC-B50E-86C24ABA9E6B}" destId="{0CBD8366-63C9-47EF-B087-7561B6477CB6}" srcOrd="9" destOrd="0" presId="urn:microsoft.com/office/officeart/2005/8/layout/lProcess2"/>
    <dgm:cxn modelId="{6184E2D8-F98E-47BE-B96E-42B3DF6B9D2A}" type="presParOf" srcId="{7D112E5F-5E8D-4BAC-B50E-86C24ABA9E6B}" destId="{C76F0AA8-C3B8-424D-828B-9F3AEB3DDD02}" srcOrd="10" destOrd="0" presId="urn:microsoft.com/office/officeart/2005/8/layout/lProcess2"/>
    <dgm:cxn modelId="{9E1DC7B1-EA05-4AF1-BE47-559D583CB911}" type="presParOf" srcId="{C76F0AA8-C3B8-424D-828B-9F3AEB3DDD02}" destId="{788DE979-FF1A-4219-BF84-8A28593CCB94}" srcOrd="0" destOrd="0" presId="urn:microsoft.com/office/officeart/2005/8/layout/lProcess2"/>
    <dgm:cxn modelId="{246380CE-FBE9-477C-B217-EC5BB476AFD0}" type="presParOf" srcId="{C76F0AA8-C3B8-424D-828B-9F3AEB3DDD02}" destId="{71B56B25-BAF1-420C-B037-BB4722F02D90}" srcOrd="1" destOrd="0" presId="urn:microsoft.com/office/officeart/2005/8/layout/lProcess2"/>
    <dgm:cxn modelId="{C9638C92-1290-4616-AAF0-4F00A6203D52}" type="presParOf" srcId="{C76F0AA8-C3B8-424D-828B-9F3AEB3DDD02}" destId="{3F1D360B-481D-4C5E-90CF-3EAB36CBAFB2}" srcOrd="2" destOrd="0" presId="urn:microsoft.com/office/officeart/2005/8/layout/lProcess2"/>
    <dgm:cxn modelId="{44F227BE-82A8-4959-AF1C-19BB2D299232}" type="presParOf" srcId="{3F1D360B-481D-4C5E-90CF-3EAB36CBAFB2}" destId="{E1A254AC-78C7-4655-ACAE-FADF2CEC1676}" srcOrd="0" destOrd="0" presId="urn:microsoft.com/office/officeart/2005/8/layout/lProcess2"/>
    <dgm:cxn modelId="{728948CE-5026-4D66-8C75-A858F05555C3}" type="presParOf" srcId="{E1A254AC-78C7-4655-ACAE-FADF2CEC1676}" destId="{F1F16BAE-86C3-4B1E-85EA-E74B55A21462}" srcOrd="0" destOrd="0" presId="urn:microsoft.com/office/officeart/2005/8/layout/lProcess2"/>
    <dgm:cxn modelId="{8D7B1AC6-942A-4DF2-B181-FCB78F24DD4C}" type="presParOf" srcId="{E1A254AC-78C7-4655-ACAE-FADF2CEC1676}" destId="{C398DBA4-3F4A-45C5-A3D1-F3F64D633C42}" srcOrd="1" destOrd="0" presId="urn:microsoft.com/office/officeart/2005/8/layout/lProcess2"/>
    <dgm:cxn modelId="{DBF8A06D-FE53-43B0-B09F-70E62EE8312D}" type="presParOf" srcId="{E1A254AC-78C7-4655-ACAE-FADF2CEC1676}" destId="{2EA20561-6CFD-4954-A64B-AB91B0668E80}" srcOrd="2" destOrd="0" presId="urn:microsoft.com/office/officeart/2005/8/layout/lProcess2"/>
    <dgm:cxn modelId="{382AFC1B-8E1A-4750-8EAB-5F29799134D0}" type="presParOf" srcId="{E1A254AC-78C7-4655-ACAE-FADF2CEC1676}" destId="{D0826BCA-BC11-48B7-B01F-89A295A6B808}" srcOrd="3" destOrd="0" presId="urn:microsoft.com/office/officeart/2005/8/layout/lProcess2"/>
    <dgm:cxn modelId="{9016D371-354C-4A65-B282-DCC1751E81EA}" type="presParOf" srcId="{E1A254AC-78C7-4655-ACAE-FADF2CEC1676}" destId="{23C873A2-9912-4FE4-BDE7-C88BA9B2ECB3}" srcOrd="4" destOrd="0" presId="urn:microsoft.com/office/officeart/2005/8/layout/lProcess2"/>
    <dgm:cxn modelId="{231E8D50-C85E-44F7-B53B-CFA644377AAD}" type="presParOf" srcId="{E1A254AC-78C7-4655-ACAE-FADF2CEC1676}" destId="{ED34EE53-D035-4AEC-9CC5-068CFCF668D1}" srcOrd="5" destOrd="0" presId="urn:microsoft.com/office/officeart/2005/8/layout/lProcess2"/>
    <dgm:cxn modelId="{B233CE19-05A3-48B0-AFBC-03B43F5280C3}" type="presParOf" srcId="{E1A254AC-78C7-4655-ACAE-FADF2CEC1676}" destId="{95E7D6F0-32A9-4AB9-8051-93F3945D429B}" srcOrd="6" destOrd="0" presId="urn:microsoft.com/office/officeart/2005/8/layout/lProcess2"/>
    <dgm:cxn modelId="{431E756B-41B3-47C8-B891-1EEDF42A3349}" type="presParOf" srcId="{E1A254AC-78C7-4655-ACAE-FADF2CEC1676}" destId="{A3398A3F-042E-4757-B783-3A417B74E948}" srcOrd="7" destOrd="0" presId="urn:microsoft.com/office/officeart/2005/8/layout/lProcess2"/>
    <dgm:cxn modelId="{44F7E31F-A761-4336-A460-112F8BA476CB}" type="presParOf" srcId="{E1A254AC-78C7-4655-ACAE-FADF2CEC1676}" destId="{66D2E35F-6AA8-4674-9525-32D6D3B769C9}" srcOrd="8" destOrd="0" presId="urn:microsoft.com/office/officeart/2005/8/layout/lProcess2"/>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470F352-0887-4B4E-81B9-385C6AD8A1EF}">
      <dsp:nvSpPr>
        <dsp:cNvPr id="0" name=""/>
        <dsp:cNvSpPr/>
      </dsp:nvSpPr>
      <dsp:spPr>
        <a:xfrm>
          <a:off x="0" y="0"/>
          <a:ext cx="1357383" cy="4768608"/>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Digital Power Basic Skills</a:t>
          </a:r>
        </a:p>
      </dsp:txBody>
      <dsp:txXfrm>
        <a:off x="0" y="0"/>
        <a:ext cx="1357383" cy="1430582"/>
      </dsp:txXfrm>
    </dsp:sp>
    <dsp:sp modelId="{D9D4FC23-0730-4C6A-92D3-55905B566BDA}">
      <dsp:nvSpPr>
        <dsp:cNvPr id="0" name=""/>
        <dsp:cNvSpPr/>
      </dsp:nvSpPr>
      <dsp:spPr>
        <a:xfrm>
          <a:off x="139174" y="1430815"/>
          <a:ext cx="1085906" cy="457825"/>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Leren &amp; reflecteren</a:t>
          </a:r>
        </a:p>
      </dsp:txBody>
      <dsp:txXfrm>
        <a:off x="152583" y="1444224"/>
        <a:ext cx="1059088" cy="431007"/>
      </dsp:txXfrm>
    </dsp:sp>
    <dsp:sp modelId="{B92FF65D-7314-4281-8C61-D2E02ABB453E}">
      <dsp:nvSpPr>
        <dsp:cNvPr id="0" name=""/>
        <dsp:cNvSpPr/>
      </dsp:nvSpPr>
      <dsp:spPr>
        <a:xfrm>
          <a:off x="139174" y="1959075"/>
          <a:ext cx="1085906" cy="457825"/>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Ondersteunen &amp; samenwerken</a:t>
          </a:r>
        </a:p>
      </dsp:txBody>
      <dsp:txXfrm>
        <a:off x="152583" y="1972484"/>
        <a:ext cx="1059088" cy="431007"/>
      </dsp:txXfrm>
    </dsp:sp>
    <dsp:sp modelId="{8BA67AC5-5D23-4E1E-BC34-5B51379E48E7}">
      <dsp:nvSpPr>
        <dsp:cNvPr id="0" name=""/>
        <dsp:cNvSpPr/>
      </dsp:nvSpPr>
      <dsp:spPr>
        <a:xfrm>
          <a:off x="139174" y="2487336"/>
          <a:ext cx="1085906" cy="457825"/>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Ondernemen &amp; resultaatgericht</a:t>
          </a:r>
        </a:p>
      </dsp:txBody>
      <dsp:txXfrm>
        <a:off x="152583" y="2500745"/>
        <a:ext cx="1059088" cy="431007"/>
      </dsp:txXfrm>
    </dsp:sp>
    <dsp:sp modelId="{EE4F65C3-F61D-4F57-82E6-6248AF681702}">
      <dsp:nvSpPr>
        <dsp:cNvPr id="0" name=""/>
        <dsp:cNvSpPr/>
      </dsp:nvSpPr>
      <dsp:spPr>
        <a:xfrm>
          <a:off x="139174" y="3015597"/>
          <a:ext cx="1085906" cy="457825"/>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Klantgericht</a:t>
          </a:r>
        </a:p>
      </dsp:txBody>
      <dsp:txXfrm>
        <a:off x="152583" y="3029006"/>
        <a:ext cx="1059088" cy="431007"/>
      </dsp:txXfrm>
    </dsp:sp>
    <dsp:sp modelId="{4AA2C2D8-38AC-49A4-B325-32683F44EAF4}">
      <dsp:nvSpPr>
        <dsp:cNvPr id="0" name=""/>
        <dsp:cNvSpPr/>
      </dsp:nvSpPr>
      <dsp:spPr>
        <a:xfrm>
          <a:off x="139174" y="3543858"/>
          <a:ext cx="1085906" cy="457825"/>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Kennisdeling</a:t>
          </a:r>
        </a:p>
      </dsp:txBody>
      <dsp:txXfrm>
        <a:off x="152583" y="3557267"/>
        <a:ext cx="1059088" cy="431007"/>
      </dsp:txXfrm>
    </dsp:sp>
    <dsp:sp modelId="{211DDDCD-7378-4BEA-A98D-65ED33393EC4}">
      <dsp:nvSpPr>
        <dsp:cNvPr id="0" name=""/>
        <dsp:cNvSpPr/>
      </dsp:nvSpPr>
      <dsp:spPr>
        <a:xfrm>
          <a:off x="139174" y="4072118"/>
          <a:ext cx="1085906" cy="457825"/>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Coaching &amp; begeleiding</a:t>
          </a:r>
        </a:p>
      </dsp:txBody>
      <dsp:txXfrm>
        <a:off x="152583" y="4085527"/>
        <a:ext cx="1059088" cy="431007"/>
      </dsp:txXfrm>
    </dsp:sp>
    <dsp:sp modelId="{54671E33-5AC7-4CD0-91C9-A60A47022F3E}">
      <dsp:nvSpPr>
        <dsp:cNvPr id="0" name=""/>
        <dsp:cNvSpPr/>
      </dsp:nvSpPr>
      <dsp:spPr>
        <a:xfrm>
          <a:off x="1462622" y="0"/>
          <a:ext cx="1357383" cy="4768608"/>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Domein skills</a:t>
          </a:r>
        </a:p>
      </dsp:txBody>
      <dsp:txXfrm>
        <a:off x="1462622" y="0"/>
        <a:ext cx="1357383" cy="1430582"/>
      </dsp:txXfrm>
    </dsp:sp>
    <dsp:sp modelId="{9B677AB5-8643-43AB-A8BB-D8E12AD5A274}">
      <dsp:nvSpPr>
        <dsp:cNvPr id="0" name=""/>
        <dsp:cNvSpPr/>
      </dsp:nvSpPr>
      <dsp:spPr>
        <a:xfrm>
          <a:off x="1598361" y="1430989"/>
          <a:ext cx="1085906" cy="93684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Communication developers/ analysts</a:t>
          </a:r>
        </a:p>
      </dsp:txBody>
      <dsp:txXfrm>
        <a:off x="1625800" y="1458428"/>
        <a:ext cx="1031028" cy="881962"/>
      </dsp:txXfrm>
    </dsp:sp>
    <dsp:sp modelId="{B5D870D0-097B-4398-AB09-A25CBC7E53C9}">
      <dsp:nvSpPr>
        <dsp:cNvPr id="0" name=""/>
        <dsp:cNvSpPr/>
      </dsp:nvSpPr>
      <dsp:spPr>
        <a:xfrm>
          <a:off x="1598361" y="2511959"/>
          <a:ext cx="1085906" cy="93684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Tagging trends in domain</a:t>
          </a:r>
        </a:p>
      </dsp:txBody>
      <dsp:txXfrm>
        <a:off x="1625800" y="2539398"/>
        <a:ext cx="1031028" cy="881962"/>
      </dsp:txXfrm>
    </dsp:sp>
    <dsp:sp modelId="{74775DD3-DAF7-431F-8441-2EBCC37BE9A2}">
      <dsp:nvSpPr>
        <dsp:cNvPr id="0" name=""/>
        <dsp:cNvSpPr/>
      </dsp:nvSpPr>
      <dsp:spPr>
        <a:xfrm>
          <a:off x="1598361" y="3592929"/>
          <a:ext cx="1085906" cy="93684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Requirements</a:t>
          </a:r>
        </a:p>
      </dsp:txBody>
      <dsp:txXfrm>
        <a:off x="1625800" y="3620368"/>
        <a:ext cx="1031028" cy="881962"/>
      </dsp:txXfrm>
    </dsp:sp>
    <dsp:sp modelId="{6D56517E-766B-45C1-B3BA-03A92A9F1628}">
      <dsp:nvSpPr>
        <dsp:cNvPr id="0" name=""/>
        <dsp:cNvSpPr/>
      </dsp:nvSpPr>
      <dsp:spPr>
        <a:xfrm>
          <a:off x="2939211" y="0"/>
          <a:ext cx="1357383" cy="4768608"/>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Hardskills</a:t>
          </a:r>
        </a:p>
      </dsp:txBody>
      <dsp:txXfrm>
        <a:off x="2939211" y="0"/>
        <a:ext cx="1357383" cy="1430582"/>
      </dsp:txXfrm>
    </dsp:sp>
    <dsp:sp modelId="{A239EC8B-8508-4BCF-8FEB-C4B29C102781}">
      <dsp:nvSpPr>
        <dsp:cNvPr id="0" name=""/>
        <dsp:cNvSpPr/>
      </dsp:nvSpPr>
      <dsp:spPr>
        <a:xfrm>
          <a:off x="3057548" y="1431484"/>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Analytics (management/ admin) kennis</a:t>
          </a:r>
        </a:p>
      </dsp:txBody>
      <dsp:txXfrm>
        <a:off x="3073706" y="1447642"/>
        <a:ext cx="1053590" cy="519345"/>
      </dsp:txXfrm>
    </dsp:sp>
    <dsp:sp modelId="{6A2DAABB-876A-47FD-BE7B-55DED4AE8D7D}">
      <dsp:nvSpPr>
        <dsp:cNvPr id="0" name=""/>
        <dsp:cNvSpPr/>
      </dsp:nvSpPr>
      <dsp:spPr>
        <a:xfrm>
          <a:off x="3057548" y="2068016"/>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Tag management</a:t>
          </a:r>
        </a:p>
      </dsp:txBody>
      <dsp:txXfrm>
        <a:off x="3073706" y="2084174"/>
        <a:ext cx="1053590" cy="519345"/>
      </dsp:txXfrm>
    </dsp:sp>
    <dsp:sp modelId="{BA720AA9-5F7C-42D6-8013-F5034CA8CF9A}">
      <dsp:nvSpPr>
        <dsp:cNvPr id="0" name=""/>
        <dsp:cNvSpPr/>
      </dsp:nvSpPr>
      <dsp:spPr>
        <a:xfrm>
          <a:off x="3057548" y="2704549"/>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structures, tagplans, datalayer</a:t>
          </a:r>
        </a:p>
      </dsp:txBody>
      <dsp:txXfrm>
        <a:off x="3073706" y="2720707"/>
        <a:ext cx="1053590" cy="519345"/>
      </dsp:txXfrm>
    </dsp:sp>
    <dsp:sp modelId="{EDE04BA0-5878-419E-8E19-C3EF2AA315AF}">
      <dsp:nvSpPr>
        <dsp:cNvPr id="0" name=""/>
        <dsp:cNvSpPr/>
      </dsp:nvSpPr>
      <dsp:spPr>
        <a:xfrm>
          <a:off x="3057548" y="3341081"/>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Debugging</a:t>
          </a:r>
        </a:p>
      </dsp:txBody>
      <dsp:txXfrm>
        <a:off x="3073706" y="3357239"/>
        <a:ext cx="1053590" cy="519345"/>
      </dsp:txXfrm>
    </dsp:sp>
    <dsp:sp modelId="{A68845FC-6DDE-4C7E-881F-812E90A866F1}">
      <dsp:nvSpPr>
        <dsp:cNvPr id="0" name=""/>
        <dsp:cNvSpPr/>
      </dsp:nvSpPr>
      <dsp:spPr>
        <a:xfrm>
          <a:off x="3057548" y="3977613"/>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Programming</a:t>
          </a:r>
        </a:p>
      </dsp:txBody>
      <dsp:txXfrm>
        <a:off x="3073706" y="3993771"/>
        <a:ext cx="1053590" cy="519345"/>
      </dsp:txXfrm>
    </dsp:sp>
    <dsp:sp modelId="{D3D71071-A754-4C0E-9FFD-064FC19C1E19}">
      <dsp:nvSpPr>
        <dsp:cNvPr id="0" name=""/>
        <dsp:cNvSpPr/>
      </dsp:nvSpPr>
      <dsp:spPr>
        <a:xfrm>
          <a:off x="4380996" y="0"/>
          <a:ext cx="1357383" cy="4768608"/>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Basic Consultancy Skills</a:t>
          </a:r>
        </a:p>
      </dsp:txBody>
      <dsp:txXfrm>
        <a:off x="4380996" y="0"/>
        <a:ext cx="1357383" cy="1430582"/>
      </dsp:txXfrm>
    </dsp:sp>
    <dsp:sp modelId="{5FFDAE0D-01DD-4F48-856B-01906FDFAC4D}">
      <dsp:nvSpPr>
        <dsp:cNvPr id="0" name=""/>
        <dsp:cNvSpPr/>
      </dsp:nvSpPr>
      <dsp:spPr>
        <a:xfrm>
          <a:off x="4516735" y="1431484"/>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Adviseren</a:t>
          </a:r>
        </a:p>
      </dsp:txBody>
      <dsp:txXfrm>
        <a:off x="4532893" y="1447642"/>
        <a:ext cx="1053590" cy="519345"/>
      </dsp:txXfrm>
    </dsp:sp>
    <dsp:sp modelId="{7BE6FBB6-2C7F-4090-924E-AD3A157FFABE}">
      <dsp:nvSpPr>
        <dsp:cNvPr id="0" name=""/>
        <dsp:cNvSpPr/>
      </dsp:nvSpPr>
      <dsp:spPr>
        <a:xfrm>
          <a:off x="4516735" y="2068016"/>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Doortastend &amp; probleemoplossend</a:t>
          </a:r>
        </a:p>
      </dsp:txBody>
      <dsp:txXfrm>
        <a:off x="4532893" y="2084174"/>
        <a:ext cx="1053590" cy="519345"/>
      </dsp:txXfrm>
    </dsp:sp>
    <dsp:sp modelId="{1BF27B21-0FAC-4F32-B691-48071D34A960}">
      <dsp:nvSpPr>
        <dsp:cNvPr id="0" name=""/>
        <dsp:cNvSpPr/>
      </dsp:nvSpPr>
      <dsp:spPr>
        <a:xfrm>
          <a:off x="4516735" y="2704549"/>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Interpersoonlijke communicatie</a:t>
          </a:r>
        </a:p>
      </dsp:txBody>
      <dsp:txXfrm>
        <a:off x="4532893" y="2720707"/>
        <a:ext cx="1053590" cy="519345"/>
      </dsp:txXfrm>
    </dsp:sp>
    <dsp:sp modelId="{9821E4E8-E247-4525-A9DD-43D8B524714D}">
      <dsp:nvSpPr>
        <dsp:cNvPr id="0" name=""/>
        <dsp:cNvSpPr/>
      </dsp:nvSpPr>
      <dsp:spPr>
        <a:xfrm>
          <a:off x="4516735" y="3341081"/>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Verwachtings-management</a:t>
          </a:r>
        </a:p>
      </dsp:txBody>
      <dsp:txXfrm>
        <a:off x="4532893" y="3357239"/>
        <a:ext cx="1053590" cy="519345"/>
      </dsp:txXfrm>
    </dsp:sp>
    <dsp:sp modelId="{6081A0E7-3270-44D0-B4CD-B69CEEB69F68}">
      <dsp:nvSpPr>
        <dsp:cNvPr id="0" name=""/>
        <dsp:cNvSpPr/>
      </dsp:nvSpPr>
      <dsp:spPr>
        <a:xfrm>
          <a:off x="4516735" y="3977613"/>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Schriftelijke en mondelinge communicatie</a:t>
          </a:r>
        </a:p>
      </dsp:txBody>
      <dsp:txXfrm>
        <a:off x="4532893" y="3993771"/>
        <a:ext cx="1053590" cy="519345"/>
      </dsp:txXfrm>
    </dsp:sp>
    <dsp:sp modelId="{8387A50E-865C-4F7E-BAF7-78F89B5F3C88}">
      <dsp:nvSpPr>
        <dsp:cNvPr id="0" name=""/>
        <dsp:cNvSpPr/>
      </dsp:nvSpPr>
      <dsp:spPr>
        <a:xfrm>
          <a:off x="5840183" y="0"/>
          <a:ext cx="1357383" cy="4768608"/>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Business Skills</a:t>
          </a:r>
        </a:p>
      </dsp:txBody>
      <dsp:txXfrm>
        <a:off x="5840183" y="0"/>
        <a:ext cx="1357383" cy="1430582"/>
      </dsp:txXfrm>
    </dsp:sp>
    <dsp:sp modelId="{45ED17EB-782D-462A-9CC1-E53FA40A33C7}">
      <dsp:nvSpPr>
        <dsp:cNvPr id="0" name=""/>
        <dsp:cNvSpPr/>
      </dsp:nvSpPr>
      <dsp:spPr>
        <a:xfrm>
          <a:off x="5975922" y="1431484"/>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Organisatie- en management identificatie</a:t>
          </a:r>
        </a:p>
      </dsp:txBody>
      <dsp:txXfrm>
        <a:off x="5992080" y="1447642"/>
        <a:ext cx="1053590" cy="519345"/>
      </dsp:txXfrm>
    </dsp:sp>
    <dsp:sp modelId="{0482D866-2B3F-412E-9D66-E84151969353}">
      <dsp:nvSpPr>
        <dsp:cNvPr id="0" name=""/>
        <dsp:cNvSpPr/>
      </dsp:nvSpPr>
      <dsp:spPr>
        <a:xfrm>
          <a:off x="5975922" y="2068016"/>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Strategische conceptualisatie</a:t>
          </a:r>
        </a:p>
      </dsp:txBody>
      <dsp:txXfrm>
        <a:off x="5992080" y="2084174"/>
        <a:ext cx="1053590" cy="519345"/>
      </dsp:txXfrm>
    </dsp:sp>
    <dsp:sp modelId="{07A918F0-62D9-46AE-9F9F-62DB5B328CB3}">
      <dsp:nvSpPr>
        <dsp:cNvPr id="0" name=""/>
        <dsp:cNvSpPr/>
      </dsp:nvSpPr>
      <dsp:spPr>
        <a:xfrm>
          <a:off x="5975922" y="2704549"/>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Projectmanagement</a:t>
          </a:r>
        </a:p>
      </dsp:txBody>
      <dsp:txXfrm>
        <a:off x="5992080" y="2720707"/>
        <a:ext cx="1053590" cy="519345"/>
      </dsp:txXfrm>
    </dsp:sp>
    <dsp:sp modelId="{DED3F222-26E6-4809-AA91-F07F244295C3}">
      <dsp:nvSpPr>
        <dsp:cNvPr id="0" name=""/>
        <dsp:cNvSpPr/>
      </dsp:nvSpPr>
      <dsp:spPr>
        <a:xfrm>
          <a:off x="5975922" y="3341081"/>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Verander-management</a:t>
          </a:r>
        </a:p>
      </dsp:txBody>
      <dsp:txXfrm>
        <a:off x="5992080" y="3357239"/>
        <a:ext cx="1053590" cy="519345"/>
      </dsp:txXfrm>
    </dsp:sp>
    <dsp:sp modelId="{AAF2ACE6-5E38-4636-B080-BC2D37E74DD8}">
      <dsp:nvSpPr>
        <dsp:cNvPr id="0" name=""/>
        <dsp:cNvSpPr/>
      </dsp:nvSpPr>
      <dsp:spPr>
        <a:xfrm>
          <a:off x="5975922" y="3977613"/>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Leidinggeven</a:t>
          </a:r>
        </a:p>
      </dsp:txBody>
      <dsp:txXfrm>
        <a:off x="5992080" y="3993771"/>
        <a:ext cx="1053590" cy="519345"/>
      </dsp:txXfrm>
    </dsp:sp>
    <dsp:sp modelId="{788DE979-FF1A-4219-BF84-8A28593CCB94}">
      <dsp:nvSpPr>
        <dsp:cNvPr id="0" name=""/>
        <dsp:cNvSpPr/>
      </dsp:nvSpPr>
      <dsp:spPr>
        <a:xfrm>
          <a:off x="7299370" y="0"/>
          <a:ext cx="1357383" cy="4768608"/>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Expert Consultancy Skills</a:t>
          </a:r>
        </a:p>
      </dsp:txBody>
      <dsp:txXfrm>
        <a:off x="7299370" y="0"/>
        <a:ext cx="1357383" cy="1430582"/>
      </dsp:txXfrm>
    </dsp:sp>
    <dsp:sp modelId="{F1F16BAE-86C3-4B1E-85EA-E74B55A21462}">
      <dsp:nvSpPr>
        <dsp:cNvPr id="0" name=""/>
        <dsp:cNvSpPr/>
      </dsp:nvSpPr>
      <dsp:spPr>
        <a:xfrm>
          <a:off x="7435109" y="1431484"/>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Situationele communicatie</a:t>
          </a:r>
        </a:p>
      </dsp:txBody>
      <dsp:txXfrm>
        <a:off x="7451267" y="1447642"/>
        <a:ext cx="1053590" cy="519345"/>
      </dsp:txXfrm>
    </dsp:sp>
    <dsp:sp modelId="{2EA20561-6CFD-4954-A64B-AB91B0668E80}">
      <dsp:nvSpPr>
        <dsp:cNvPr id="0" name=""/>
        <dsp:cNvSpPr/>
      </dsp:nvSpPr>
      <dsp:spPr>
        <a:xfrm>
          <a:off x="7435109" y="2068016"/>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Doelgerichte &amp; effectieve communicatie</a:t>
          </a:r>
        </a:p>
      </dsp:txBody>
      <dsp:txXfrm>
        <a:off x="7451267" y="2084174"/>
        <a:ext cx="1053590" cy="519345"/>
      </dsp:txXfrm>
    </dsp:sp>
    <dsp:sp modelId="{23C873A2-9912-4FE4-BDE7-C88BA9B2ECB3}">
      <dsp:nvSpPr>
        <dsp:cNvPr id="0" name=""/>
        <dsp:cNvSpPr/>
      </dsp:nvSpPr>
      <dsp:spPr>
        <a:xfrm>
          <a:off x="7435109" y="2704549"/>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Besluitvaardigheid</a:t>
          </a:r>
        </a:p>
      </dsp:txBody>
      <dsp:txXfrm>
        <a:off x="7451267" y="2720707"/>
        <a:ext cx="1053590" cy="519345"/>
      </dsp:txXfrm>
    </dsp:sp>
    <dsp:sp modelId="{95E7D6F0-32A9-4AB9-8051-93F3945D429B}">
      <dsp:nvSpPr>
        <dsp:cNvPr id="0" name=""/>
        <dsp:cNvSpPr/>
      </dsp:nvSpPr>
      <dsp:spPr>
        <a:xfrm>
          <a:off x="7435109" y="3341081"/>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Overtuigen &amp; beinvloeden</a:t>
          </a:r>
        </a:p>
      </dsp:txBody>
      <dsp:txXfrm>
        <a:off x="7451267" y="3357239"/>
        <a:ext cx="1053590" cy="519345"/>
      </dsp:txXfrm>
    </dsp:sp>
    <dsp:sp modelId="{66D2E35F-6AA8-4674-9525-32D6D3B769C9}">
      <dsp:nvSpPr>
        <dsp:cNvPr id="0" name=""/>
        <dsp:cNvSpPr/>
      </dsp:nvSpPr>
      <dsp:spPr>
        <a:xfrm>
          <a:off x="7435109" y="3977613"/>
          <a:ext cx="1085906" cy="55166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Opbouwende feedback &amp; slecht nieuws gesprekken</a:t>
          </a:r>
        </a:p>
      </dsp:txBody>
      <dsp:txXfrm>
        <a:off x="7451267" y="3993771"/>
        <a:ext cx="1053590" cy="519345"/>
      </dsp:txXfrm>
    </dsp:sp>
  </dsp:spTree>
</dsp:drawing>
</file>

<file path=xl/diagrams/layout1.xml><?xml version="1.0" encoding="utf-8"?>
<dgm:layoutDef xmlns:dgm="http://schemas.openxmlformats.org/drawingml/2006/diagram" xmlns:a="http://schemas.openxmlformats.org/drawingml/2006/main" uniqueId="urn:microsoft.com/office/officeart/2005/8/layout/lProcess2">
  <dgm:title val=""/>
  <dgm:desc val=""/>
  <dgm:catLst>
    <dgm:cat type="list" pri="10000"/>
    <dgm:cat type="relationship" pri="13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useDef="1">
    <dgm:dataModel>
      <dgm:ptLst/>
      <dgm:bg/>
      <dgm:whole/>
    </dgm:dataModel>
  </dgm:styleData>
  <dgm:clrData useDef="1">
    <dgm:dataModel>
      <dgm:ptLst/>
      <dgm:bg/>
      <dgm:whole/>
    </dgm:dataModel>
  </dgm:clrData>
  <dgm:layoutNode name="theList">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Node" refType="w"/>
      <dgm:constr type="h" for="ch" forName="compNode" refType="h"/>
      <dgm:constr type="w" for="ch" forName="aSpace" refType="w" fact="0.075"/>
      <dgm:constr type="h" for="des" forName="aSpace2" refType="h" fact="0.1"/>
      <dgm:constr type="primFontSz" for="des" forName="textNode" op="equ"/>
      <dgm:constr type="primFontSz" for="des" forName="childNode" op="equ"/>
    </dgm:constrLst>
    <dgm:ruleLst/>
    <dgm:forEach name="aNodeForEach" axis="ch" ptType="node">
      <dgm:layoutNode name="compNode">
        <dgm:alg type="composite"/>
        <dgm:shape xmlns:r="http://schemas.openxmlformats.org/officeDocument/2006/relationships" r:blip="">
          <dgm:adjLst/>
        </dgm:shape>
        <dgm:presOf/>
        <dgm:constrLst>
          <dgm:constr type="w" for="ch" forName="aNode" refType="w"/>
          <dgm:constr type="h" for="ch" forName="aNode" refType="h"/>
          <dgm:constr type="w" for="ch" forName="textNode" refType="w"/>
          <dgm:constr type="h" for="ch" forName="textNode" refType="h" fact="0.3"/>
          <dgm:constr type="ctrX" for="ch" forName="textNode" refType="w" fact="0.5"/>
          <dgm:constr type="w" for="ch" forName="compChildNode" refType="w" fact="0.8"/>
          <dgm:constr type="h" for="ch" forName="compChildNode" refType="h" fact="0.65"/>
          <dgm:constr type="t" for="ch" forName="compChildNode" refType="h" fact="0.3"/>
          <dgm:constr type="ctrX" for="ch" forName="compChildNode" refType="w" fact="0.5"/>
        </dgm:constrLst>
        <dgm:ruleLst/>
        <dgm:layoutNode name="aNode" styleLbl="bgShp">
          <dgm:alg type="sp"/>
          <dgm:shape xmlns:r="http://schemas.openxmlformats.org/officeDocument/2006/relationships" type="roundRect" r:blip="">
            <dgm:adjLst>
              <dgm:adj idx="1" val="0.1"/>
            </dgm:adjLst>
          </dgm:shape>
          <dgm:presOf axis="self"/>
          <dgm:constrLst/>
          <dgm:ruleLst/>
        </dgm:layoutNode>
        <dgm:layoutNode name="textNode" styleLbl="bgShp">
          <dgm:alg type="tx"/>
          <dgm:shape xmlns:r="http://schemas.openxmlformats.org/officeDocument/2006/relationships" type="rect" r:blip="" hideGeom="1">
            <dgm:adjLst>
              <dgm:adj idx="1" val="0.1"/>
            </dgm:adjLst>
          </dgm:shape>
          <dgm:presOf axis="self"/>
          <dgm:constrLst>
            <dgm:constr type="primFontSz" val="65"/>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ompChildNode">
          <dgm:alg type="composite"/>
          <dgm:shape xmlns:r="http://schemas.openxmlformats.org/officeDocument/2006/relationships" r:blip="">
            <dgm:adjLst/>
          </dgm:shape>
          <dgm:presOf/>
          <dgm:constrLst>
            <dgm:constr type="w" for="des" forName="childNode" refType="w"/>
            <dgm:constr type="h" for="des" forName="childNode" refType="h"/>
          </dgm:constrLst>
          <dgm:ruleLst/>
          <dgm:layoutNode name="theInnerList">
            <dgm:alg type="lin">
              <dgm:param type="linDir" val="fromT"/>
            </dgm:alg>
            <dgm:shape xmlns:r="http://schemas.openxmlformats.org/officeDocument/2006/relationships" r:blip="">
              <dgm:adjLst/>
            </dgm:shape>
            <dgm:presOf/>
            <dgm:constrLst/>
            <dgm:ruleLst/>
            <dgm:forEach name="childNodeForEach" axis="ch" ptType="node">
              <dgm:layoutNode name="childNode" styleLbl="node1">
                <dgm:varLst>
                  <dgm:bulletEnabled val="1"/>
                </dgm:varLst>
                <dgm:alg type="tx"/>
                <dgm:shape xmlns:r="http://schemas.openxmlformats.org/officeDocument/2006/relationships" type="roundRect" r:blip="">
                  <dgm:adjLst>
                    <dgm:adj idx="1" val="0.1"/>
                  </dgm:adjLst>
                </dgm:shape>
                <dgm:presOf axis="desOrSelf" ptType="node"/>
                <dgm:constrLst>
                  <dgm:constr type="primFontSz" val="65"/>
                  <dgm:constr type="tMarg" refType="primFontSz" fact="0.15"/>
                  <dgm:constr type="bMarg" refType="primFontSz" fact="0.15"/>
                  <dgm:constr type="lMarg" refType="primFontSz" fact="0.2"/>
                  <dgm:constr type="rMarg" refType="primFontSz" fact="0.2"/>
                </dgm:constrLst>
                <dgm:ruleLst>
                  <dgm:rule type="primFontSz" val="5" fact="NaN" max="NaN"/>
                </dgm:ruleLst>
              </dgm:layoutNode>
              <dgm:choose name="Name3">
                <dgm:if name="Name4" axis="self" ptType="node" func="revPos" op="equ" val="1"/>
                <dgm:else name="Name5">
                  <dgm:layoutNode name="aSpace2">
                    <dgm:alg type="sp"/>
                    <dgm:shape xmlns:r="http://schemas.openxmlformats.org/officeDocument/2006/relationships" r:blip="">
                      <dgm:adjLst/>
                    </dgm:shape>
                    <dgm:presOf/>
                    <dgm:constrLst/>
                    <dgm:ruleLst/>
                  </dgm:layoutNode>
                </dgm:else>
              </dgm:choose>
            </dgm:forEach>
          </dgm:layoutNode>
        </dgm:layoutNode>
      </dgm:layoutNode>
      <dgm:choose name="Name6">
        <dgm:if name="Name7" axis="self" ptType="node" func="revPos" op="equ" val="1"/>
        <dgm:else name="Name8">
          <dgm:layoutNode name="aSpace">
            <dgm:alg type="sp"/>
            <dgm:shape xmlns:r="http://schemas.openxmlformats.org/officeDocument/2006/relationships" r:blip="">
              <dgm:adjLst/>
            </dgm:shape>
            <dgm:presOf/>
            <dgm:constrLst/>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image" Target="../media/image1.png"/><Relationship Id="rId2" Type="http://schemas.openxmlformats.org/officeDocument/2006/relationships/diagramData" Target="../diagrams/data1.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335679</xdr:colOff>
      <xdr:row>24</xdr:row>
      <xdr:rowOff>60610</xdr:rowOff>
    </xdr:to>
    <xdr:pic>
      <xdr:nvPicPr>
        <xdr:cNvPr id="23" name="Afbeelding 22">
          <a:extLst>
            <a:ext uri="{FF2B5EF4-FFF2-40B4-BE49-F238E27FC236}">
              <a16:creationId xmlns:a16="http://schemas.microsoft.com/office/drawing/2014/main" id="{FFBA8916-7AB3-45D4-AB3F-C1B4FEEED8F8}"/>
            </a:ext>
          </a:extLst>
        </xdr:cNvPr>
        <xdr:cNvPicPr>
          <a:picLocks noChangeAspect="1"/>
        </xdr:cNvPicPr>
      </xdr:nvPicPr>
      <xdr:blipFill>
        <a:blip xmlns:r="http://schemas.openxmlformats.org/officeDocument/2006/relationships" r:embed="rId7"/>
        <a:stretch>
          <a:fillRect/>
        </a:stretch>
      </xdr:blipFill>
      <xdr:spPr>
        <a:xfrm>
          <a:off x="609600" y="829733"/>
          <a:ext cx="4602879" cy="3785944"/>
        </a:xfrm>
        <a:prstGeom prst="rect">
          <a:avLst/>
        </a:prstGeom>
      </xdr:spPr>
    </xdr:pic>
    <xdr:clientData/>
  </xdr:twoCellAnchor>
  <xdr:twoCellAnchor>
    <xdr:from>
      <xdr:col>9</xdr:col>
      <xdr:colOff>0</xdr:colOff>
      <xdr:row>4</xdr:row>
      <xdr:rowOff>0</xdr:rowOff>
    </xdr:from>
    <xdr:to>
      <xdr:col>15</xdr:col>
      <xdr:colOff>423333</xdr:colOff>
      <xdr:row>29</xdr:row>
      <xdr:rowOff>81704</xdr:rowOff>
    </xdr:to>
    <xdr:graphicFrame macro="">
      <xdr:nvGraphicFramePr>
        <xdr:cNvPr id="4" name="Diagram 3">
          <a:extLst>
            <a:ext uri="{FF2B5EF4-FFF2-40B4-BE49-F238E27FC236}">
              <a16:creationId xmlns:a16="http://schemas.microsoft.com/office/drawing/2014/main" id="{2184C21C-2349-467C-B9AB-812D5EC831C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372666</xdr:colOff>
      <xdr:row>23</xdr:row>
      <xdr:rowOff>175021</xdr:rowOff>
    </xdr:from>
    <xdr:to>
      <xdr:col>33</xdr:col>
      <xdr:colOff>104776</xdr:colOff>
      <xdr:row>38</xdr:row>
      <xdr:rowOff>70246</xdr:rowOff>
    </xdr:to>
    <xdr:graphicFrame macro="">
      <xdr:nvGraphicFramePr>
        <xdr:cNvPr id="2" name="Grafiek 1">
          <a:extLst>
            <a:ext uri="{FF2B5EF4-FFF2-40B4-BE49-F238E27FC236}">
              <a16:creationId xmlns:a16="http://schemas.microsoft.com/office/drawing/2014/main" id="{8BC94068-89F0-422E-A08D-0D55168B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38</xdr:row>
      <xdr:rowOff>161925</xdr:rowOff>
    </xdr:from>
    <xdr:to>
      <xdr:col>8</xdr:col>
      <xdr:colOff>19050</xdr:colOff>
      <xdr:row>53</xdr:row>
      <xdr:rowOff>57150</xdr:rowOff>
    </xdr:to>
    <xdr:graphicFrame macro="">
      <xdr:nvGraphicFramePr>
        <xdr:cNvPr id="8" name="Grafiek 7">
          <a:extLst>
            <a:ext uri="{FF2B5EF4-FFF2-40B4-BE49-F238E27FC236}">
              <a16:creationId xmlns:a16="http://schemas.microsoft.com/office/drawing/2014/main" id="{2C06592C-C7FE-4F7F-A7CC-5864C8CD5CF7}"/>
            </a:ext>
            <a:ext uri="{147F2762-F138-4A5C-976F-8EAC2B608ADB}">
              <a16:predDERef xmlns:a16="http://schemas.microsoft.com/office/drawing/2014/main" pred="{8BC94068-89F0-422E-A08D-0D55168B5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133350</xdr:colOff>
      <xdr:row>38</xdr:row>
      <xdr:rowOff>152400</xdr:rowOff>
    </xdr:from>
    <xdr:to>
      <xdr:col>22</xdr:col>
      <xdr:colOff>266700</xdr:colOff>
      <xdr:row>53</xdr:row>
      <xdr:rowOff>47625</xdr:rowOff>
    </xdr:to>
    <xdr:graphicFrame macro="">
      <xdr:nvGraphicFramePr>
        <xdr:cNvPr id="9" name="Grafiek 8">
          <a:extLst>
            <a:ext uri="{FF2B5EF4-FFF2-40B4-BE49-F238E27FC236}">
              <a16:creationId xmlns:a16="http://schemas.microsoft.com/office/drawing/2014/main" id="{F3FC2585-D2A6-46CB-A1D2-356F154BB21A}"/>
            </a:ext>
            <a:ext uri="{147F2762-F138-4A5C-976F-8EAC2B608ADB}">
              <a16:predDERef xmlns:a16="http://schemas.microsoft.com/office/drawing/2014/main" pred="{2C06592C-C7FE-4F7F-A7CC-5864C8CD5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369095</xdr:colOff>
      <xdr:row>38</xdr:row>
      <xdr:rowOff>133350</xdr:rowOff>
    </xdr:from>
    <xdr:to>
      <xdr:col>33</xdr:col>
      <xdr:colOff>104775</xdr:colOff>
      <xdr:row>53</xdr:row>
      <xdr:rowOff>28575</xdr:rowOff>
    </xdr:to>
    <xdr:graphicFrame macro="">
      <xdr:nvGraphicFramePr>
        <xdr:cNvPr id="10" name="Grafiek 9">
          <a:extLst>
            <a:ext uri="{FF2B5EF4-FFF2-40B4-BE49-F238E27FC236}">
              <a16:creationId xmlns:a16="http://schemas.microsoft.com/office/drawing/2014/main" id="{B5CA9B28-7B21-4472-BFF3-0B5CF3E4FAD7}"/>
            </a:ext>
            <a:ext uri="{147F2762-F138-4A5C-976F-8EAC2B608ADB}">
              <a16:predDERef xmlns:a16="http://schemas.microsoft.com/office/drawing/2014/main" pred="{F3FC2585-D2A6-46CB-A1D2-356F154B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xdr:colOff>
      <xdr:row>53</xdr:row>
      <xdr:rowOff>152400</xdr:rowOff>
    </xdr:from>
    <xdr:to>
      <xdr:col>8</xdr:col>
      <xdr:colOff>19050</xdr:colOff>
      <xdr:row>68</xdr:row>
      <xdr:rowOff>47625</xdr:rowOff>
    </xdr:to>
    <xdr:graphicFrame macro="">
      <xdr:nvGraphicFramePr>
        <xdr:cNvPr id="11" name="Grafiek 10">
          <a:extLst>
            <a:ext uri="{FF2B5EF4-FFF2-40B4-BE49-F238E27FC236}">
              <a16:creationId xmlns:a16="http://schemas.microsoft.com/office/drawing/2014/main" id="{60441FA0-E444-4A52-AA01-716A96B586CB}"/>
            </a:ext>
            <a:ext uri="{147F2762-F138-4A5C-976F-8EAC2B608ADB}">
              <a16:predDERef xmlns:a16="http://schemas.microsoft.com/office/drawing/2014/main" pred="{B5CA9B28-7B21-4472-BFF3-0B5CF3E4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47626</xdr:colOff>
      <xdr:row>9</xdr:row>
      <xdr:rowOff>19050</xdr:rowOff>
    </xdr:from>
    <xdr:to>
      <xdr:col>22</xdr:col>
      <xdr:colOff>283368</xdr:colOff>
      <xdr:row>38</xdr:row>
      <xdr:rowOff>57150</xdr:rowOff>
    </xdr:to>
    <xdr:graphicFrame macro="">
      <xdr:nvGraphicFramePr>
        <xdr:cNvPr id="13" name="Grafiek 12">
          <a:extLst>
            <a:ext uri="{FF2B5EF4-FFF2-40B4-BE49-F238E27FC236}">
              <a16:creationId xmlns:a16="http://schemas.microsoft.com/office/drawing/2014/main" id="{6D5DAD57-B223-4292-9225-77E20D3E8D61}"/>
            </a:ext>
            <a:ext uri="{147F2762-F138-4A5C-976F-8EAC2B608ADB}">
              <a16:predDERef xmlns:a16="http://schemas.microsoft.com/office/drawing/2014/main" pred="{60441FA0-E444-4A52-AA01-716A96B5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123824</xdr:colOff>
      <xdr:row>53</xdr:row>
      <xdr:rowOff>142875</xdr:rowOff>
    </xdr:from>
    <xdr:to>
      <xdr:col>22</xdr:col>
      <xdr:colOff>285749</xdr:colOff>
      <xdr:row>68</xdr:row>
      <xdr:rowOff>38100</xdr:rowOff>
    </xdr:to>
    <xdr:graphicFrame macro="">
      <xdr:nvGraphicFramePr>
        <xdr:cNvPr id="14" name="Grafiek 13">
          <a:extLst>
            <a:ext uri="{FF2B5EF4-FFF2-40B4-BE49-F238E27FC236}">
              <a16:creationId xmlns:a16="http://schemas.microsoft.com/office/drawing/2014/main" id="{411B7777-4200-495E-AA19-8871A37BD29C}"/>
            </a:ext>
            <a:ext uri="{147F2762-F138-4A5C-976F-8EAC2B608ADB}">
              <a16:predDERef xmlns:a16="http://schemas.microsoft.com/office/drawing/2014/main" pred="{6D5DAD57-B223-4292-9225-77E20D3E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370284</xdr:colOff>
      <xdr:row>9</xdr:row>
      <xdr:rowOff>25003</xdr:rowOff>
    </xdr:from>
    <xdr:to>
      <xdr:col>33</xdr:col>
      <xdr:colOff>114300</xdr:colOff>
      <xdr:row>23</xdr:row>
      <xdr:rowOff>101203</xdr:rowOff>
    </xdr:to>
    <xdr:graphicFrame macro="">
      <xdr:nvGraphicFramePr>
        <xdr:cNvPr id="3" name="Grafiek 2">
          <a:extLst>
            <a:ext uri="{FF2B5EF4-FFF2-40B4-BE49-F238E27FC236}">
              <a16:creationId xmlns:a16="http://schemas.microsoft.com/office/drawing/2014/main" id="{7885E01C-CEA6-43D1-9C48-4F8189248CA6}"/>
            </a:ext>
            <a:ext uri="{147F2762-F138-4A5C-976F-8EAC2B608ADB}">
              <a16:predDERef xmlns:a16="http://schemas.microsoft.com/office/drawing/2014/main" pred="{411B7777-4200-495E-AA19-8871A37BD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380999</xdr:colOff>
      <xdr:row>53</xdr:row>
      <xdr:rowOff>133350</xdr:rowOff>
    </xdr:from>
    <xdr:to>
      <xdr:col>33</xdr:col>
      <xdr:colOff>123824</xdr:colOff>
      <xdr:row>68</xdr:row>
      <xdr:rowOff>28575</xdr:rowOff>
    </xdr:to>
    <xdr:graphicFrame macro="">
      <xdr:nvGraphicFramePr>
        <xdr:cNvPr id="12" name="Grafiek 11">
          <a:extLst>
            <a:ext uri="{FF2B5EF4-FFF2-40B4-BE49-F238E27FC236}">
              <a16:creationId xmlns:a16="http://schemas.microsoft.com/office/drawing/2014/main" id="{4BBE5C71-09B1-486E-A48A-92659182056A}"/>
            </a:ext>
            <a:ext uri="{147F2762-F138-4A5C-976F-8EAC2B608ADB}">
              <a16:predDERef xmlns:a16="http://schemas.microsoft.com/office/drawing/2014/main" pred="{7885E01C-CEA6-43D1-9C48-4F8189248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9429-DB0B-4382-A6DD-ABAFA63F9653}">
  <sheetPr>
    <pageSetUpPr fitToPage="1"/>
  </sheetPr>
  <dimension ref="A1:M246"/>
  <sheetViews>
    <sheetView showGridLines="0" zoomScale="80" zoomScaleNormal="80" workbookViewId="0">
      <selection activeCell="H101" sqref="H101"/>
    </sheetView>
  </sheetViews>
  <sheetFormatPr defaultColWidth="8.7109375" defaultRowHeight="14.45"/>
  <cols>
    <col min="1" max="1" width="128.28515625" style="83" customWidth="1"/>
    <col min="2" max="2" width="20.7109375" style="84" customWidth="1"/>
    <col min="3" max="3" width="17.85546875" style="84" customWidth="1"/>
    <col min="4" max="4" width="13.85546875" style="93" customWidth="1"/>
    <col min="5" max="16384" width="8.7109375" style="83"/>
  </cols>
  <sheetData>
    <row r="1" spans="1:13" ht="26.1">
      <c r="A1" s="101" t="s">
        <v>0</v>
      </c>
    </row>
    <row r="2" spans="1:13" ht="14.45" customHeight="1"/>
    <row r="3" spans="1:13" ht="29.45" customHeight="1">
      <c r="A3" s="110" t="s">
        <v>1</v>
      </c>
      <c r="B3" s="139" t="s">
        <v>2</v>
      </c>
      <c r="C3" s="140"/>
      <c r="D3" s="141"/>
      <c r="F3" s="136" t="s">
        <v>3</v>
      </c>
      <c r="G3" s="137"/>
      <c r="H3" s="137"/>
      <c r="I3" s="137"/>
      <c r="J3" s="137"/>
      <c r="K3" s="137"/>
      <c r="L3" s="137"/>
      <c r="M3" s="138"/>
    </row>
    <row r="4" spans="1:13" ht="28.9" customHeight="1">
      <c r="A4" s="99" t="s">
        <v>4</v>
      </c>
      <c r="B4" s="86" t="s">
        <v>5</v>
      </c>
      <c r="C4" s="86" t="s">
        <v>6</v>
      </c>
      <c r="D4" s="86" t="s">
        <v>7</v>
      </c>
      <c r="F4" s="142" t="s">
        <v>8</v>
      </c>
      <c r="G4" s="143"/>
      <c r="H4" s="143"/>
      <c r="I4" s="143"/>
      <c r="J4" s="143"/>
      <c r="K4" s="143"/>
      <c r="L4" s="143"/>
      <c r="M4" s="144"/>
    </row>
    <row r="5" spans="1:13" ht="14.45" customHeight="1">
      <c r="A5" s="82" t="s">
        <v>9</v>
      </c>
      <c r="B5" s="91"/>
      <c r="C5" s="91"/>
      <c r="D5" s="87">
        <v>1</v>
      </c>
      <c r="F5" s="145"/>
      <c r="G5" s="146"/>
      <c r="H5" s="146"/>
      <c r="I5" s="146"/>
      <c r="J5" s="146"/>
      <c r="K5" s="146"/>
      <c r="L5" s="146"/>
      <c r="M5" s="147"/>
    </row>
    <row r="6" spans="1:13" ht="14.45" customHeight="1">
      <c r="A6" s="82" t="s">
        <v>10</v>
      </c>
      <c r="B6" s="133">
        <v>3</v>
      </c>
      <c r="C6" s="91"/>
      <c r="D6" s="87">
        <v>2</v>
      </c>
      <c r="F6" s="145"/>
      <c r="G6" s="146"/>
      <c r="H6" s="146"/>
      <c r="I6" s="146"/>
      <c r="J6" s="146"/>
      <c r="K6" s="146"/>
      <c r="L6" s="146"/>
      <c r="M6" s="147"/>
    </row>
    <row r="7" spans="1:13" ht="14.45" customHeight="1">
      <c r="A7" s="82" t="s">
        <v>11</v>
      </c>
      <c r="B7" s="91">
        <v>3</v>
      </c>
      <c r="C7" s="133">
        <v>5</v>
      </c>
      <c r="D7" s="87">
        <v>3</v>
      </c>
      <c r="F7" s="145"/>
      <c r="G7" s="146"/>
      <c r="H7" s="146"/>
      <c r="I7" s="146"/>
      <c r="J7" s="146"/>
      <c r="K7" s="146"/>
      <c r="L7" s="146"/>
      <c r="M7" s="147"/>
    </row>
    <row r="8" spans="1:13" ht="14.45" customHeight="1">
      <c r="A8" s="82" t="s">
        <v>12</v>
      </c>
      <c r="B8" s="91"/>
      <c r="C8" s="91">
        <v>4</v>
      </c>
      <c r="D8" s="87">
        <v>4</v>
      </c>
      <c r="F8" s="145"/>
      <c r="G8" s="146"/>
      <c r="H8" s="146"/>
      <c r="I8" s="146"/>
      <c r="J8" s="146"/>
      <c r="K8" s="146"/>
      <c r="L8" s="146"/>
      <c r="M8" s="147"/>
    </row>
    <row r="9" spans="1:13">
      <c r="A9" s="82" t="s">
        <v>13</v>
      </c>
      <c r="B9" s="91"/>
      <c r="C9" s="91"/>
      <c r="D9" s="87">
        <v>5</v>
      </c>
      <c r="F9" s="145"/>
      <c r="G9" s="146"/>
      <c r="H9" s="146"/>
      <c r="I9" s="146"/>
      <c r="J9" s="146"/>
      <c r="K9" s="146"/>
      <c r="L9" s="146"/>
      <c r="M9" s="147"/>
    </row>
    <row r="10" spans="1:13">
      <c r="A10" s="85"/>
      <c r="F10" s="145"/>
      <c r="G10" s="146"/>
      <c r="H10" s="146"/>
      <c r="I10" s="146"/>
      <c r="J10" s="146"/>
      <c r="K10" s="146"/>
      <c r="L10" s="146"/>
      <c r="M10" s="147"/>
    </row>
    <row r="11" spans="1:13" ht="23.45">
      <c r="A11" s="111" t="s">
        <v>14</v>
      </c>
      <c r="F11" s="145"/>
      <c r="G11" s="146"/>
      <c r="H11" s="146"/>
      <c r="I11" s="146"/>
      <c r="J11" s="146"/>
      <c r="K11" s="146"/>
      <c r="L11" s="146"/>
      <c r="M11" s="147"/>
    </row>
    <row r="12" spans="1:13" ht="29.1">
      <c r="A12" s="98" t="s">
        <v>15</v>
      </c>
      <c r="B12" s="103" t="s">
        <v>5</v>
      </c>
      <c r="C12" s="103" t="s">
        <v>6</v>
      </c>
      <c r="D12" s="86" t="s">
        <v>7</v>
      </c>
      <c r="F12" s="145"/>
      <c r="G12" s="146"/>
      <c r="H12" s="146"/>
      <c r="I12" s="146"/>
      <c r="J12" s="146"/>
      <c r="K12" s="146"/>
      <c r="L12" s="146"/>
      <c r="M12" s="147"/>
    </row>
    <row r="13" spans="1:13">
      <c r="A13" s="88" t="s">
        <v>16</v>
      </c>
      <c r="B13" s="89"/>
      <c r="C13" s="89"/>
      <c r="D13" s="87">
        <v>1</v>
      </c>
      <c r="F13" s="145"/>
      <c r="G13" s="146"/>
      <c r="H13" s="146"/>
      <c r="I13" s="146"/>
      <c r="J13" s="146"/>
      <c r="K13" s="146"/>
      <c r="L13" s="146"/>
      <c r="M13" s="147"/>
    </row>
    <row r="14" spans="1:13" ht="29.1">
      <c r="A14" s="88" t="s">
        <v>17</v>
      </c>
      <c r="B14" s="89"/>
      <c r="C14" s="89"/>
      <c r="D14" s="87">
        <v>2</v>
      </c>
      <c r="F14" s="145"/>
      <c r="G14" s="146"/>
      <c r="H14" s="146"/>
      <c r="I14" s="146"/>
      <c r="J14" s="146"/>
      <c r="K14" s="146"/>
      <c r="L14" s="146"/>
      <c r="M14" s="147"/>
    </row>
    <row r="15" spans="1:13" ht="29.1">
      <c r="A15" s="88" t="s">
        <v>18</v>
      </c>
      <c r="B15" s="89"/>
      <c r="C15" s="89"/>
      <c r="D15" s="87">
        <v>3</v>
      </c>
      <c r="F15" s="145"/>
      <c r="G15" s="146"/>
      <c r="H15" s="146"/>
      <c r="I15" s="146"/>
      <c r="J15" s="146"/>
      <c r="K15" s="146"/>
      <c r="L15" s="146"/>
      <c r="M15" s="147"/>
    </row>
    <row r="16" spans="1:13" ht="29.1">
      <c r="A16" s="88" t="s">
        <v>19</v>
      </c>
      <c r="B16" s="89"/>
      <c r="C16" s="89"/>
      <c r="D16" s="87">
        <v>4</v>
      </c>
      <c r="F16" s="145"/>
      <c r="G16" s="146"/>
      <c r="H16" s="146"/>
      <c r="I16" s="146"/>
      <c r="J16" s="146"/>
      <c r="K16" s="146"/>
      <c r="L16" s="146"/>
      <c r="M16" s="147"/>
    </row>
    <row r="17" spans="1:13" ht="29.1">
      <c r="A17" s="88" t="s">
        <v>20</v>
      </c>
      <c r="B17" s="89"/>
      <c r="C17" s="89"/>
      <c r="D17" s="87">
        <v>5</v>
      </c>
      <c r="F17" s="145"/>
      <c r="G17" s="146"/>
      <c r="H17" s="146"/>
      <c r="I17" s="146"/>
      <c r="J17" s="146"/>
      <c r="K17" s="146"/>
      <c r="L17" s="146"/>
      <c r="M17" s="147"/>
    </row>
    <row r="18" spans="1:13">
      <c r="A18" s="88"/>
      <c r="B18" s="89"/>
      <c r="C18" s="89"/>
      <c r="D18" s="87"/>
      <c r="F18" s="145"/>
      <c r="G18" s="146"/>
      <c r="H18" s="146"/>
      <c r="I18" s="146"/>
      <c r="J18" s="146"/>
      <c r="K18" s="146"/>
      <c r="L18" s="146"/>
      <c r="M18" s="147"/>
    </row>
    <row r="19" spans="1:13" ht="29.1">
      <c r="A19" s="98" t="s">
        <v>21</v>
      </c>
      <c r="B19" s="103" t="s">
        <v>5</v>
      </c>
      <c r="C19" s="103" t="s">
        <v>6</v>
      </c>
      <c r="D19" s="86" t="s">
        <v>7</v>
      </c>
      <c r="F19" s="145"/>
      <c r="G19" s="146"/>
      <c r="H19" s="146"/>
      <c r="I19" s="146"/>
      <c r="J19" s="146"/>
      <c r="K19" s="146"/>
      <c r="L19" s="146"/>
      <c r="M19" s="147"/>
    </row>
    <row r="20" spans="1:13">
      <c r="A20" s="88" t="s">
        <v>22</v>
      </c>
      <c r="B20" s="89"/>
      <c r="C20" s="89"/>
      <c r="D20" s="87">
        <v>1</v>
      </c>
      <c r="F20" s="145"/>
      <c r="G20" s="146"/>
      <c r="H20" s="146"/>
      <c r="I20" s="146"/>
      <c r="J20" s="146"/>
      <c r="K20" s="146"/>
      <c r="L20" s="146"/>
      <c r="M20" s="147"/>
    </row>
    <row r="21" spans="1:13">
      <c r="A21" s="88" t="s">
        <v>23</v>
      </c>
      <c r="B21" s="89"/>
      <c r="C21" s="89"/>
      <c r="D21" s="87">
        <v>2</v>
      </c>
      <c r="F21" s="145"/>
      <c r="G21" s="146"/>
      <c r="H21" s="146"/>
      <c r="I21" s="146"/>
      <c r="J21" s="146"/>
      <c r="K21" s="146"/>
      <c r="L21" s="146"/>
      <c r="M21" s="147"/>
    </row>
    <row r="22" spans="1:13">
      <c r="A22" s="88" t="s">
        <v>24</v>
      </c>
      <c r="B22" s="89"/>
      <c r="C22" s="89"/>
      <c r="D22" s="87">
        <v>3</v>
      </c>
      <c r="F22" s="148"/>
      <c r="G22" s="149"/>
      <c r="H22" s="149"/>
      <c r="I22" s="149"/>
      <c r="J22" s="149"/>
      <c r="K22" s="149"/>
      <c r="L22" s="149"/>
      <c r="M22" s="150"/>
    </row>
    <row r="23" spans="1:13" ht="29.1">
      <c r="A23" s="88" t="s">
        <v>25</v>
      </c>
      <c r="B23" s="89"/>
      <c r="C23" s="89"/>
      <c r="D23" s="87">
        <v>4</v>
      </c>
    </row>
    <row r="24" spans="1:13">
      <c r="A24" s="88" t="s">
        <v>26</v>
      </c>
      <c r="B24" s="89"/>
      <c r="C24" s="89"/>
      <c r="D24" s="87">
        <v>5</v>
      </c>
    </row>
    <row r="25" spans="1:13">
      <c r="A25" s="88"/>
      <c r="B25" s="89"/>
      <c r="C25" s="89"/>
      <c r="D25" s="87"/>
    </row>
    <row r="26" spans="1:13" ht="29.1">
      <c r="A26" s="98" t="s">
        <v>27</v>
      </c>
      <c r="B26" s="103" t="s">
        <v>5</v>
      </c>
      <c r="C26" s="103" t="s">
        <v>6</v>
      </c>
      <c r="D26" s="86" t="s">
        <v>7</v>
      </c>
    </row>
    <row r="27" spans="1:13">
      <c r="A27" s="88" t="s">
        <v>28</v>
      </c>
      <c r="B27" s="89"/>
      <c r="C27" s="89"/>
      <c r="D27" s="87">
        <v>1</v>
      </c>
    </row>
    <row r="28" spans="1:13">
      <c r="A28" s="88" t="s">
        <v>29</v>
      </c>
      <c r="B28" s="89"/>
      <c r="C28" s="89"/>
      <c r="D28" s="87">
        <v>2</v>
      </c>
    </row>
    <row r="29" spans="1:13" ht="29.1">
      <c r="A29" s="88" t="s">
        <v>30</v>
      </c>
      <c r="B29" s="89"/>
      <c r="C29" s="89"/>
      <c r="D29" s="87">
        <v>3</v>
      </c>
    </row>
    <row r="30" spans="1:13" ht="29.1">
      <c r="A30" s="88" t="s">
        <v>31</v>
      </c>
      <c r="B30" s="89"/>
      <c r="C30" s="89"/>
      <c r="D30" s="87">
        <v>4</v>
      </c>
    </row>
    <row r="31" spans="1:13" ht="29.1">
      <c r="A31" s="88" t="s">
        <v>32</v>
      </c>
      <c r="B31" s="89"/>
      <c r="C31" s="89"/>
      <c r="D31" s="87">
        <v>5</v>
      </c>
    </row>
    <row r="32" spans="1:13">
      <c r="A32" s="88"/>
      <c r="B32" s="89"/>
      <c r="C32" s="89"/>
      <c r="D32" s="87"/>
    </row>
    <row r="33" spans="1:4" ht="29.1">
      <c r="A33" s="98" t="s">
        <v>33</v>
      </c>
      <c r="B33" s="103" t="s">
        <v>5</v>
      </c>
      <c r="C33" s="103" t="s">
        <v>6</v>
      </c>
      <c r="D33" s="86" t="s">
        <v>7</v>
      </c>
    </row>
    <row r="34" spans="1:4">
      <c r="A34" s="88" t="s">
        <v>34</v>
      </c>
      <c r="B34" s="89"/>
      <c r="C34" s="89"/>
      <c r="D34" s="87">
        <v>1</v>
      </c>
    </row>
    <row r="35" spans="1:4">
      <c r="A35" s="88" t="s">
        <v>35</v>
      </c>
      <c r="B35" s="89"/>
      <c r="C35" s="89"/>
      <c r="D35" s="87">
        <v>2</v>
      </c>
    </row>
    <row r="36" spans="1:4" ht="29.1">
      <c r="A36" s="88" t="s">
        <v>36</v>
      </c>
      <c r="B36" s="89"/>
      <c r="C36" s="89"/>
      <c r="D36" s="87">
        <v>3</v>
      </c>
    </row>
    <row r="37" spans="1:4" ht="29.1">
      <c r="A37" s="88" t="s">
        <v>37</v>
      </c>
      <c r="B37" s="89"/>
      <c r="C37" s="89"/>
      <c r="D37" s="87">
        <v>4</v>
      </c>
    </row>
    <row r="38" spans="1:4" ht="29.1">
      <c r="A38" s="88" t="s">
        <v>38</v>
      </c>
      <c r="B38" s="89"/>
      <c r="C38" s="89"/>
      <c r="D38" s="87">
        <v>5</v>
      </c>
    </row>
    <row r="39" spans="1:4">
      <c r="A39" s="88"/>
      <c r="B39" s="89"/>
      <c r="C39" s="89"/>
      <c r="D39" s="87"/>
    </row>
    <row r="40" spans="1:4" ht="29.1">
      <c r="A40" s="98" t="s">
        <v>39</v>
      </c>
      <c r="B40" s="103" t="s">
        <v>5</v>
      </c>
      <c r="C40" s="103" t="s">
        <v>6</v>
      </c>
      <c r="D40" s="86" t="s">
        <v>7</v>
      </c>
    </row>
    <row r="41" spans="1:4">
      <c r="A41" s="88" t="s">
        <v>40</v>
      </c>
      <c r="B41" s="89"/>
      <c r="C41" s="89"/>
      <c r="D41" s="87">
        <v>1</v>
      </c>
    </row>
    <row r="42" spans="1:4">
      <c r="A42" s="88" t="s">
        <v>41</v>
      </c>
      <c r="B42" s="89"/>
      <c r="C42" s="89"/>
      <c r="D42" s="87">
        <v>2</v>
      </c>
    </row>
    <row r="43" spans="1:4" ht="29.1">
      <c r="A43" s="88" t="s">
        <v>42</v>
      </c>
      <c r="B43" s="89"/>
      <c r="C43" s="89"/>
      <c r="D43" s="87">
        <v>3</v>
      </c>
    </row>
    <row r="44" spans="1:4" ht="29.1">
      <c r="A44" s="88" t="s">
        <v>43</v>
      </c>
      <c r="B44" s="89"/>
      <c r="C44" s="89"/>
      <c r="D44" s="87">
        <v>4</v>
      </c>
    </row>
    <row r="45" spans="1:4" ht="29.1">
      <c r="A45" s="88" t="s">
        <v>44</v>
      </c>
      <c r="B45" s="89"/>
      <c r="C45" s="89"/>
      <c r="D45" s="87">
        <v>5</v>
      </c>
    </row>
    <row r="46" spans="1:4">
      <c r="A46" s="88"/>
      <c r="B46" s="89"/>
      <c r="C46" s="89"/>
      <c r="D46" s="87"/>
    </row>
    <row r="47" spans="1:4" ht="29.1">
      <c r="A47" s="98" t="s">
        <v>45</v>
      </c>
      <c r="B47" s="103" t="s">
        <v>5</v>
      </c>
      <c r="C47" s="103" t="s">
        <v>6</v>
      </c>
      <c r="D47" s="86" t="s">
        <v>7</v>
      </c>
    </row>
    <row r="48" spans="1:4">
      <c r="A48" s="88" t="s">
        <v>46</v>
      </c>
      <c r="B48" s="89"/>
      <c r="C48" s="89"/>
      <c r="D48" s="87">
        <v>1</v>
      </c>
    </row>
    <row r="49" spans="1:4">
      <c r="A49" s="88" t="s">
        <v>47</v>
      </c>
      <c r="B49" s="89"/>
      <c r="C49" s="89"/>
      <c r="D49" s="87">
        <v>2</v>
      </c>
    </row>
    <row r="50" spans="1:4">
      <c r="A50" s="88" t="s">
        <v>48</v>
      </c>
      <c r="B50" s="89"/>
      <c r="C50" s="89"/>
      <c r="D50" s="87">
        <v>3</v>
      </c>
    </row>
    <row r="51" spans="1:4">
      <c r="A51" s="88" t="s">
        <v>49</v>
      </c>
      <c r="B51" s="89"/>
      <c r="C51" s="89"/>
      <c r="D51" s="87">
        <v>4</v>
      </c>
    </row>
    <row r="52" spans="1:4">
      <c r="A52" s="88" t="s">
        <v>50</v>
      </c>
      <c r="B52" s="89"/>
      <c r="C52" s="89"/>
      <c r="D52" s="87">
        <v>5</v>
      </c>
    </row>
    <row r="54" spans="1:4" ht="23.45">
      <c r="A54" s="112" t="s">
        <v>51</v>
      </c>
    </row>
    <row r="55" spans="1:4" ht="29.1">
      <c r="A55" s="100" t="s">
        <v>52</v>
      </c>
      <c r="B55" s="104" t="s">
        <v>5</v>
      </c>
      <c r="C55" s="104" t="s">
        <v>6</v>
      </c>
      <c r="D55" s="86" t="s">
        <v>7</v>
      </c>
    </row>
    <row r="56" spans="1:4">
      <c r="A56" s="116" t="s">
        <v>53</v>
      </c>
      <c r="B56" s="89"/>
      <c r="C56" s="89"/>
      <c r="D56" s="87">
        <v>1</v>
      </c>
    </row>
    <row r="57" spans="1:4">
      <c r="A57" s="116" t="s">
        <v>54</v>
      </c>
      <c r="B57" s="89"/>
      <c r="C57" s="89"/>
      <c r="D57" s="87">
        <v>2</v>
      </c>
    </row>
    <row r="58" spans="1:4">
      <c r="A58" s="116" t="s">
        <v>55</v>
      </c>
      <c r="B58" s="89"/>
      <c r="C58" s="89"/>
      <c r="D58" s="87">
        <v>3</v>
      </c>
    </row>
    <row r="59" spans="1:4">
      <c r="A59" s="116" t="s">
        <v>56</v>
      </c>
      <c r="B59" s="89"/>
      <c r="C59" s="89"/>
      <c r="D59" s="87">
        <v>4</v>
      </c>
    </row>
    <row r="60" spans="1:4" ht="29.1">
      <c r="A60" s="116" t="s">
        <v>57</v>
      </c>
      <c r="B60" s="89"/>
      <c r="C60" s="89"/>
      <c r="D60" s="87">
        <v>5</v>
      </c>
    </row>
    <row r="61" spans="1:4">
      <c r="A61" s="88"/>
      <c r="B61" s="89"/>
      <c r="C61" s="89"/>
      <c r="D61" s="87"/>
    </row>
    <row r="62" spans="1:4" ht="29.1">
      <c r="A62" s="100" t="s">
        <v>58</v>
      </c>
      <c r="B62" s="104" t="s">
        <v>5</v>
      </c>
      <c r="C62" s="104" t="s">
        <v>6</v>
      </c>
      <c r="D62" s="86" t="s">
        <v>7</v>
      </c>
    </row>
    <row r="63" spans="1:4">
      <c r="A63" s="116" t="s">
        <v>59</v>
      </c>
      <c r="B63" s="89"/>
      <c r="C63" s="89"/>
      <c r="D63" s="87">
        <v>1</v>
      </c>
    </row>
    <row r="64" spans="1:4" ht="29.1">
      <c r="A64" s="116" t="s">
        <v>60</v>
      </c>
      <c r="B64" s="89"/>
      <c r="C64" s="89"/>
      <c r="D64" s="87">
        <v>2</v>
      </c>
    </row>
    <row r="65" spans="1:4" ht="29.1">
      <c r="A65" s="116" t="s">
        <v>61</v>
      </c>
      <c r="B65" s="89"/>
      <c r="C65" s="89"/>
      <c r="D65" s="87">
        <v>3</v>
      </c>
    </row>
    <row r="66" spans="1:4">
      <c r="A66" s="116" t="s">
        <v>62</v>
      </c>
      <c r="B66" s="89"/>
      <c r="C66" s="89"/>
      <c r="D66" s="87">
        <v>4</v>
      </c>
    </row>
    <row r="67" spans="1:4" ht="43.5">
      <c r="A67" s="116" t="s">
        <v>63</v>
      </c>
      <c r="B67" s="89"/>
      <c r="C67" s="89"/>
      <c r="D67" s="87">
        <v>5</v>
      </c>
    </row>
    <row r="68" spans="1:4">
      <c r="A68" s="88"/>
      <c r="B68" s="89"/>
      <c r="C68" s="89"/>
      <c r="D68" s="87"/>
    </row>
    <row r="69" spans="1:4" ht="29.1">
      <c r="A69" s="100" t="s">
        <v>64</v>
      </c>
      <c r="B69" s="104" t="s">
        <v>5</v>
      </c>
      <c r="C69" s="104" t="s">
        <v>6</v>
      </c>
      <c r="D69" s="86" t="s">
        <v>7</v>
      </c>
    </row>
    <row r="70" spans="1:4">
      <c r="A70" s="116" t="s">
        <v>65</v>
      </c>
      <c r="B70" s="89"/>
      <c r="C70" s="89"/>
      <c r="D70" s="87">
        <v>1</v>
      </c>
    </row>
    <row r="71" spans="1:4" ht="29.1">
      <c r="A71" s="116" t="s">
        <v>66</v>
      </c>
      <c r="B71" s="89"/>
      <c r="C71" s="89"/>
      <c r="D71" s="87">
        <v>2</v>
      </c>
    </row>
    <row r="72" spans="1:4">
      <c r="A72" s="116" t="s">
        <v>67</v>
      </c>
      <c r="B72" s="89"/>
      <c r="C72" s="89"/>
      <c r="D72" s="87">
        <v>3</v>
      </c>
    </row>
    <row r="73" spans="1:4" ht="29.1">
      <c r="A73" s="116" t="s">
        <v>68</v>
      </c>
      <c r="B73" s="89"/>
      <c r="C73" s="89"/>
      <c r="D73" s="87">
        <v>4</v>
      </c>
    </row>
    <row r="74" spans="1:4" ht="29.1">
      <c r="A74" s="116" t="s">
        <v>69</v>
      </c>
      <c r="B74" s="89"/>
      <c r="C74" s="89"/>
      <c r="D74" s="87">
        <v>5</v>
      </c>
    </row>
    <row r="75" spans="1:4" hidden="1">
      <c r="A75" s="88"/>
      <c r="B75" s="89"/>
      <c r="C75" s="89"/>
      <c r="D75" s="87"/>
    </row>
    <row r="76" spans="1:4" ht="29.1" hidden="1">
      <c r="A76" s="100"/>
      <c r="B76" s="104" t="s">
        <v>5</v>
      </c>
      <c r="C76" s="104" t="s">
        <v>6</v>
      </c>
      <c r="D76" s="86" t="s">
        <v>7</v>
      </c>
    </row>
    <row r="77" spans="1:4" hidden="1">
      <c r="A77" s="88"/>
      <c r="B77" s="89"/>
      <c r="C77" s="89"/>
      <c r="D77" s="87">
        <v>1</v>
      </c>
    </row>
    <row r="78" spans="1:4" hidden="1">
      <c r="A78" s="88"/>
      <c r="B78" s="89"/>
      <c r="C78" s="89"/>
      <c r="D78" s="87">
        <v>2</v>
      </c>
    </row>
    <row r="79" spans="1:4" hidden="1">
      <c r="A79" s="88"/>
      <c r="B79" s="89"/>
      <c r="C79" s="89"/>
      <c r="D79" s="87">
        <v>3</v>
      </c>
    </row>
    <row r="80" spans="1:4" hidden="1">
      <c r="A80" s="88"/>
      <c r="B80" s="89"/>
      <c r="C80" s="89"/>
      <c r="D80" s="87">
        <v>4</v>
      </c>
    </row>
    <row r="81" spans="1:4" hidden="1">
      <c r="A81" s="88"/>
      <c r="B81" s="89"/>
      <c r="C81" s="89"/>
      <c r="D81" s="87">
        <v>5</v>
      </c>
    </row>
    <row r="82" spans="1:4" hidden="1">
      <c r="A82" s="88"/>
      <c r="B82" s="89"/>
      <c r="C82" s="89"/>
      <c r="D82" s="87"/>
    </row>
    <row r="83" spans="1:4" ht="29.1" hidden="1">
      <c r="A83" s="100"/>
      <c r="B83" s="104" t="s">
        <v>5</v>
      </c>
      <c r="C83" s="104" t="s">
        <v>6</v>
      </c>
      <c r="D83" s="86" t="s">
        <v>7</v>
      </c>
    </row>
    <row r="84" spans="1:4" hidden="1">
      <c r="A84" s="88"/>
      <c r="B84" s="89"/>
      <c r="C84" s="89"/>
      <c r="D84" s="87">
        <v>1</v>
      </c>
    </row>
    <row r="85" spans="1:4" hidden="1">
      <c r="A85" s="88"/>
      <c r="B85" s="89"/>
      <c r="C85" s="89"/>
      <c r="D85" s="87">
        <v>2</v>
      </c>
    </row>
    <row r="86" spans="1:4" hidden="1">
      <c r="A86" s="88"/>
      <c r="B86" s="89"/>
      <c r="C86" s="89"/>
      <c r="D86" s="87">
        <v>3</v>
      </c>
    </row>
    <row r="87" spans="1:4" hidden="1">
      <c r="A87" s="88"/>
      <c r="B87" s="89"/>
      <c r="C87" s="89"/>
      <c r="D87" s="87">
        <v>4</v>
      </c>
    </row>
    <row r="88" spans="1:4" hidden="1">
      <c r="A88" s="88"/>
      <c r="B88" s="89"/>
      <c r="C88" s="89"/>
      <c r="D88" s="87">
        <v>5</v>
      </c>
    </row>
    <row r="89" spans="1:4" hidden="1">
      <c r="A89" s="88"/>
      <c r="B89" s="89"/>
      <c r="C89" s="89"/>
      <c r="D89" s="87"/>
    </row>
    <row r="90" spans="1:4" ht="29.1" hidden="1">
      <c r="A90" s="100"/>
      <c r="B90" s="104" t="s">
        <v>5</v>
      </c>
      <c r="C90" s="104" t="s">
        <v>6</v>
      </c>
      <c r="D90" s="86" t="s">
        <v>7</v>
      </c>
    </row>
    <row r="91" spans="1:4" hidden="1">
      <c r="A91" s="90"/>
      <c r="B91" s="92"/>
      <c r="C91" s="92"/>
      <c r="D91" s="87">
        <v>1</v>
      </c>
    </row>
    <row r="92" spans="1:4" hidden="1">
      <c r="A92" s="90"/>
      <c r="B92" s="92"/>
      <c r="C92" s="92"/>
      <c r="D92" s="87">
        <v>2</v>
      </c>
    </row>
    <row r="93" spans="1:4" hidden="1">
      <c r="A93" s="90"/>
      <c r="B93" s="92"/>
      <c r="C93" s="92"/>
      <c r="D93" s="87">
        <v>3</v>
      </c>
    </row>
    <row r="94" spans="1:4" hidden="1">
      <c r="A94" s="90"/>
      <c r="B94" s="92"/>
      <c r="C94" s="92"/>
      <c r="D94" s="87">
        <v>4</v>
      </c>
    </row>
    <row r="95" spans="1:4" hidden="1">
      <c r="A95" s="90"/>
      <c r="B95" s="92"/>
      <c r="C95" s="92"/>
      <c r="D95" s="87">
        <v>5</v>
      </c>
    </row>
    <row r="97" spans="1:4" ht="47.25">
      <c r="A97" s="135" t="s">
        <v>70</v>
      </c>
    </row>
    <row r="98" spans="1:4" ht="29.1">
      <c r="A98" s="100" t="s">
        <v>71</v>
      </c>
      <c r="B98" s="104" t="s">
        <v>5</v>
      </c>
      <c r="C98" s="104" t="s">
        <v>6</v>
      </c>
      <c r="D98" s="86" t="s">
        <v>7</v>
      </c>
    </row>
    <row r="99" spans="1:4" ht="29.1">
      <c r="A99" s="116" t="s">
        <v>72</v>
      </c>
      <c r="B99" s="89"/>
      <c r="C99" s="89"/>
      <c r="D99" s="87">
        <v>1</v>
      </c>
    </row>
    <row r="100" spans="1:4" ht="29.1">
      <c r="A100" s="116" t="s">
        <v>73</v>
      </c>
      <c r="B100" s="89"/>
      <c r="C100" s="89"/>
      <c r="D100" s="87">
        <v>2</v>
      </c>
    </row>
    <row r="101" spans="1:4" ht="101.45">
      <c r="A101" s="116" t="s">
        <v>74</v>
      </c>
      <c r="B101" s="89"/>
      <c r="C101" s="89"/>
      <c r="D101" s="87">
        <v>3</v>
      </c>
    </row>
    <row r="102" spans="1:4" ht="29.1">
      <c r="A102" s="116" t="s">
        <v>75</v>
      </c>
      <c r="B102" s="89"/>
      <c r="C102" s="89"/>
      <c r="D102" s="87">
        <v>4</v>
      </c>
    </row>
    <row r="103" spans="1:4" ht="29.1">
      <c r="A103" s="116" t="s">
        <v>76</v>
      </c>
      <c r="B103" s="89"/>
      <c r="C103" s="89"/>
      <c r="D103" s="87">
        <v>5</v>
      </c>
    </row>
    <row r="104" spans="1:4">
      <c r="A104" s="88"/>
      <c r="B104" s="89"/>
      <c r="C104" s="89"/>
      <c r="D104" s="87"/>
    </row>
    <row r="105" spans="1:4" ht="29.1">
      <c r="A105" s="100" t="s">
        <v>77</v>
      </c>
      <c r="B105" s="104" t="s">
        <v>5</v>
      </c>
      <c r="C105" s="104" t="s">
        <v>6</v>
      </c>
      <c r="D105" s="86" t="s">
        <v>7</v>
      </c>
    </row>
    <row r="106" spans="1:4">
      <c r="A106" s="116" t="s">
        <v>78</v>
      </c>
      <c r="B106" s="89"/>
      <c r="C106" s="89"/>
      <c r="D106" s="87">
        <v>1</v>
      </c>
    </row>
    <row r="107" spans="1:4">
      <c r="A107" s="116" t="s">
        <v>79</v>
      </c>
      <c r="B107" s="89"/>
      <c r="C107" s="89"/>
      <c r="D107" s="87">
        <v>2</v>
      </c>
    </row>
    <row r="108" spans="1:4">
      <c r="A108" s="116" t="s">
        <v>80</v>
      </c>
      <c r="B108" s="89"/>
      <c r="C108" s="89"/>
      <c r="D108" s="87">
        <v>3</v>
      </c>
    </row>
    <row r="109" spans="1:4" ht="29.1">
      <c r="A109" s="116" t="s">
        <v>81</v>
      </c>
      <c r="B109" s="89"/>
      <c r="C109" s="89"/>
      <c r="D109" s="87">
        <v>4</v>
      </c>
    </row>
    <row r="110" spans="1:4" ht="29.1">
      <c r="A110" s="116" t="s">
        <v>82</v>
      </c>
      <c r="B110" s="89"/>
      <c r="C110" s="89"/>
      <c r="D110" s="87">
        <v>5</v>
      </c>
    </row>
    <row r="111" spans="1:4">
      <c r="A111" s="88"/>
      <c r="B111" s="89"/>
      <c r="C111" s="89"/>
      <c r="D111" s="87"/>
    </row>
    <row r="112" spans="1:4" ht="29.1">
      <c r="A112" s="100" t="s">
        <v>83</v>
      </c>
      <c r="B112" s="104" t="s">
        <v>5</v>
      </c>
      <c r="C112" s="104" t="s">
        <v>6</v>
      </c>
      <c r="D112" s="86" t="s">
        <v>7</v>
      </c>
    </row>
    <row r="113" spans="1:4">
      <c r="A113" s="116" t="s">
        <v>84</v>
      </c>
      <c r="B113" s="89"/>
      <c r="C113" s="89"/>
      <c r="D113" s="87">
        <v>1</v>
      </c>
    </row>
    <row r="114" spans="1:4">
      <c r="A114" s="116" t="s">
        <v>85</v>
      </c>
      <c r="B114" s="89"/>
      <c r="C114" s="89"/>
      <c r="D114" s="87">
        <v>2</v>
      </c>
    </row>
    <row r="115" spans="1:4">
      <c r="A115" s="116" t="s">
        <v>86</v>
      </c>
      <c r="B115" s="89"/>
      <c r="C115" s="89"/>
      <c r="D115" s="87">
        <v>3</v>
      </c>
    </row>
    <row r="116" spans="1:4" ht="29.1">
      <c r="A116" s="116" t="s">
        <v>87</v>
      </c>
      <c r="B116" s="89"/>
      <c r="C116" s="89"/>
      <c r="D116" s="87">
        <v>4</v>
      </c>
    </row>
    <row r="117" spans="1:4" ht="29.1">
      <c r="A117" s="116" t="s">
        <v>87</v>
      </c>
      <c r="B117" s="89"/>
      <c r="C117" s="89"/>
      <c r="D117" s="87">
        <v>5</v>
      </c>
    </row>
    <row r="118" spans="1:4">
      <c r="A118" s="88"/>
      <c r="B118" s="89"/>
      <c r="C118" s="89"/>
      <c r="D118" s="87"/>
    </row>
    <row r="119" spans="1:4" ht="29.1">
      <c r="A119" s="100" t="s">
        <v>88</v>
      </c>
      <c r="B119" s="104" t="s">
        <v>5</v>
      </c>
      <c r="C119" s="104" t="s">
        <v>6</v>
      </c>
      <c r="D119" s="86" t="s">
        <v>7</v>
      </c>
    </row>
    <row r="120" spans="1:4">
      <c r="A120" s="117" t="s">
        <v>89</v>
      </c>
      <c r="B120" s="89"/>
      <c r="C120" s="89"/>
      <c r="D120" s="87">
        <v>1</v>
      </c>
    </row>
    <row r="121" spans="1:4">
      <c r="A121" s="117" t="s">
        <v>90</v>
      </c>
      <c r="B121" s="89"/>
      <c r="C121" s="89"/>
      <c r="D121" s="87">
        <v>2</v>
      </c>
    </row>
    <row r="122" spans="1:4" ht="29.1">
      <c r="A122" s="117" t="s">
        <v>91</v>
      </c>
      <c r="B122" s="89"/>
      <c r="C122" s="89"/>
      <c r="D122" s="87">
        <v>3</v>
      </c>
    </row>
    <row r="123" spans="1:4">
      <c r="A123" s="117" t="s">
        <v>92</v>
      </c>
      <c r="B123" s="89"/>
      <c r="C123" s="89"/>
      <c r="D123" s="87">
        <v>4</v>
      </c>
    </row>
    <row r="124" spans="1:4">
      <c r="A124" s="117" t="s">
        <v>93</v>
      </c>
      <c r="B124" s="89"/>
      <c r="C124" s="89"/>
      <c r="D124" s="87">
        <v>5</v>
      </c>
    </row>
    <row r="125" spans="1:4">
      <c r="A125" s="88"/>
      <c r="B125" s="89"/>
      <c r="C125" s="89"/>
      <c r="D125" s="87"/>
    </row>
    <row r="126" spans="1:4" ht="29.1">
      <c r="A126" s="100" t="s">
        <v>94</v>
      </c>
      <c r="B126" s="104" t="s">
        <v>5</v>
      </c>
      <c r="C126" s="104" t="s">
        <v>6</v>
      </c>
      <c r="D126" s="86" t="s">
        <v>7</v>
      </c>
    </row>
    <row r="127" spans="1:4">
      <c r="A127" s="116" t="s">
        <v>95</v>
      </c>
      <c r="B127" s="89"/>
      <c r="C127" s="89"/>
      <c r="D127" s="87">
        <v>1</v>
      </c>
    </row>
    <row r="128" spans="1:4">
      <c r="A128" s="116" t="s">
        <v>96</v>
      </c>
      <c r="B128" s="89"/>
      <c r="C128" s="89"/>
      <c r="D128" s="87">
        <v>2</v>
      </c>
    </row>
    <row r="129" spans="1:4">
      <c r="A129" s="116" t="s">
        <v>97</v>
      </c>
      <c r="B129" s="89"/>
      <c r="C129" s="89"/>
      <c r="D129" s="87">
        <v>3</v>
      </c>
    </row>
    <row r="130" spans="1:4">
      <c r="A130" s="116" t="s">
        <v>98</v>
      </c>
      <c r="B130" s="89"/>
      <c r="C130" s="89"/>
      <c r="D130" s="87">
        <v>4</v>
      </c>
    </row>
    <row r="131" spans="1:4">
      <c r="A131" s="116" t="s">
        <v>99</v>
      </c>
      <c r="B131" s="89"/>
      <c r="C131" s="89"/>
      <c r="D131" s="87">
        <v>5</v>
      </c>
    </row>
    <row r="132" spans="1:4" hidden="1">
      <c r="A132" s="88"/>
      <c r="B132" s="89"/>
      <c r="C132" s="89"/>
      <c r="D132" s="87"/>
    </row>
    <row r="133" spans="1:4" ht="29.1" hidden="1">
      <c r="A133" s="97"/>
      <c r="B133" s="105" t="s">
        <v>5</v>
      </c>
      <c r="C133" s="105" t="s">
        <v>6</v>
      </c>
      <c r="D133" s="86" t="s">
        <v>7</v>
      </c>
    </row>
    <row r="134" spans="1:4" hidden="1">
      <c r="A134" s="90"/>
      <c r="B134" s="92"/>
      <c r="C134" s="92"/>
      <c r="D134" s="87">
        <v>1</v>
      </c>
    </row>
    <row r="135" spans="1:4" hidden="1">
      <c r="A135" s="90"/>
      <c r="B135" s="92"/>
      <c r="C135" s="92"/>
      <c r="D135" s="87">
        <v>2</v>
      </c>
    </row>
    <row r="136" spans="1:4" hidden="1">
      <c r="A136" s="90"/>
      <c r="B136" s="92"/>
      <c r="C136" s="92"/>
      <c r="D136" s="87">
        <v>3</v>
      </c>
    </row>
    <row r="137" spans="1:4" hidden="1">
      <c r="A137" s="90"/>
      <c r="B137" s="92"/>
      <c r="C137" s="92"/>
      <c r="D137" s="87">
        <v>4</v>
      </c>
    </row>
    <row r="138" spans="1:4" hidden="1">
      <c r="A138" s="90"/>
      <c r="B138" s="92"/>
      <c r="C138" s="92"/>
      <c r="D138" s="87">
        <v>5</v>
      </c>
    </row>
    <row r="140" spans="1:4" ht="23.45">
      <c r="A140" s="113" t="s">
        <v>100</v>
      </c>
    </row>
    <row r="141" spans="1:4" ht="29.1">
      <c r="A141" s="96" t="s">
        <v>101</v>
      </c>
      <c r="B141" s="106" t="s">
        <v>5</v>
      </c>
      <c r="C141" s="106" t="s">
        <v>6</v>
      </c>
      <c r="D141" s="86" t="s">
        <v>7</v>
      </c>
    </row>
    <row r="142" spans="1:4">
      <c r="A142" s="88" t="s">
        <v>26</v>
      </c>
      <c r="B142" s="89"/>
      <c r="C142" s="89"/>
      <c r="D142" s="87">
        <v>1</v>
      </c>
    </row>
    <row r="143" spans="1:4">
      <c r="A143" s="88" t="s">
        <v>102</v>
      </c>
      <c r="B143" s="89"/>
      <c r="C143" s="89"/>
      <c r="D143" s="87">
        <v>2</v>
      </c>
    </row>
    <row r="144" spans="1:4" ht="29.1">
      <c r="A144" s="88" t="s">
        <v>103</v>
      </c>
      <c r="B144" s="89"/>
      <c r="C144" s="89"/>
      <c r="D144" s="87">
        <v>3</v>
      </c>
    </row>
    <row r="145" spans="1:4">
      <c r="A145" s="88" t="s">
        <v>104</v>
      </c>
      <c r="B145" s="89"/>
      <c r="C145" s="89"/>
      <c r="D145" s="87">
        <v>4</v>
      </c>
    </row>
    <row r="146" spans="1:4">
      <c r="A146" s="88" t="s">
        <v>105</v>
      </c>
      <c r="B146" s="89"/>
      <c r="C146" s="89"/>
      <c r="D146" s="87">
        <v>5</v>
      </c>
    </row>
    <row r="147" spans="1:4">
      <c r="A147" s="88"/>
      <c r="B147" s="89"/>
      <c r="C147" s="89"/>
      <c r="D147" s="87"/>
    </row>
    <row r="148" spans="1:4" ht="29.1">
      <c r="A148" s="96" t="s">
        <v>106</v>
      </c>
      <c r="B148" s="106" t="s">
        <v>5</v>
      </c>
      <c r="C148" s="106" t="s">
        <v>6</v>
      </c>
      <c r="D148" s="86" t="s">
        <v>7</v>
      </c>
    </row>
    <row r="149" spans="1:4">
      <c r="A149" s="88" t="s">
        <v>107</v>
      </c>
      <c r="B149" s="89"/>
      <c r="C149" s="89"/>
      <c r="D149" s="87">
        <v>1</v>
      </c>
    </row>
    <row r="150" spans="1:4">
      <c r="A150" s="88" t="s">
        <v>108</v>
      </c>
      <c r="B150" s="89"/>
      <c r="C150" s="89"/>
      <c r="D150" s="87">
        <v>2</v>
      </c>
    </row>
    <row r="151" spans="1:4" ht="29.1">
      <c r="A151" s="88" t="s">
        <v>109</v>
      </c>
      <c r="B151" s="89"/>
      <c r="C151" s="89"/>
      <c r="D151" s="87">
        <v>3</v>
      </c>
    </row>
    <row r="152" spans="1:4">
      <c r="A152" s="88" t="s">
        <v>110</v>
      </c>
      <c r="B152" s="89"/>
      <c r="C152" s="89"/>
      <c r="D152" s="87">
        <v>4</v>
      </c>
    </row>
    <row r="153" spans="1:4" ht="29.1">
      <c r="A153" s="88" t="s">
        <v>111</v>
      </c>
      <c r="B153" s="89"/>
      <c r="C153" s="89"/>
      <c r="D153" s="87">
        <v>5</v>
      </c>
    </row>
    <row r="154" spans="1:4">
      <c r="A154" s="88"/>
      <c r="B154" s="89"/>
      <c r="C154" s="89"/>
      <c r="D154" s="87"/>
    </row>
    <row r="155" spans="1:4" ht="29.1">
      <c r="A155" s="96" t="s">
        <v>112</v>
      </c>
      <c r="B155" s="106" t="s">
        <v>5</v>
      </c>
      <c r="C155" s="106" t="s">
        <v>6</v>
      </c>
      <c r="D155" s="86" t="s">
        <v>7</v>
      </c>
    </row>
    <row r="156" spans="1:4">
      <c r="A156" s="88" t="s">
        <v>113</v>
      </c>
      <c r="B156" s="89"/>
      <c r="C156" s="89"/>
      <c r="D156" s="87">
        <v>1</v>
      </c>
    </row>
    <row r="157" spans="1:4">
      <c r="A157" s="88" t="s">
        <v>114</v>
      </c>
      <c r="B157" s="89"/>
      <c r="C157" s="89"/>
      <c r="D157" s="87">
        <v>2</v>
      </c>
    </row>
    <row r="158" spans="1:4" ht="29.1">
      <c r="A158" s="88" t="s">
        <v>115</v>
      </c>
      <c r="B158" s="89"/>
      <c r="C158" s="89"/>
      <c r="D158" s="87">
        <v>3</v>
      </c>
    </row>
    <row r="159" spans="1:4" ht="29.1">
      <c r="A159" s="88" t="s">
        <v>116</v>
      </c>
      <c r="B159" s="89"/>
      <c r="C159" s="89"/>
      <c r="D159" s="87">
        <v>4</v>
      </c>
    </row>
    <row r="160" spans="1:4" ht="29.1">
      <c r="A160" s="88" t="s">
        <v>117</v>
      </c>
      <c r="B160" s="89"/>
      <c r="C160" s="89"/>
      <c r="D160" s="87">
        <v>5</v>
      </c>
    </row>
    <row r="161" spans="1:4">
      <c r="A161" s="88"/>
      <c r="B161" s="89"/>
      <c r="C161" s="89"/>
      <c r="D161" s="87"/>
    </row>
    <row r="162" spans="1:4" ht="29.1">
      <c r="A162" s="96" t="s">
        <v>118</v>
      </c>
      <c r="B162" s="106" t="s">
        <v>5</v>
      </c>
      <c r="C162" s="106" t="s">
        <v>6</v>
      </c>
      <c r="D162" s="86" t="s">
        <v>7</v>
      </c>
    </row>
    <row r="163" spans="1:4">
      <c r="A163" s="88" t="s">
        <v>26</v>
      </c>
      <c r="B163" s="89"/>
      <c r="C163" s="89"/>
      <c r="D163" s="87">
        <v>1</v>
      </c>
    </row>
    <row r="164" spans="1:4">
      <c r="A164" s="88" t="s">
        <v>119</v>
      </c>
      <c r="B164" s="89"/>
      <c r="C164" s="89"/>
      <c r="D164" s="87">
        <v>2</v>
      </c>
    </row>
    <row r="165" spans="1:4" ht="29.1">
      <c r="A165" s="88" t="s">
        <v>120</v>
      </c>
      <c r="B165" s="89"/>
      <c r="C165" s="89"/>
      <c r="D165" s="87">
        <v>3</v>
      </c>
    </row>
    <row r="166" spans="1:4" ht="29.1">
      <c r="A166" s="88" t="s">
        <v>121</v>
      </c>
      <c r="B166" s="89"/>
      <c r="C166" s="89"/>
      <c r="D166" s="87">
        <v>4</v>
      </c>
    </row>
    <row r="167" spans="1:4" ht="29.1">
      <c r="A167" s="88" t="s">
        <v>122</v>
      </c>
      <c r="B167" s="89"/>
      <c r="C167" s="89"/>
      <c r="D167" s="87">
        <v>5</v>
      </c>
    </row>
    <row r="168" spans="1:4">
      <c r="A168" s="88"/>
      <c r="B168" s="89"/>
      <c r="C168" s="89"/>
      <c r="D168" s="87"/>
    </row>
    <row r="169" spans="1:4" ht="29.1">
      <c r="A169" s="96" t="s">
        <v>123</v>
      </c>
      <c r="B169" s="106" t="s">
        <v>5</v>
      </c>
      <c r="C169" s="106" t="s">
        <v>6</v>
      </c>
      <c r="D169" s="86" t="s">
        <v>7</v>
      </c>
    </row>
    <row r="170" spans="1:4">
      <c r="A170" s="88" t="s">
        <v>124</v>
      </c>
      <c r="B170" s="89"/>
      <c r="C170" s="89"/>
      <c r="D170" s="87">
        <v>1</v>
      </c>
    </row>
    <row r="171" spans="1:4" ht="29.1">
      <c r="A171" s="88" t="s">
        <v>125</v>
      </c>
      <c r="B171" s="89"/>
      <c r="C171" s="89"/>
      <c r="D171" s="87">
        <v>2</v>
      </c>
    </row>
    <row r="172" spans="1:4" ht="29.1">
      <c r="A172" s="88" t="s">
        <v>126</v>
      </c>
      <c r="B172" s="89"/>
      <c r="C172" s="89"/>
      <c r="D172" s="87">
        <v>3</v>
      </c>
    </row>
    <row r="173" spans="1:4" ht="29.1">
      <c r="A173" s="88" t="s">
        <v>127</v>
      </c>
      <c r="B173" s="89"/>
      <c r="C173" s="89"/>
      <c r="D173" s="87">
        <v>4</v>
      </c>
    </row>
    <row r="174" spans="1:4">
      <c r="A174" s="88" t="s">
        <v>128</v>
      </c>
      <c r="B174" s="89"/>
      <c r="C174" s="89"/>
      <c r="D174" s="87">
        <v>5</v>
      </c>
    </row>
    <row r="176" spans="1:4" ht="23.45">
      <c r="A176" s="114" t="s">
        <v>129</v>
      </c>
    </row>
    <row r="177" spans="1:4" ht="29.1">
      <c r="A177" s="95" t="s">
        <v>130</v>
      </c>
      <c r="B177" s="107" t="s">
        <v>5</v>
      </c>
      <c r="C177" s="107" t="s">
        <v>6</v>
      </c>
      <c r="D177" s="86" t="s">
        <v>7</v>
      </c>
    </row>
    <row r="178" spans="1:4">
      <c r="A178" s="88" t="s">
        <v>131</v>
      </c>
      <c r="B178" s="89"/>
      <c r="C178" s="89"/>
      <c r="D178" s="87">
        <v>1</v>
      </c>
    </row>
    <row r="179" spans="1:4">
      <c r="A179" s="88" t="s">
        <v>132</v>
      </c>
      <c r="B179" s="89"/>
      <c r="C179" s="89"/>
      <c r="D179" s="87">
        <v>2</v>
      </c>
    </row>
    <row r="180" spans="1:4">
      <c r="A180" s="88" t="s">
        <v>133</v>
      </c>
      <c r="B180" s="89"/>
      <c r="C180" s="89"/>
      <c r="D180" s="87">
        <v>3</v>
      </c>
    </row>
    <row r="181" spans="1:4" ht="29.1">
      <c r="A181" s="88" t="s">
        <v>134</v>
      </c>
      <c r="B181" s="89"/>
      <c r="C181" s="89"/>
      <c r="D181" s="87">
        <v>4</v>
      </c>
    </row>
    <row r="182" spans="1:4">
      <c r="A182" s="88" t="s">
        <v>135</v>
      </c>
      <c r="B182" s="89"/>
      <c r="C182" s="89"/>
      <c r="D182" s="87">
        <v>5</v>
      </c>
    </row>
    <row r="183" spans="1:4">
      <c r="A183" s="88"/>
      <c r="B183" s="89"/>
      <c r="C183" s="89"/>
      <c r="D183" s="87"/>
    </row>
    <row r="184" spans="1:4" ht="29.1">
      <c r="A184" s="95" t="s">
        <v>136</v>
      </c>
      <c r="B184" s="107" t="s">
        <v>5</v>
      </c>
      <c r="C184" s="107" t="s">
        <v>6</v>
      </c>
      <c r="D184" s="86" t="s">
        <v>7</v>
      </c>
    </row>
    <row r="185" spans="1:4">
      <c r="A185" s="88" t="s">
        <v>137</v>
      </c>
      <c r="B185" s="89"/>
      <c r="C185" s="89"/>
      <c r="D185" s="87">
        <v>1</v>
      </c>
    </row>
    <row r="186" spans="1:4">
      <c r="A186" s="88" t="s">
        <v>138</v>
      </c>
      <c r="B186" s="89"/>
      <c r="C186" s="89"/>
      <c r="D186" s="87">
        <v>2</v>
      </c>
    </row>
    <row r="187" spans="1:4">
      <c r="A187" s="88" t="s">
        <v>139</v>
      </c>
      <c r="B187" s="89"/>
      <c r="C187" s="89"/>
      <c r="D187" s="87">
        <v>3</v>
      </c>
    </row>
    <row r="188" spans="1:4">
      <c r="A188" s="88" t="s">
        <v>140</v>
      </c>
      <c r="B188" s="89"/>
      <c r="C188" s="89"/>
      <c r="D188" s="87">
        <v>4</v>
      </c>
    </row>
    <row r="189" spans="1:4">
      <c r="A189" s="88" t="s">
        <v>141</v>
      </c>
      <c r="B189" s="89"/>
      <c r="C189" s="89"/>
      <c r="D189" s="87">
        <v>5</v>
      </c>
    </row>
    <row r="190" spans="1:4">
      <c r="A190" s="88"/>
      <c r="B190" s="89"/>
      <c r="C190" s="89"/>
      <c r="D190" s="87"/>
    </row>
    <row r="191" spans="1:4" ht="29.1">
      <c r="A191" s="95" t="s">
        <v>142</v>
      </c>
      <c r="B191" s="107" t="s">
        <v>5</v>
      </c>
      <c r="C191" s="107" t="s">
        <v>6</v>
      </c>
      <c r="D191" s="87" t="s">
        <v>7</v>
      </c>
    </row>
    <row r="192" spans="1:4">
      <c r="A192" s="88" t="s">
        <v>143</v>
      </c>
      <c r="B192" s="89"/>
      <c r="C192" s="89"/>
      <c r="D192" s="87">
        <v>1</v>
      </c>
    </row>
    <row r="193" spans="1:4">
      <c r="A193" s="88" t="s">
        <v>144</v>
      </c>
      <c r="B193" s="89"/>
      <c r="C193" s="89"/>
      <c r="D193" s="87">
        <v>2</v>
      </c>
    </row>
    <row r="194" spans="1:4">
      <c r="A194" s="88" t="s">
        <v>145</v>
      </c>
      <c r="B194" s="89"/>
      <c r="C194" s="89"/>
      <c r="D194" s="87">
        <v>3</v>
      </c>
    </row>
    <row r="195" spans="1:4">
      <c r="A195" s="88" t="s">
        <v>146</v>
      </c>
      <c r="B195" s="89"/>
      <c r="C195" s="89"/>
      <c r="D195" s="87">
        <v>4</v>
      </c>
    </row>
    <row r="196" spans="1:4">
      <c r="A196" s="88" t="s">
        <v>147</v>
      </c>
      <c r="B196" s="89"/>
      <c r="C196" s="89"/>
      <c r="D196" s="87">
        <v>5</v>
      </c>
    </row>
    <row r="197" spans="1:4">
      <c r="A197" s="88"/>
      <c r="B197" s="89"/>
      <c r="C197" s="89"/>
      <c r="D197" s="87"/>
    </row>
    <row r="198" spans="1:4" ht="29.1">
      <c r="A198" s="95" t="s">
        <v>148</v>
      </c>
      <c r="B198" s="107" t="s">
        <v>5</v>
      </c>
      <c r="C198" s="107" t="s">
        <v>6</v>
      </c>
      <c r="D198" s="86" t="s">
        <v>7</v>
      </c>
    </row>
    <row r="199" spans="1:4">
      <c r="A199" s="88" t="s">
        <v>149</v>
      </c>
      <c r="B199" s="89"/>
      <c r="C199" s="89"/>
      <c r="D199" s="87">
        <v>1</v>
      </c>
    </row>
    <row r="200" spans="1:4">
      <c r="A200" s="88" t="s">
        <v>150</v>
      </c>
      <c r="B200" s="89"/>
      <c r="C200" s="89"/>
      <c r="D200" s="87">
        <v>2</v>
      </c>
    </row>
    <row r="201" spans="1:4">
      <c r="A201" s="88" t="s">
        <v>151</v>
      </c>
      <c r="B201" s="89"/>
      <c r="C201" s="89"/>
      <c r="D201" s="87">
        <v>3</v>
      </c>
    </row>
    <row r="202" spans="1:4">
      <c r="A202" s="88" t="s">
        <v>152</v>
      </c>
      <c r="B202" s="89"/>
      <c r="C202" s="89"/>
      <c r="D202" s="87">
        <v>4</v>
      </c>
    </row>
    <row r="203" spans="1:4">
      <c r="A203" s="88" t="s">
        <v>153</v>
      </c>
      <c r="B203" s="89"/>
      <c r="C203" s="89"/>
      <c r="D203" s="87">
        <v>5</v>
      </c>
    </row>
    <row r="204" spans="1:4">
      <c r="A204" s="88"/>
      <c r="B204" s="89"/>
      <c r="C204" s="89"/>
      <c r="D204" s="87"/>
    </row>
    <row r="205" spans="1:4" ht="29.1">
      <c r="A205" s="95" t="s">
        <v>154</v>
      </c>
      <c r="B205" s="107" t="s">
        <v>5</v>
      </c>
      <c r="C205" s="107" t="s">
        <v>6</v>
      </c>
      <c r="D205" s="86" t="s">
        <v>7</v>
      </c>
    </row>
    <row r="206" spans="1:4">
      <c r="A206" s="88" t="s">
        <v>155</v>
      </c>
      <c r="B206" s="89"/>
      <c r="C206" s="89"/>
      <c r="D206" s="87">
        <v>1</v>
      </c>
    </row>
    <row r="207" spans="1:4">
      <c r="A207" s="88" t="s">
        <v>156</v>
      </c>
      <c r="B207" s="89"/>
      <c r="C207" s="89"/>
      <c r="D207" s="87">
        <v>2</v>
      </c>
    </row>
    <row r="208" spans="1:4">
      <c r="A208" s="88" t="s">
        <v>157</v>
      </c>
      <c r="B208" s="89"/>
      <c r="C208" s="89"/>
      <c r="D208" s="87">
        <v>3</v>
      </c>
    </row>
    <row r="209" spans="1:4">
      <c r="A209" s="88" t="s">
        <v>158</v>
      </c>
      <c r="B209" s="89"/>
      <c r="C209" s="89"/>
      <c r="D209" s="87">
        <v>4</v>
      </c>
    </row>
    <row r="210" spans="1:4">
      <c r="A210" s="88" t="s">
        <v>159</v>
      </c>
      <c r="B210" s="89"/>
      <c r="C210" s="89"/>
      <c r="D210" s="87">
        <v>5</v>
      </c>
    </row>
    <row r="211" spans="1:4">
      <c r="C211" s="84" t="s">
        <v>160</v>
      </c>
    </row>
    <row r="212" spans="1:4" ht="23.45">
      <c r="A212" s="115" t="s">
        <v>161</v>
      </c>
    </row>
    <row r="213" spans="1:4" ht="29.1">
      <c r="A213" s="94" t="s">
        <v>162</v>
      </c>
      <c r="B213" s="108" t="s">
        <v>5</v>
      </c>
      <c r="C213" s="108" t="s">
        <v>6</v>
      </c>
      <c r="D213" s="86" t="s">
        <v>7</v>
      </c>
    </row>
    <row r="214" spans="1:4">
      <c r="A214" s="88" t="s">
        <v>163</v>
      </c>
      <c r="B214" s="89"/>
      <c r="C214" s="89"/>
      <c r="D214" s="87">
        <v>1</v>
      </c>
    </row>
    <row r="215" spans="1:4">
      <c r="A215" s="88" t="s">
        <v>164</v>
      </c>
      <c r="B215" s="89"/>
      <c r="C215" s="89"/>
      <c r="D215" s="87">
        <v>2</v>
      </c>
    </row>
    <row r="216" spans="1:4" ht="29.1">
      <c r="A216" s="88" t="s">
        <v>165</v>
      </c>
      <c r="B216" s="89"/>
      <c r="C216" s="89"/>
      <c r="D216" s="87">
        <v>3</v>
      </c>
    </row>
    <row r="217" spans="1:4">
      <c r="A217" s="88" t="s">
        <v>166</v>
      </c>
      <c r="B217" s="89"/>
      <c r="C217" s="89"/>
      <c r="D217" s="87">
        <v>4</v>
      </c>
    </row>
    <row r="218" spans="1:4">
      <c r="A218" s="88" t="s">
        <v>167</v>
      </c>
      <c r="B218" s="89"/>
      <c r="C218" s="89"/>
      <c r="D218" s="87">
        <v>5</v>
      </c>
    </row>
    <row r="219" spans="1:4">
      <c r="A219" s="88"/>
      <c r="B219" s="89"/>
      <c r="C219" s="89"/>
      <c r="D219" s="87"/>
    </row>
    <row r="220" spans="1:4" ht="29.1">
      <c r="A220" s="94" t="s">
        <v>168</v>
      </c>
      <c r="B220" s="108" t="s">
        <v>5</v>
      </c>
      <c r="C220" s="108" t="s">
        <v>6</v>
      </c>
      <c r="D220" s="86" t="s">
        <v>7</v>
      </c>
    </row>
    <row r="221" spans="1:4">
      <c r="A221" s="88" t="s">
        <v>26</v>
      </c>
      <c r="B221" s="89"/>
      <c r="C221" s="89"/>
      <c r="D221" s="87">
        <v>1</v>
      </c>
    </row>
    <row r="222" spans="1:4">
      <c r="A222" s="88" t="s">
        <v>169</v>
      </c>
      <c r="B222" s="89"/>
      <c r="C222" s="89"/>
      <c r="D222" s="87">
        <v>2</v>
      </c>
    </row>
    <row r="223" spans="1:4" ht="29.1">
      <c r="A223" s="88" t="s">
        <v>170</v>
      </c>
      <c r="B223" s="89"/>
      <c r="C223" s="89"/>
      <c r="D223" s="87">
        <v>3</v>
      </c>
    </row>
    <row r="224" spans="1:4" ht="29.1">
      <c r="A224" s="88" t="s">
        <v>171</v>
      </c>
      <c r="B224" s="89"/>
      <c r="C224" s="89"/>
      <c r="D224" s="87">
        <v>4</v>
      </c>
    </row>
    <row r="225" spans="1:9">
      <c r="A225" s="88" t="s">
        <v>172</v>
      </c>
      <c r="B225" s="89"/>
      <c r="C225" s="89"/>
      <c r="D225" s="87">
        <v>5</v>
      </c>
    </row>
    <row r="226" spans="1:9">
      <c r="A226" s="88"/>
      <c r="B226" s="89"/>
      <c r="C226" s="89"/>
      <c r="D226" s="87"/>
    </row>
    <row r="227" spans="1:9" ht="29.1">
      <c r="A227" s="94" t="s">
        <v>173</v>
      </c>
      <c r="B227" s="108" t="s">
        <v>5</v>
      </c>
      <c r="C227" s="108" t="s">
        <v>6</v>
      </c>
      <c r="D227" s="86" t="s">
        <v>7</v>
      </c>
    </row>
    <row r="228" spans="1:9">
      <c r="A228" s="88" t="s">
        <v>174</v>
      </c>
      <c r="B228" s="89"/>
      <c r="C228" s="89"/>
      <c r="D228" s="87">
        <v>1</v>
      </c>
    </row>
    <row r="229" spans="1:9" ht="29.1">
      <c r="A229" s="88" t="s">
        <v>175</v>
      </c>
      <c r="B229" s="89"/>
      <c r="C229" s="89"/>
      <c r="D229" s="87">
        <v>2</v>
      </c>
    </row>
    <row r="230" spans="1:9">
      <c r="A230" s="88" t="s">
        <v>176</v>
      </c>
      <c r="B230" s="89"/>
      <c r="C230" s="89"/>
      <c r="D230" s="87">
        <v>3</v>
      </c>
    </row>
    <row r="231" spans="1:9">
      <c r="A231" s="88" t="s">
        <v>177</v>
      </c>
      <c r="B231" s="89"/>
      <c r="C231" s="89"/>
      <c r="D231" s="87">
        <v>4</v>
      </c>
    </row>
    <row r="232" spans="1:9">
      <c r="A232" s="88" t="s">
        <v>178</v>
      </c>
      <c r="B232" s="89"/>
      <c r="C232" s="89"/>
      <c r="D232" s="87">
        <v>5</v>
      </c>
    </row>
    <row r="233" spans="1:9">
      <c r="A233" s="88"/>
      <c r="B233" s="89"/>
      <c r="C233" s="89"/>
      <c r="D233" s="87"/>
    </row>
    <row r="234" spans="1:9" ht="29.1">
      <c r="A234" s="94" t="s">
        <v>179</v>
      </c>
      <c r="B234" s="108" t="s">
        <v>5</v>
      </c>
      <c r="C234" s="108" t="s">
        <v>6</v>
      </c>
      <c r="D234" s="86" t="s">
        <v>7</v>
      </c>
    </row>
    <row r="235" spans="1:9">
      <c r="A235" s="109" t="s">
        <v>26</v>
      </c>
      <c r="B235" s="89"/>
      <c r="C235" s="89"/>
      <c r="D235" s="87">
        <v>1</v>
      </c>
    </row>
    <row r="236" spans="1:9">
      <c r="A236" s="88" t="s">
        <v>180</v>
      </c>
      <c r="B236" s="89"/>
      <c r="C236" s="89"/>
      <c r="D236" s="87">
        <v>2</v>
      </c>
    </row>
    <row r="237" spans="1:9" ht="29.1">
      <c r="A237" s="88" t="s">
        <v>181</v>
      </c>
      <c r="B237" s="89"/>
      <c r="C237" s="89"/>
      <c r="D237" s="87">
        <v>3</v>
      </c>
    </row>
    <row r="238" spans="1:9" ht="43.5">
      <c r="A238" s="88" t="s">
        <v>182</v>
      </c>
      <c r="B238" s="89"/>
      <c r="C238" s="89"/>
      <c r="D238" s="87">
        <v>4</v>
      </c>
      <c r="I238" s="102"/>
    </row>
    <row r="239" spans="1:9">
      <c r="A239" s="88" t="s">
        <v>183</v>
      </c>
      <c r="B239" s="89"/>
      <c r="C239" s="89"/>
      <c r="D239" s="87">
        <v>5</v>
      </c>
    </row>
    <row r="240" spans="1:9">
      <c r="A240" s="88"/>
      <c r="B240" s="89"/>
      <c r="C240" s="89"/>
      <c r="D240" s="87"/>
    </row>
    <row r="241" spans="1:4" ht="29.1">
      <c r="A241" s="94" t="s">
        <v>184</v>
      </c>
      <c r="B241" s="108" t="s">
        <v>5</v>
      </c>
      <c r="C241" s="108" t="s">
        <v>6</v>
      </c>
      <c r="D241" s="86" t="s">
        <v>7</v>
      </c>
    </row>
    <row r="242" spans="1:4">
      <c r="A242" s="88" t="s">
        <v>185</v>
      </c>
      <c r="B242" s="89"/>
      <c r="C242" s="89"/>
      <c r="D242" s="87">
        <v>1</v>
      </c>
    </row>
    <row r="243" spans="1:4" ht="29.1">
      <c r="A243" s="88" t="s">
        <v>186</v>
      </c>
      <c r="B243" s="89"/>
      <c r="C243" s="89"/>
      <c r="D243" s="87">
        <v>2</v>
      </c>
    </row>
    <row r="244" spans="1:4" ht="29.1">
      <c r="A244" s="88" t="s">
        <v>187</v>
      </c>
      <c r="B244" s="89"/>
      <c r="C244" s="89"/>
      <c r="D244" s="87">
        <v>3</v>
      </c>
    </row>
    <row r="245" spans="1:4" ht="29.1">
      <c r="A245" s="88" t="s">
        <v>188</v>
      </c>
      <c r="B245" s="89"/>
      <c r="C245" s="89"/>
      <c r="D245" s="87">
        <v>4</v>
      </c>
    </row>
    <row r="246" spans="1:4" ht="29.1">
      <c r="A246" s="88" t="s">
        <v>189</v>
      </c>
      <c r="B246" s="89"/>
      <c r="C246" s="89"/>
      <c r="D246" s="87">
        <v>5</v>
      </c>
    </row>
  </sheetData>
  <mergeCells count="3">
    <mergeCell ref="F3:M3"/>
    <mergeCell ref="B3:D3"/>
    <mergeCell ref="F4:M22"/>
  </mergeCells>
  <pageMargins left="0.7" right="0.7" top="0.75" bottom="0.75" header="0.3" footer="0.3"/>
  <pageSetup scale="6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C02-900F-4AD3-8FC2-27B5DAC4D4E3}">
  <dimension ref="A2:P2"/>
  <sheetViews>
    <sheetView showGridLines="0" tabSelected="1" zoomScale="90" zoomScaleNormal="90" workbookViewId="0"/>
  </sheetViews>
  <sheetFormatPr defaultColWidth="8.7109375" defaultRowHeight="14.45"/>
  <cols>
    <col min="1" max="9" width="8.7109375" style="47"/>
    <col min="10" max="16" width="19.42578125" style="48" customWidth="1"/>
    <col min="17" max="16384" width="8.7109375" style="47"/>
  </cols>
  <sheetData>
    <row r="2" spans="1:10" ht="21">
      <c r="A2" s="46" t="s">
        <v>190</v>
      </c>
      <c r="J2" s="46" t="s">
        <v>191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CE82-04DE-4473-9F68-C9833F9ED966}">
  <sheetPr>
    <tabColor rgb="FFFF0000"/>
  </sheetPr>
  <dimension ref="A1:AK27"/>
  <sheetViews>
    <sheetView showGridLines="0" topLeftCell="A2" zoomScale="80" zoomScaleNormal="80" workbookViewId="0">
      <selection activeCell="A3" sqref="A3:D4"/>
    </sheetView>
  </sheetViews>
  <sheetFormatPr defaultColWidth="8.7109375" defaultRowHeight="14.45"/>
  <cols>
    <col min="1" max="1" width="8.7109375" bestFit="1" customWidth="1"/>
    <col min="2" max="2" width="25.7109375" customWidth="1"/>
    <col min="3" max="4" width="13.28515625" customWidth="1"/>
    <col min="5" max="13" width="6.42578125" style="27" customWidth="1"/>
    <col min="14" max="16" width="6.42578125" style="27" hidden="1" customWidth="1"/>
    <col min="17" max="21" width="6.42578125" style="27" customWidth="1"/>
    <col min="22" max="22" width="6.42578125" style="27" hidden="1" customWidth="1"/>
    <col min="23" max="37" width="6.42578125" style="27" customWidth="1"/>
  </cols>
  <sheetData>
    <row r="1" spans="1:37" s="1" customFormat="1" ht="100.9" customHeight="1">
      <c r="A1" s="34"/>
      <c r="B1" s="35"/>
      <c r="C1" s="35"/>
      <c r="D1" s="36"/>
      <c r="E1" s="37" t="s">
        <v>192</v>
      </c>
      <c r="F1" s="38" t="s">
        <v>192</v>
      </c>
      <c r="G1" s="38" t="s">
        <v>192</v>
      </c>
      <c r="H1" s="38" t="s">
        <v>192</v>
      </c>
      <c r="I1" s="39" t="s">
        <v>192</v>
      </c>
      <c r="J1" s="40" t="s">
        <v>192</v>
      </c>
      <c r="K1" s="37" t="s">
        <v>193</v>
      </c>
      <c r="L1" s="37" t="s">
        <v>193</v>
      </c>
      <c r="M1" s="37" t="s">
        <v>193</v>
      </c>
      <c r="N1" s="38" t="s">
        <v>194</v>
      </c>
      <c r="O1" s="39" t="s">
        <v>194</v>
      </c>
      <c r="P1" s="39" t="s">
        <v>194</v>
      </c>
      <c r="Q1" s="37" t="s">
        <v>195</v>
      </c>
      <c r="R1" s="38" t="s">
        <v>195</v>
      </c>
      <c r="S1" s="38" t="s">
        <v>195</v>
      </c>
      <c r="T1" s="38" t="s">
        <v>195</v>
      </c>
      <c r="U1" s="38" t="s">
        <v>195</v>
      </c>
      <c r="V1" s="39" t="s">
        <v>195</v>
      </c>
      <c r="W1" s="37" t="s">
        <v>196</v>
      </c>
      <c r="X1" s="38" t="s">
        <v>196</v>
      </c>
      <c r="Y1" s="38" t="s">
        <v>196</v>
      </c>
      <c r="Z1" s="38" t="s">
        <v>196</v>
      </c>
      <c r="AA1" s="39" t="s">
        <v>196</v>
      </c>
      <c r="AB1" s="37" t="s">
        <v>197</v>
      </c>
      <c r="AC1" s="38" t="s">
        <v>197</v>
      </c>
      <c r="AD1" s="38" t="s">
        <v>197</v>
      </c>
      <c r="AE1" s="38" t="s">
        <v>197</v>
      </c>
      <c r="AF1" s="40" t="s">
        <v>197</v>
      </c>
      <c r="AG1" s="41" t="s">
        <v>198</v>
      </c>
      <c r="AH1" s="38" t="s">
        <v>198</v>
      </c>
      <c r="AI1" s="38" t="s">
        <v>198</v>
      </c>
      <c r="AJ1" s="38" t="s">
        <v>198</v>
      </c>
      <c r="AK1" s="40" t="s">
        <v>198</v>
      </c>
    </row>
    <row r="2" spans="1:37" s="1" customFormat="1" ht="150.4" customHeight="1">
      <c r="A2" s="8"/>
      <c r="B2" s="9"/>
      <c r="C2" s="9"/>
      <c r="D2" s="10"/>
      <c r="E2" s="11" t="s">
        <v>15</v>
      </c>
      <c r="F2" s="12" t="s">
        <v>21</v>
      </c>
      <c r="G2" s="12" t="s">
        <v>27</v>
      </c>
      <c r="H2" s="12" t="s">
        <v>33</v>
      </c>
      <c r="I2" s="15" t="s">
        <v>39</v>
      </c>
      <c r="J2" s="13" t="s">
        <v>45</v>
      </c>
      <c r="K2" s="11" t="s">
        <v>52</v>
      </c>
      <c r="L2" s="12" t="s">
        <v>199</v>
      </c>
      <c r="M2" s="12" t="s">
        <v>64</v>
      </c>
      <c r="N2" s="118"/>
      <c r="O2" s="119"/>
      <c r="P2" s="119"/>
      <c r="Q2" s="11" t="s">
        <v>71</v>
      </c>
      <c r="R2" s="12" t="s">
        <v>200</v>
      </c>
      <c r="S2" s="12" t="s">
        <v>201</v>
      </c>
      <c r="T2" s="12" t="s">
        <v>88</v>
      </c>
      <c r="U2" s="15" t="s">
        <v>94</v>
      </c>
      <c r="V2" s="119"/>
      <c r="W2" s="11" t="s">
        <v>101</v>
      </c>
      <c r="X2" s="12" t="s">
        <v>106</v>
      </c>
      <c r="Y2" s="12" t="s">
        <v>112</v>
      </c>
      <c r="Z2" s="12" t="s">
        <v>118</v>
      </c>
      <c r="AA2" s="15" t="s">
        <v>202</v>
      </c>
      <c r="AB2" s="11" t="s">
        <v>130</v>
      </c>
      <c r="AC2" s="12" t="s">
        <v>136</v>
      </c>
      <c r="AD2" s="12" t="s">
        <v>142</v>
      </c>
      <c r="AE2" s="12" t="s">
        <v>203</v>
      </c>
      <c r="AF2" s="13" t="s">
        <v>154</v>
      </c>
      <c r="AG2" s="14" t="s">
        <v>162</v>
      </c>
      <c r="AH2" s="12" t="s">
        <v>168</v>
      </c>
      <c r="AI2" s="12" t="s">
        <v>173</v>
      </c>
      <c r="AJ2" s="12" t="s">
        <v>179</v>
      </c>
      <c r="AK2" s="13" t="s">
        <v>184</v>
      </c>
    </row>
    <row r="3" spans="1:37">
      <c r="A3" s="6" t="s">
        <v>204</v>
      </c>
      <c r="B3" s="2" t="s">
        <v>205</v>
      </c>
      <c r="C3" s="2" t="s">
        <v>206</v>
      </c>
      <c r="D3" s="3" t="s">
        <v>207</v>
      </c>
      <c r="E3" s="16">
        <v>1</v>
      </c>
      <c r="F3" s="17">
        <v>2</v>
      </c>
      <c r="G3" s="17">
        <v>3</v>
      </c>
      <c r="H3" s="17">
        <v>4</v>
      </c>
      <c r="I3" s="20">
        <v>5</v>
      </c>
      <c r="J3" s="18">
        <v>6</v>
      </c>
      <c r="K3" s="16">
        <v>1</v>
      </c>
      <c r="L3" s="17">
        <v>2</v>
      </c>
      <c r="M3" s="17">
        <v>3</v>
      </c>
      <c r="N3" s="120">
        <v>4</v>
      </c>
      <c r="O3" s="121">
        <v>5</v>
      </c>
      <c r="P3" s="121">
        <v>6</v>
      </c>
      <c r="Q3" s="16">
        <v>1</v>
      </c>
      <c r="R3" s="17">
        <v>2</v>
      </c>
      <c r="S3" s="17">
        <v>3</v>
      </c>
      <c r="T3" s="17">
        <v>4</v>
      </c>
      <c r="U3" s="20">
        <v>5</v>
      </c>
      <c r="V3" s="121">
        <v>6</v>
      </c>
      <c r="W3" s="16">
        <v>1</v>
      </c>
      <c r="X3" s="17">
        <v>2</v>
      </c>
      <c r="Y3" s="17">
        <v>3</v>
      </c>
      <c r="Z3" s="17">
        <v>4</v>
      </c>
      <c r="AA3" s="20">
        <v>5</v>
      </c>
      <c r="AB3" s="16">
        <v>1</v>
      </c>
      <c r="AC3" s="17">
        <v>2</v>
      </c>
      <c r="AD3" s="17">
        <v>3</v>
      </c>
      <c r="AE3" s="17">
        <v>4</v>
      </c>
      <c r="AF3" s="18">
        <v>5</v>
      </c>
      <c r="AG3" s="19">
        <v>1</v>
      </c>
      <c r="AH3" s="17">
        <v>2</v>
      </c>
      <c r="AI3" s="17">
        <v>3</v>
      </c>
      <c r="AJ3" s="17">
        <v>4</v>
      </c>
      <c r="AK3" s="18">
        <v>5</v>
      </c>
    </row>
    <row r="4" spans="1:37">
      <c r="A4" s="32" t="s">
        <v>208</v>
      </c>
      <c r="B4" s="5"/>
      <c r="C4" s="5"/>
      <c r="D4" s="5"/>
      <c r="E4" s="21"/>
      <c r="F4" s="22"/>
      <c r="G4" s="22"/>
      <c r="H4" s="22"/>
      <c r="I4" s="22"/>
      <c r="J4" s="23"/>
      <c r="K4" s="21"/>
      <c r="L4" s="22"/>
      <c r="M4" s="22"/>
      <c r="N4" s="122"/>
      <c r="O4" s="122"/>
      <c r="P4" s="122"/>
      <c r="Q4" s="21"/>
      <c r="R4" s="22"/>
      <c r="S4" s="22"/>
      <c r="T4" s="22"/>
      <c r="U4" s="22"/>
      <c r="V4" s="122"/>
      <c r="W4" s="21"/>
      <c r="X4" s="22"/>
      <c r="Y4" s="22"/>
      <c r="Z4" s="22"/>
      <c r="AA4" s="22"/>
      <c r="AB4" s="21"/>
      <c r="AC4" s="22"/>
      <c r="AD4" s="22"/>
      <c r="AE4" s="22"/>
      <c r="AF4" s="23"/>
      <c r="AG4" s="22"/>
      <c r="AH4" s="22"/>
      <c r="AI4" s="22"/>
      <c r="AJ4" s="22"/>
      <c r="AK4" s="23"/>
    </row>
    <row r="5" spans="1:37">
      <c r="A5" s="6">
        <v>1</v>
      </c>
      <c r="B5" s="33" t="s">
        <v>209</v>
      </c>
      <c r="C5" s="2"/>
      <c r="D5" s="3"/>
      <c r="E5" s="42" t="e">
        <f>SUM(Questions!$B13:$B17)/COUNT(Questions!$B13:$B17)</f>
        <v>#DIV/0!</v>
      </c>
      <c r="F5" s="43" t="e">
        <f>SUM(Questions!$B20:$B24)/COUNT(Questions!$B20:$B24)</f>
        <v>#DIV/0!</v>
      </c>
      <c r="G5" s="43" t="e">
        <f>SUM(Questions!$B27:$B31)/COUNT(Questions!$B27:$B31)</f>
        <v>#DIV/0!</v>
      </c>
      <c r="H5" s="43" t="e">
        <f>SUM(Questions!$B34:$B38)/COUNT(Questions!$B34:$B38)</f>
        <v>#DIV/0!</v>
      </c>
      <c r="I5" s="43" t="e">
        <f>SUM(Questions!$B41:$B45)/COUNT(Questions!$B41:$B45)</f>
        <v>#DIV/0!</v>
      </c>
      <c r="J5" s="44" t="e">
        <f>SUM(Questions!$B48:$B52)/COUNT(Questions!$B48:$B52)</f>
        <v>#DIV/0!</v>
      </c>
      <c r="K5" s="42" t="e">
        <f>SUM(Questions!$B56:$B60)/COUNT(Questions!$B56:$B60)</f>
        <v>#DIV/0!</v>
      </c>
      <c r="L5" s="43" t="e">
        <f>SUM(Questions!$B63:$B67)/COUNT(Questions!$B63:$B67)</f>
        <v>#DIV/0!</v>
      </c>
      <c r="M5" s="45" t="e">
        <f>SUM(Questions!$B70:$B74)/COUNT(Questions!$B70:$B74)</f>
        <v>#DIV/0!</v>
      </c>
      <c r="N5" s="123" t="e">
        <f>SUM(Questions!$B77:$B81)/COUNT(Questions!$B77:$B81)</f>
        <v>#DIV/0!</v>
      </c>
      <c r="O5" s="124" t="e">
        <f>SUM(Questions!$B84:$B88)/COUNT(Questions!$B84:$B88)</f>
        <v>#DIV/0!</v>
      </c>
      <c r="P5" s="124" t="e">
        <f>SUM(Questions!$B91:$B95)/COUNT(Questions!$B91:$B95)</f>
        <v>#DIV/0!</v>
      </c>
      <c r="Q5" s="42" t="e">
        <f>SUM(Questions!$B99:$B103)/COUNT(Questions!$B99:$B103)</f>
        <v>#DIV/0!</v>
      </c>
      <c r="R5" s="43" t="e">
        <f>SUM(Questions!$B106:$B110)/COUNT(Questions!$B106:$B110)</f>
        <v>#DIV/0!</v>
      </c>
      <c r="S5" s="43" t="e">
        <f>SUM(Questions!$B113:$B117)/COUNT(Questions!$B113:$B117)</f>
        <v>#DIV/0!</v>
      </c>
      <c r="T5" s="43" t="e">
        <f>SUM(Questions!$B120:$B124)/COUNT(Questions!$B120:$B124)</f>
        <v>#DIV/0!</v>
      </c>
      <c r="U5" s="43" t="e">
        <f>SUM(Questions!$B127:$B131)/COUNT(Questions!$B127:$B131)</f>
        <v>#DIV/0!</v>
      </c>
      <c r="V5" s="125" t="e">
        <f>SUM(Questions!$B134:$B138)/COUNT(Questions!$B134:$B138)</f>
        <v>#DIV/0!</v>
      </c>
      <c r="W5" s="42" t="e">
        <f>SUM(Questions!$B142:$B146)/COUNT(Questions!$B142:$B146)</f>
        <v>#DIV/0!</v>
      </c>
      <c r="X5" s="43" t="e">
        <f>SUM(Questions!$B149:$B153)/COUNT(Questions!$B149:$B153)</f>
        <v>#DIV/0!</v>
      </c>
      <c r="Y5" s="43" t="e">
        <f>SUM(Questions!$B156:$B160)/COUNT(Questions!$B156:$B160)</f>
        <v>#DIV/0!</v>
      </c>
      <c r="Z5" s="43" t="e">
        <f>SUM(Questions!$B163:$B167)/COUNT(Questions!$B163:$B167)</f>
        <v>#DIV/0!</v>
      </c>
      <c r="AA5" s="134" t="e">
        <f>SUM(Questions!$B170:$B174)/COUNT(Questions!$B170:$B174)</f>
        <v>#DIV/0!</v>
      </c>
      <c r="AB5" s="42" t="e">
        <f>SUM(Questions!$B178:$B182)/COUNT(Questions!$B178:$B182)</f>
        <v>#DIV/0!</v>
      </c>
      <c r="AC5" s="43" t="e">
        <f>SUM(Questions!$B185:$B189)/COUNT(Questions!$B185:$B189)</f>
        <v>#DIV/0!</v>
      </c>
      <c r="AD5" s="43" t="e">
        <f>SUM(Questions!$B192:$B196)/COUNT(Questions!$B192:$B196)</f>
        <v>#DIV/0!</v>
      </c>
      <c r="AE5" s="43" t="e">
        <f>SUM(Questions!$B199:$B203)/COUNT(Questions!$B199:$B203)</f>
        <v>#DIV/0!</v>
      </c>
      <c r="AF5" s="44" t="e">
        <f>SUM(Questions!$B206:$B210)/COUNT(Questions!$B206:$B210)</f>
        <v>#DIV/0!</v>
      </c>
      <c r="AG5" s="42" t="e">
        <f>SUM(Questions!$B214:$B218)/COUNT(Questions!$B214:$B218)</f>
        <v>#DIV/0!</v>
      </c>
      <c r="AH5" s="43" t="e">
        <f>SUM(Questions!$B221:$B225)/COUNT(Questions!$B221:$B225)</f>
        <v>#DIV/0!</v>
      </c>
      <c r="AI5" s="43" t="e">
        <f>SUM(Questions!$B228:$B232)/COUNT(Questions!$B228:$B232)</f>
        <v>#DIV/0!</v>
      </c>
      <c r="AJ5" s="43" t="e">
        <f>SUM(Questions!$B235:$B239)/COUNT(Questions!$B235:$B239)</f>
        <v>#DIV/0!</v>
      </c>
      <c r="AK5" s="44" t="e">
        <f>SUM(Questions!$B242:$B246)/COUNT(Questions!$B242:$B246)</f>
        <v>#DIV/0!</v>
      </c>
    </row>
    <row r="6" spans="1:37">
      <c r="A6" s="6">
        <v>2</v>
      </c>
      <c r="B6" s="28" t="s">
        <v>210</v>
      </c>
      <c r="C6" s="2"/>
      <c r="D6" s="3"/>
      <c r="E6" s="24"/>
      <c r="F6" s="25"/>
      <c r="G6" s="25"/>
      <c r="H6" s="25"/>
      <c r="I6" s="29"/>
      <c r="J6" s="26"/>
      <c r="K6" s="24"/>
      <c r="L6" s="29"/>
      <c r="M6" s="31"/>
      <c r="N6" s="126"/>
      <c r="O6" s="127"/>
      <c r="P6" s="128"/>
      <c r="Q6" s="24"/>
      <c r="R6" s="25"/>
      <c r="S6" s="25"/>
      <c r="T6" s="25"/>
      <c r="U6" s="29"/>
      <c r="V6" s="128"/>
      <c r="W6" s="24"/>
      <c r="X6" s="25"/>
      <c r="Y6" s="25"/>
      <c r="Z6" s="25"/>
      <c r="AA6" s="29"/>
      <c r="AB6" s="24"/>
      <c r="AC6" s="25"/>
      <c r="AD6" s="25"/>
      <c r="AE6" s="25"/>
      <c r="AF6" s="26"/>
      <c r="AG6" s="24"/>
      <c r="AH6" s="25"/>
      <c r="AI6" s="25"/>
      <c r="AJ6" s="25"/>
      <c r="AK6" s="26"/>
    </row>
    <row r="7" spans="1:37">
      <c r="A7" s="6">
        <v>3</v>
      </c>
      <c r="B7" s="28" t="s">
        <v>211</v>
      </c>
      <c r="C7" s="2"/>
      <c r="D7" s="3"/>
      <c r="E7" s="24"/>
      <c r="F7" s="25"/>
      <c r="G7" s="25"/>
      <c r="H7" s="25"/>
      <c r="I7" s="29"/>
      <c r="J7" s="26"/>
      <c r="K7" s="24"/>
      <c r="L7" s="25"/>
      <c r="M7" s="31"/>
      <c r="N7" s="129"/>
      <c r="O7" s="130"/>
      <c r="P7" s="128"/>
      <c r="Q7" s="24"/>
      <c r="R7" s="25"/>
      <c r="S7" s="25"/>
      <c r="T7" s="25"/>
      <c r="U7" s="29"/>
      <c r="V7" s="128"/>
      <c r="W7" s="24"/>
      <c r="X7" s="25"/>
      <c r="Y7" s="25"/>
      <c r="Z7" s="25"/>
      <c r="AA7" s="25"/>
      <c r="AB7" s="24"/>
      <c r="AC7" s="25"/>
      <c r="AD7" s="25"/>
      <c r="AE7" s="25"/>
      <c r="AF7" s="26"/>
      <c r="AG7" s="24"/>
      <c r="AH7" s="25"/>
      <c r="AI7" s="25"/>
      <c r="AJ7" s="25"/>
      <c r="AK7" s="26"/>
    </row>
    <row r="8" spans="1:37">
      <c r="A8" s="6">
        <v>4</v>
      </c>
      <c r="B8" s="2"/>
      <c r="C8" s="2"/>
      <c r="D8" s="3"/>
      <c r="E8" s="24"/>
      <c r="F8" s="25"/>
      <c r="G8" s="25"/>
      <c r="H8" s="25"/>
      <c r="I8" s="29"/>
      <c r="J8" s="30"/>
      <c r="K8" s="24"/>
      <c r="L8" s="25"/>
      <c r="M8" s="31"/>
      <c r="N8" s="129"/>
      <c r="O8" s="130"/>
      <c r="P8" s="131"/>
      <c r="Q8" s="24"/>
      <c r="R8" s="25"/>
      <c r="S8" s="25"/>
      <c r="T8" s="25"/>
      <c r="U8" s="29"/>
      <c r="V8" s="128"/>
      <c r="W8" s="24"/>
      <c r="X8" s="25"/>
      <c r="Y8" s="25"/>
      <c r="Z8" s="25"/>
      <c r="AA8" s="25"/>
      <c r="AB8" s="24"/>
      <c r="AC8" s="25"/>
      <c r="AD8" s="25"/>
      <c r="AE8" s="25"/>
      <c r="AF8" s="26"/>
      <c r="AG8" s="24"/>
      <c r="AH8" s="25"/>
      <c r="AI8" s="25"/>
      <c r="AJ8" s="25"/>
      <c r="AK8" s="26"/>
    </row>
    <row r="9" spans="1:37">
      <c r="A9" s="6">
        <v>5</v>
      </c>
      <c r="B9" s="3"/>
      <c r="C9" s="3"/>
      <c r="D9" s="3"/>
      <c r="E9" s="24"/>
      <c r="F9" s="25"/>
      <c r="G9" s="25"/>
      <c r="H9" s="25"/>
      <c r="I9" s="29"/>
      <c r="J9" s="26"/>
      <c r="K9" s="24"/>
      <c r="L9" s="25"/>
      <c r="M9" s="31"/>
      <c r="N9" s="129"/>
      <c r="O9" s="130"/>
      <c r="P9" s="131"/>
      <c r="Q9" s="24"/>
      <c r="R9" s="25"/>
      <c r="S9" s="25"/>
      <c r="T9" s="25"/>
      <c r="U9" s="29"/>
      <c r="V9" s="128"/>
      <c r="W9" s="24"/>
      <c r="X9" s="25"/>
      <c r="Y9" s="25"/>
      <c r="Z9" s="25"/>
      <c r="AA9" s="25"/>
      <c r="AB9" s="24"/>
      <c r="AC9" s="25"/>
      <c r="AD9" s="25"/>
      <c r="AE9" s="25"/>
      <c r="AF9" s="26"/>
      <c r="AG9" s="24"/>
      <c r="AH9" s="25"/>
      <c r="AI9" s="25"/>
      <c r="AJ9" s="25"/>
      <c r="AK9" s="26"/>
    </row>
    <row r="10" spans="1:37">
      <c r="A10" s="6">
        <v>6</v>
      </c>
      <c r="B10" s="2"/>
      <c r="C10" s="2"/>
      <c r="D10" s="3"/>
      <c r="E10" s="24"/>
      <c r="F10" s="25"/>
      <c r="G10" s="25"/>
      <c r="J10" s="26"/>
      <c r="K10" s="24"/>
      <c r="L10" s="25"/>
      <c r="M10" s="31"/>
      <c r="N10" s="129"/>
      <c r="O10" s="130"/>
      <c r="P10" s="131"/>
      <c r="Q10" s="24"/>
      <c r="R10" s="25"/>
      <c r="S10" s="25"/>
      <c r="T10" s="25"/>
      <c r="U10" s="29"/>
      <c r="V10" s="128"/>
      <c r="W10" s="24"/>
      <c r="X10" s="25"/>
      <c r="Y10" s="25"/>
      <c r="Z10" s="25"/>
      <c r="AA10" s="25"/>
      <c r="AB10" s="24"/>
      <c r="AC10" s="25"/>
      <c r="AD10" s="25"/>
      <c r="AE10" s="25"/>
      <c r="AF10" s="26"/>
      <c r="AG10" s="24"/>
      <c r="AH10" s="25"/>
      <c r="AI10" s="25"/>
      <c r="AJ10" s="25"/>
      <c r="AK10" s="26"/>
    </row>
    <row r="11" spans="1:37">
      <c r="A11" s="6">
        <v>7</v>
      </c>
      <c r="B11" s="2"/>
      <c r="C11" s="2"/>
      <c r="D11" s="3"/>
      <c r="E11" s="24"/>
      <c r="F11" s="25"/>
      <c r="G11" s="25"/>
      <c r="H11" s="25"/>
      <c r="I11" s="29"/>
      <c r="J11" s="26"/>
      <c r="K11" s="24"/>
      <c r="L11" s="25"/>
      <c r="M11" s="31"/>
      <c r="N11" s="129"/>
      <c r="O11" s="130"/>
      <c r="P11" s="131"/>
      <c r="Q11" s="24"/>
      <c r="R11" s="25"/>
      <c r="S11" s="25"/>
      <c r="T11" s="25"/>
      <c r="U11" s="29"/>
      <c r="V11" s="128"/>
      <c r="W11" s="24"/>
      <c r="X11" s="25"/>
      <c r="Y11" s="25"/>
      <c r="Z11" s="25"/>
      <c r="AA11" s="25"/>
      <c r="AB11" s="24"/>
      <c r="AC11" s="25"/>
      <c r="AD11" s="25"/>
      <c r="AE11" s="25"/>
      <c r="AF11" s="26"/>
      <c r="AG11" s="24"/>
      <c r="AH11" s="25"/>
      <c r="AI11" s="25"/>
      <c r="AJ11" s="25"/>
      <c r="AK11" s="26"/>
    </row>
    <row r="12" spans="1:37">
      <c r="A12" s="6">
        <v>8</v>
      </c>
      <c r="B12" s="2"/>
      <c r="C12" s="2"/>
      <c r="D12" s="3"/>
      <c r="E12" s="24"/>
      <c r="F12" s="25"/>
      <c r="G12" s="25"/>
      <c r="H12" s="25"/>
      <c r="I12" s="29"/>
      <c r="J12" s="26"/>
      <c r="K12" s="24"/>
      <c r="L12" s="25"/>
      <c r="M12" s="31"/>
      <c r="N12" s="129"/>
      <c r="O12" s="130"/>
      <c r="P12" s="131"/>
      <c r="Q12" s="24"/>
      <c r="R12" s="25"/>
      <c r="S12" s="25"/>
      <c r="T12" s="25"/>
      <c r="U12" s="29"/>
      <c r="V12" s="128"/>
      <c r="W12" s="24"/>
      <c r="X12" s="25"/>
      <c r="Y12" s="25"/>
      <c r="Z12" s="25"/>
      <c r="AA12" s="25"/>
      <c r="AB12" s="24"/>
      <c r="AC12" s="25"/>
      <c r="AD12" s="25"/>
      <c r="AE12" s="31"/>
      <c r="AF12" s="26"/>
      <c r="AG12" s="24"/>
      <c r="AH12" s="25"/>
      <c r="AI12" s="25"/>
      <c r="AJ12" s="31"/>
      <c r="AK12" s="26"/>
    </row>
    <row r="13" spans="1:37">
      <c r="A13" s="6">
        <v>9</v>
      </c>
      <c r="B13" s="2"/>
      <c r="C13" s="2"/>
      <c r="D13" s="3"/>
      <c r="E13" s="24"/>
      <c r="F13" s="25"/>
      <c r="G13" s="25"/>
      <c r="H13" s="25"/>
      <c r="I13" s="29"/>
      <c r="J13" s="26"/>
      <c r="K13" s="24"/>
      <c r="L13" s="25"/>
      <c r="M13" s="31"/>
      <c r="N13" s="129"/>
      <c r="O13" s="130"/>
      <c r="P13" s="131"/>
      <c r="Q13" s="24"/>
      <c r="R13" s="25"/>
      <c r="S13" s="25"/>
      <c r="T13" s="25"/>
      <c r="U13" s="29"/>
      <c r="V13" s="128"/>
      <c r="W13" s="24"/>
      <c r="X13" s="25"/>
      <c r="Y13" s="25"/>
      <c r="Z13" s="25"/>
      <c r="AA13" s="25"/>
      <c r="AB13" s="24"/>
      <c r="AC13" s="25"/>
      <c r="AD13" s="25"/>
      <c r="AE13" s="25"/>
      <c r="AF13" s="26"/>
      <c r="AG13" s="24"/>
      <c r="AH13" s="25"/>
      <c r="AI13" s="25"/>
      <c r="AJ13" s="25"/>
      <c r="AK13" s="26"/>
    </row>
    <row r="14" spans="1:37">
      <c r="A14" s="6">
        <v>10</v>
      </c>
      <c r="B14" s="2"/>
      <c r="C14" s="2"/>
      <c r="D14" s="3"/>
      <c r="E14" s="24"/>
      <c r="F14" s="25"/>
      <c r="G14" s="25"/>
      <c r="H14" s="25"/>
      <c r="I14" s="29"/>
      <c r="J14" s="26"/>
      <c r="K14" s="24"/>
      <c r="L14" s="25"/>
      <c r="M14" s="31"/>
      <c r="N14" s="129"/>
      <c r="O14" s="130"/>
      <c r="P14" s="131"/>
      <c r="Q14" s="24"/>
      <c r="R14" s="25"/>
      <c r="S14" s="25"/>
      <c r="T14" s="25"/>
      <c r="U14" s="29"/>
      <c r="V14" s="128"/>
      <c r="W14" s="24"/>
      <c r="X14" s="25"/>
      <c r="Y14" s="25"/>
      <c r="Z14" s="25"/>
      <c r="AA14" s="25"/>
      <c r="AB14" s="24"/>
      <c r="AC14" s="25"/>
      <c r="AD14" s="25"/>
      <c r="AE14" s="25"/>
      <c r="AF14" s="26"/>
      <c r="AG14" s="24"/>
      <c r="AH14" s="25"/>
      <c r="AI14" s="25"/>
      <c r="AJ14" s="25"/>
      <c r="AK14" s="26"/>
    </row>
    <row r="15" spans="1:37">
      <c r="A15" s="7"/>
      <c r="C15" s="4"/>
      <c r="N15" s="132"/>
      <c r="O15" s="132"/>
      <c r="P15" s="132"/>
      <c r="V15" s="132"/>
    </row>
    <row r="16" spans="1:37">
      <c r="A16" s="32" t="s">
        <v>212</v>
      </c>
      <c r="B16" s="5"/>
      <c r="C16" s="5"/>
      <c r="D16" s="5"/>
      <c r="E16" s="21"/>
      <c r="F16" s="22"/>
      <c r="G16" s="22"/>
      <c r="H16" s="22"/>
      <c r="I16" s="22"/>
      <c r="J16" s="23"/>
      <c r="K16" s="21"/>
      <c r="L16" s="22"/>
      <c r="M16" s="22"/>
      <c r="N16" s="122"/>
      <c r="O16" s="122"/>
      <c r="P16" s="122"/>
      <c r="Q16" s="21"/>
      <c r="R16" s="22"/>
      <c r="S16" s="22"/>
      <c r="T16" s="22"/>
      <c r="U16" s="22"/>
      <c r="V16" s="122"/>
      <c r="W16" s="21"/>
      <c r="X16" s="22"/>
      <c r="Y16" s="22"/>
      <c r="Z16" s="22"/>
      <c r="AA16" s="22"/>
      <c r="AB16" s="22"/>
      <c r="AC16" s="22"/>
      <c r="AD16" s="22"/>
      <c r="AE16" s="22"/>
      <c r="AF16" s="23"/>
      <c r="AG16" s="22"/>
      <c r="AH16" s="22"/>
      <c r="AI16" s="22"/>
      <c r="AJ16" s="22"/>
      <c r="AK16" s="23"/>
    </row>
    <row r="17" spans="1:37">
      <c r="A17" s="6" t="s">
        <v>204</v>
      </c>
      <c r="B17" s="2" t="s">
        <v>205</v>
      </c>
      <c r="C17" s="2" t="s">
        <v>206</v>
      </c>
      <c r="D17" s="3" t="s">
        <v>207</v>
      </c>
      <c r="E17" s="16">
        <v>1</v>
      </c>
      <c r="F17" s="17">
        <v>2</v>
      </c>
      <c r="G17" s="17">
        <v>3</v>
      </c>
      <c r="H17" s="17">
        <v>4</v>
      </c>
      <c r="I17" s="20">
        <v>5</v>
      </c>
      <c r="J17" s="18">
        <v>6</v>
      </c>
      <c r="K17" s="16">
        <v>1</v>
      </c>
      <c r="L17" s="17">
        <v>2</v>
      </c>
      <c r="M17" s="17">
        <v>3</v>
      </c>
      <c r="N17" s="120">
        <v>4</v>
      </c>
      <c r="O17" s="121">
        <v>5</v>
      </c>
      <c r="P17" s="121">
        <v>6</v>
      </c>
      <c r="Q17" s="16">
        <v>1</v>
      </c>
      <c r="R17" s="17">
        <v>2</v>
      </c>
      <c r="S17" s="17">
        <v>3</v>
      </c>
      <c r="T17" s="17">
        <v>4</v>
      </c>
      <c r="U17" s="20">
        <v>5</v>
      </c>
      <c r="V17" s="121">
        <v>6</v>
      </c>
      <c r="W17" s="16">
        <v>1</v>
      </c>
      <c r="X17" s="17">
        <v>2</v>
      </c>
      <c r="Y17" s="17">
        <v>3</v>
      </c>
      <c r="Z17" s="17">
        <v>4</v>
      </c>
      <c r="AA17" s="20">
        <v>5</v>
      </c>
      <c r="AB17" s="16">
        <v>1</v>
      </c>
      <c r="AC17" s="17">
        <v>2</v>
      </c>
      <c r="AD17" s="17">
        <v>3</v>
      </c>
      <c r="AE17" s="17">
        <v>4</v>
      </c>
      <c r="AF17" s="18">
        <v>5</v>
      </c>
      <c r="AG17" s="19">
        <v>1</v>
      </c>
      <c r="AH17" s="17">
        <v>2</v>
      </c>
      <c r="AI17" s="17">
        <v>3</v>
      </c>
      <c r="AJ17" s="17">
        <v>4</v>
      </c>
      <c r="AK17" s="18">
        <v>5</v>
      </c>
    </row>
    <row r="18" spans="1:37">
      <c r="A18" s="6">
        <v>1</v>
      </c>
      <c r="B18" s="33" t="s">
        <v>209</v>
      </c>
      <c r="C18" s="2">
        <v>0</v>
      </c>
      <c r="D18" s="2">
        <v>0</v>
      </c>
      <c r="E18" s="42" t="e">
        <f>SUM(Questions!$C13:$C17)/COUNT(Questions!$C13:$C17)</f>
        <v>#DIV/0!</v>
      </c>
      <c r="F18" s="43" t="e">
        <f>SUM(Questions!$C20:$C24)/COUNT(Questions!$C20:$C24)</f>
        <v>#DIV/0!</v>
      </c>
      <c r="G18" s="43" t="e">
        <f>SUM(Questions!$C27:$C31)/COUNT(Questions!$C27:$C31)</f>
        <v>#DIV/0!</v>
      </c>
      <c r="H18" s="43" t="e">
        <f>SUM(Questions!$C34:$C38)/COUNT(Questions!$C34:$C38)</f>
        <v>#DIV/0!</v>
      </c>
      <c r="I18" s="43" t="e">
        <f>SUM(Questions!$C41:$C45)/COUNT(Questions!$C41:$C45)</f>
        <v>#DIV/0!</v>
      </c>
      <c r="J18" s="44" t="e">
        <f>SUM(Questions!$C48:$C52)/COUNT(Questions!$C48:$C52)</f>
        <v>#DIV/0!</v>
      </c>
      <c r="K18" s="42" t="e">
        <f>SUM(Questions!$C56:$C60)/COUNT(Questions!$C56:$C60)</f>
        <v>#DIV/0!</v>
      </c>
      <c r="L18" s="43" t="e">
        <f>SUM(Questions!$C63:$C67)/COUNT(Questions!$C63:$C67)</f>
        <v>#DIV/0!</v>
      </c>
      <c r="M18" s="45" t="e">
        <f>SUM(Questions!$C70:$C74)/COUNT(Questions!$C70:$C74)</f>
        <v>#DIV/0!</v>
      </c>
      <c r="N18" s="123" t="e">
        <f>SUM(Questions!$C77:$C81)/COUNT(Questions!$C77:$C81)</f>
        <v>#DIV/0!</v>
      </c>
      <c r="O18" s="124" t="e">
        <f>SUM(Questions!$C84:$C88)/COUNT(Questions!$C84:$C88)</f>
        <v>#DIV/0!</v>
      </c>
      <c r="P18" s="125" t="e">
        <f>SUM(Questions!$C91:$C95)/COUNT(Questions!$C91:$C95)</f>
        <v>#DIV/0!</v>
      </c>
      <c r="Q18" s="42" t="e">
        <f>SUM(Questions!$C99:$C103)/COUNT(Questions!$C99:$C103)</f>
        <v>#DIV/0!</v>
      </c>
      <c r="R18" s="43" t="e">
        <f>SUM(Questions!$C106:$C110)/COUNT(Questions!$C106:$C110)</f>
        <v>#DIV/0!</v>
      </c>
      <c r="S18" s="43" t="e">
        <f>SUM(Questions!$C113:$C117)/COUNT(Questions!$C113:$C117)</f>
        <v>#DIV/0!</v>
      </c>
      <c r="T18" s="43" t="e">
        <f>SUM(Questions!$C120:$C124)/COUNT(Questions!$C120:$C124)</f>
        <v>#DIV/0!</v>
      </c>
      <c r="U18" s="43" t="e">
        <f>SUM(Questions!$C127:$C131)/COUNT(Questions!$C127:$C131)</f>
        <v>#DIV/0!</v>
      </c>
      <c r="V18" s="125" t="e">
        <f>SUM(Questions!$C134:$C138)/COUNT(Questions!$C134:$C138)</f>
        <v>#DIV/0!</v>
      </c>
      <c r="W18" s="42" t="e">
        <f>SUM(Questions!$C142:$C146)/COUNT(Questions!$C142:$C146)</f>
        <v>#DIV/0!</v>
      </c>
      <c r="X18" s="43" t="e">
        <f>SUM(Questions!$C149:$C153)/COUNT(Questions!$C149:$C153)</f>
        <v>#DIV/0!</v>
      </c>
      <c r="Y18" s="43" t="e">
        <f>SUM(Questions!$C156:$C160)/COUNT(Questions!$C156:$C160)</f>
        <v>#DIV/0!</v>
      </c>
      <c r="Z18" s="43" t="e">
        <f>SUM(Questions!$C163:$C167)/COUNT(Questions!$C163:$C167)</f>
        <v>#DIV/0!</v>
      </c>
      <c r="AA18" s="43" t="e">
        <f>SUM(Questions!$C170:$C174)/COUNT(Questions!$C170:$C174)</f>
        <v>#DIV/0!</v>
      </c>
      <c r="AB18" s="42" t="e">
        <f>SUM(Questions!$C178:$C182)/COUNT(Questions!$C178:$C182)</f>
        <v>#DIV/0!</v>
      </c>
      <c r="AC18" s="43" t="e">
        <f>SUM(Questions!$C185:$C189)/COUNT(Questions!$C185:$C189)</f>
        <v>#DIV/0!</v>
      </c>
      <c r="AD18" s="43" t="e">
        <f>SUM(Questions!$C192:$C196)/COUNT(Questions!$C192:$C196)</f>
        <v>#DIV/0!</v>
      </c>
      <c r="AE18" s="43" t="e">
        <f>SUM(Questions!$C199:$C203)/COUNT(Questions!$C199:$C203)</f>
        <v>#DIV/0!</v>
      </c>
      <c r="AF18" s="44" t="e">
        <f>SUM(Questions!$C206:$C210)/COUNT(Questions!$C206:$C210)</f>
        <v>#DIV/0!</v>
      </c>
      <c r="AG18" s="42" t="e">
        <f>SUM(Questions!$C214:$C218)/COUNT(Questions!$C214:$C218)</f>
        <v>#DIV/0!</v>
      </c>
      <c r="AH18" s="43" t="e">
        <f>SUM(Questions!$C221:$C225)/COUNT(Questions!$C221:$C225)</f>
        <v>#DIV/0!</v>
      </c>
      <c r="AI18" s="43" t="e">
        <f>SUM(Questions!$C228:$C232)/COUNT(Questions!$C228:$C232)</f>
        <v>#DIV/0!</v>
      </c>
      <c r="AJ18" s="43" t="e">
        <f>SUM(Questions!$C235:$C239)/COUNT(Questions!$C235:$C239)</f>
        <v>#DIV/0!</v>
      </c>
      <c r="AK18" s="44" t="e">
        <f>SUM(Questions!$C242:$C246)/COUNT(Questions!$C242:$C246)</f>
        <v>#DIV/0!</v>
      </c>
    </row>
    <row r="19" spans="1:37">
      <c r="A19" s="6">
        <v>2</v>
      </c>
      <c r="B19" s="28" t="s">
        <v>210</v>
      </c>
      <c r="C19" s="2">
        <v>0</v>
      </c>
      <c r="D19" s="2">
        <v>0</v>
      </c>
      <c r="E19" s="24"/>
      <c r="F19" s="25"/>
      <c r="G19" s="25"/>
      <c r="H19" s="25"/>
      <c r="I19" s="29"/>
      <c r="J19" s="26"/>
      <c r="K19" s="24"/>
      <c r="L19" s="25"/>
      <c r="M19" s="25"/>
      <c r="N19" s="129"/>
      <c r="O19" s="130"/>
      <c r="P19" s="128"/>
      <c r="Q19" s="24"/>
      <c r="R19" s="25"/>
      <c r="S19" s="25"/>
      <c r="T19" s="25"/>
      <c r="U19" s="29"/>
      <c r="V19" s="128"/>
      <c r="W19" s="24"/>
      <c r="X19" s="25"/>
      <c r="Y19" s="25"/>
      <c r="Z19" s="25"/>
      <c r="AA19" s="25"/>
      <c r="AB19" s="24"/>
      <c r="AC19" s="25"/>
      <c r="AD19" s="25"/>
      <c r="AE19" s="25"/>
      <c r="AF19" s="26"/>
      <c r="AG19" s="24"/>
      <c r="AH19" s="25"/>
      <c r="AI19" s="25"/>
      <c r="AJ19" s="25"/>
      <c r="AK19" s="26"/>
    </row>
    <row r="20" spans="1:37">
      <c r="A20" s="6">
        <v>3</v>
      </c>
      <c r="B20" s="28" t="s">
        <v>211</v>
      </c>
      <c r="C20" s="2">
        <v>0</v>
      </c>
      <c r="D20" s="2">
        <v>0</v>
      </c>
      <c r="E20" s="24"/>
      <c r="F20" s="25"/>
      <c r="G20" s="25"/>
      <c r="H20" s="25"/>
      <c r="I20" s="29"/>
      <c r="J20" s="26"/>
      <c r="K20" s="24"/>
      <c r="L20" s="25"/>
      <c r="M20" s="25"/>
      <c r="N20" s="129"/>
      <c r="O20" s="130"/>
      <c r="P20" s="128"/>
      <c r="Q20" s="24"/>
      <c r="R20" s="25"/>
      <c r="S20" s="25"/>
      <c r="T20" s="25"/>
      <c r="U20" s="29"/>
      <c r="V20" s="128"/>
      <c r="W20" s="24"/>
      <c r="X20" s="25"/>
      <c r="Y20" s="25"/>
      <c r="Z20" s="25"/>
      <c r="AA20" s="25"/>
      <c r="AB20" s="24"/>
      <c r="AC20" s="25"/>
      <c r="AD20" s="25"/>
      <c r="AE20" s="25"/>
      <c r="AF20" s="26"/>
      <c r="AG20" s="24"/>
      <c r="AH20" s="25"/>
      <c r="AI20" s="25"/>
      <c r="AJ20" s="25"/>
      <c r="AK20" s="26"/>
    </row>
    <row r="21" spans="1:37">
      <c r="A21" s="6">
        <v>4</v>
      </c>
      <c r="B21" s="2">
        <v>0</v>
      </c>
      <c r="C21" s="2">
        <v>0</v>
      </c>
      <c r="D21" s="2">
        <v>0</v>
      </c>
      <c r="E21" s="24"/>
      <c r="F21" s="25"/>
      <c r="G21" s="25"/>
      <c r="H21" s="25"/>
      <c r="I21" s="29"/>
      <c r="J21" s="26"/>
      <c r="K21" s="24"/>
      <c r="L21" s="25"/>
      <c r="M21" s="25"/>
      <c r="N21" s="129"/>
      <c r="O21" s="130"/>
      <c r="P21" s="128"/>
      <c r="Q21" s="24"/>
      <c r="R21" s="25"/>
      <c r="S21" s="25"/>
      <c r="T21" s="25"/>
      <c r="U21" s="29"/>
      <c r="V21" s="128"/>
      <c r="W21" s="24"/>
      <c r="X21" s="25"/>
      <c r="Y21" s="25"/>
      <c r="Z21" s="25"/>
      <c r="AA21" s="25"/>
      <c r="AB21" s="24"/>
      <c r="AC21" s="25"/>
      <c r="AD21" s="25"/>
      <c r="AE21" s="25"/>
      <c r="AF21" s="26"/>
      <c r="AG21" s="24"/>
      <c r="AH21" s="25"/>
      <c r="AI21" s="25"/>
      <c r="AJ21" s="25"/>
      <c r="AK21" s="26"/>
    </row>
    <row r="22" spans="1:37">
      <c r="A22" s="6">
        <f t="shared" ref="A18:D27" si="0">A9</f>
        <v>5</v>
      </c>
      <c r="B22" s="2">
        <f t="shared" si="0"/>
        <v>0</v>
      </c>
      <c r="C22" s="2">
        <f t="shared" si="0"/>
        <v>0</v>
      </c>
      <c r="D22" s="2">
        <f t="shared" si="0"/>
        <v>0</v>
      </c>
      <c r="E22" s="24"/>
      <c r="F22" s="25"/>
      <c r="G22" s="25"/>
      <c r="H22" s="25"/>
      <c r="I22" s="29"/>
      <c r="J22" s="26"/>
      <c r="K22" s="24"/>
      <c r="L22" s="25"/>
      <c r="M22" s="25"/>
      <c r="N22" s="129"/>
      <c r="O22" s="130"/>
      <c r="P22" s="128"/>
      <c r="Q22" s="24"/>
      <c r="R22" s="25"/>
      <c r="S22" s="25"/>
      <c r="T22" s="25"/>
      <c r="U22" s="29"/>
      <c r="V22" s="128"/>
      <c r="W22" s="24"/>
      <c r="X22" s="25"/>
      <c r="Y22" s="25"/>
      <c r="Z22" s="25"/>
      <c r="AA22" s="25"/>
      <c r="AB22" s="24"/>
      <c r="AC22" s="25"/>
      <c r="AD22" s="25"/>
      <c r="AE22" s="25"/>
      <c r="AF22" s="26"/>
      <c r="AG22" s="24"/>
      <c r="AH22" s="25"/>
      <c r="AI22" s="25"/>
      <c r="AJ22" s="25"/>
      <c r="AK22" s="26"/>
    </row>
    <row r="23" spans="1:37">
      <c r="A23" s="6">
        <f t="shared" si="0"/>
        <v>6</v>
      </c>
      <c r="B23" s="2">
        <f t="shared" si="0"/>
        <v>0</v>
      </c>
      <c r="C23" s="2">
        <f t="shared" si="0"/>
        <v>0</v>
      </c>
      <c r="D23" s="2">
        <f t="shared" si="0"/>
        <v>0</v>
      </c>
      <c r="E23" s="24"/>
      <c r="F23" s="25"/>
      <c r="G23" s="25"/>
      <c r="H23" s="25"/>
      <c r="I23" s="29"/>
      <c r="J23" s="26"/>
      <c r="K23" s="24"/>
      <c r="L23" s="25"/>
      <c r="M23" s="25"/>
      <c r="N23" s="129"/>
      <c r="O23" s="130"/>
      <c r="P23" s="128"/>
      <c r="Q23" s="24"/>
      <c r="R23" s="25"/>
      <c r="S23" s="25"/>
      <c r="T23" s="25"/>
      <c r="U23" s="29"/>
      <c r="V23" s="128"/>
      <c r="W23" s="24"/>
      <c r="X23" s="25"/>
      <c r="Y23" s="25"/>
      <c r="Z23" s="25"/>
      <c r="AA23" s="25"/>
      <c r="AB23" s="24"/>
      <c r="AC23" s="25"/>
      <c r="AD23" s="25"/>
      <c r="AE23" s="25"/>
      <c r="AF23" s="26"/>
      <c r="AG23" s="24"/>
      <c r="AH23" s="25"/>
      <c r="AI23" s="25"/>
      <c r="AJ23" s="25"/>
      <c r="AK23" s="26"/>
    </row>
    <row r="24" spans="1:37">
      <c r="A24" s="6">
        <f t="shared" si="0"/>
        <v>7</v>
      </c>
      <c r="B24" s="2">
        <f t="shared" si="0"/>
        <v>0</v>
      </c>
      <c r="C24" s="2">
        <f t="shared" si="0"/>
        <v>0</v>
      </c>
      <c r="D24" s="2">
        <f t="shared" si="0"/>
        <v>0</v>
      </c>
      <c r="E24" s="24"/>
      <c r="F24" s="25"/>
      <c r="G24" s="25"/>
      <c r="H24" s="25"/>
      <c r="I24" s="29"/>
      <c r="J24" s="26"/>
      <c r="K24" s="24"/>
      <c r="L24" s="25"/>
      <c r="M24" s="25"/>
      <c r="N24" s="129"/>
      <c r="O24" s="130"/>
      <c r="P24" s="128"/>
      <c r="Q24" s="24"/>
      <c r="R24" s="25"/>
      <c r="S24" s="25"/>
      <c r="T24" s="25"/>
      <c r="U24" s="29"/>
      <c r="V24" s="128"/>
      <c r="W24" s="24"/>
      <c r="X24" s="25"/>
      <c r="Y24" s="25"/>
      <c r="Z24" s="25"/>
      <c r="AA24" s="25"/>
      <c r="AB24" s="24"/>
      <c r="AC24" s="25"/>
      <c r="AD24" s="25"/>
      <c r="AE24" s="25"/>
      <c r="AF24" s="26"/>
      <c r="AG24" s="24"/>
      <c r="AH24" s="25"/>
      <c r="AI24" s="25"/>
      <c r="AJ24" s="25"/>
      <c r="AK24" s="26"/>
    </row>
    <row r="25" spans="1:37">
      <c r="A25" s="6">
        <f t="shared" si="0"/>
        <v>8</v>
      </c>
      <c r="B25" s="2">
        <f t="shared" si="0"/>
        <v>0</v>
      </c>
      <c r="C25" s="2">
        <f t="shared" si="0"/>
        <v>0</v>
      </c>
      <c r="D25" s="2">
        <f t="shared" si="0"/>
        <v>0</v>
      </c>
      <c r="E25" s="24"/>
      <c r="F25" s="25"/>
      <c r="G25" s="25"/>
      <c r="H25" s="25"/>
      <c r="I25" s="29"/>
      <c r="J25" s="26"/>
      <c r="K25" s="24"/>
      <c r="L25" s="25"/>
      <c r="M25" s="25"/>
      <c r="N25" s="129"/>
      <c r="O25" s="130"/>
      <c r="P25" s="128"/>
      <c r="Q25" s="24"/>
      <c r="R25" s="25"/>
      <c r="S25" s="25"/>
      <c r="T25" s="25"/>
      <c r="U25" s="29"/>
      <c r="V25" s="128"/>
      <c r="W25" s="24"/>
      <c r="X25" s="25"/>
      <c r="Y25" s="25"/>
      <c r="Z25" s="25"/>
      <c r="AA25" s="25"/>
      <c r="AB25" s="24"/>
      <c r="AC25" s="25"/>
      <c r="AD25" s="25"/>
      <c r="AE25" s="25"/>
      <c r="AF25" s="26"/>
      <c r="AG25" s="24"/>
      <c r="AH25" s="25"/>
      <c r="AI25" s="25"/>
      <c r="AJ25" s="25"/>
      <c r="AK25" s="26"/>
    </row>
    <row r="26" spans="1:37">
      <c r="A26" s="6">
        <f t="shared" si="0"/>
        <v>9</v>
      </c>
      <c r="B26" s="2">
        <f t="shared" si="0"/>
        <v>0</v>
      </c>
      <c r="C26" s="2">
        <f t="shared" si="0"/>
        <v>0</v>
      </c>
      <c r="D26" s="2">
        <f t="shared" si="0"/>
        <v>0</v>
      </c>
      <c r="E26" s="24"/>
      <c r="F26" s="25"/>
      <c r="G26" s="25"/>
      <c r="H26" s="25"/>
      <c r="I26" s="29"/>
      <c r="J26" s="26"/>
      <c r="K26" s="24"/>
      <c r="L26" s="25"/>
      <c r="M26" s="25"/>
      <c r="N26" s="129"/>
      <c r="O26" s="130"/>
      <c r="P26" s="128"/>
      <c r="Q26" s="24"/>
      <c r="R26" s="25"/>
      <c r="S26" s="25"/>
      <c r="T26" s="25"/>
      <c r="U26" s="29"/>
      <c r="V26" s="128"/>
      <c r="W26" s="24"/>
      <c r="X26" s="25"/>
      <c r="Y26" s="25"/>
      <c r="Z26" s="25"/>
      <c r="AA26" s="25"/>
      <c r="AB26" s="24"/>
      <c r="AC26" s="25"/>
      <c r="AD26" s="25"/>
      <c r="AE26" s="25"/>
      <c r="AF26" s="26"/>
      <c r="AG26" s="24"/>
      <c r="AH26" s="25"/>
      <c r="AI26" s="25"/>
      <c r="AJ26" s="25"/>
      <c r="AK26" s="26"/>
    </row>
    <row r="27" spans="1:37">
      <c r="A27" s="6">
        <f t="shared" si="0"/>
        <v>10</v>
      </c>
      <c r="B27" s="2">
        <f t="shared" si="0"/>
        <v>0</v>
      </c>
      <c r="C27" s="2">
        <f t="shared" si="0"/>
        <v>0</v>
      </c>
      <c r="D27" s="2">
        <f t="shared" si="0"/>
        <v>0</v>
      </c>
      <c r="E27" s="24"/>
      <c r="F27" s="25"/>
      <c r="G27" s="25"/>
      <c r="H27" s="25"/>
      <c r="I27" s="29"/>
      <c r="J27" s="26"/>
      <c r="K27" s="24"/>
      <c r="L27" s="25"/>
      <c r="M27" s="25"/>
      <c r="N27" s="129"/>
      <c r="O27" s="130"/>
      <c r="P27" s="128"/>
      <c r="Q27" s="24"/>
      <c r="R27" s="25"/>
      <c r="S27" s="25"/>
      <c r="T27" s="25"/>
      <c r="U27" s="29"/>
      <c r="V27" s="128"/>
      <c r="W27" s="24"/>
      <c r="X27" s="25"/>
      <c r="Y27" s="25"/>
      <c r="Z27" s="25"/>
      <c r="AA27" s="25"/>
      <c r="AB27" s="24"/>
      <c r="AC27" s="25"/>
      <c r="AD27" s="25"/>
      <c r="AE27" s="25"/>
      <c r="AF27" s="26"/>
      <c r="AG27" s="24"/>
      <c r="AH27" s="25"/>
      <c r="AI27" s="25"/>
      <c r="AJ27" s="25"/>
      <c r="AK27" s="26"/>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4EF9-70DF-417D-9BA6-5510294697FF}">
  <sheetPr>
    <tabColor rgb="FFFF0000"/>
  </sheetPr>
  <dimension ref="A1:AH8"/>
  <sheetViews>
    <sheetView showGridLines="0" zoomScale="80" zoomScaleNormal="80" workbookViewId="0">
      <selection activeCell="Y76" sqref="Y76"/>
    </sheetView>
  </sheetViews>
  <sheetFormatPr defaultColWidth="8.7109375" defaultRowHeight="14.45"/>
  <cols>
    <col min="1" max="1" width="25" style="47" bestFit="1" customWidth="1"/>
    <col min="2" max="10" width="6.28515625" style="81" customWidth="1"/>
    <col min="11" max="13" width="6.28515625" style="81" hidden="1" customWidth="1"/>
    <col min="14" max="18" width="6.28515625" style="81" customWidth="1"/>
    <col min="19" max="19" width="6.28515625" style="81" hidden="1" customWidth="1"/>
    <col min="20" max="34" width="6.28515625" style="81" customWidth="1"/>
    <col min="35" max="16384" width="8.7109375" style="47"/>
  </cols>
  <sheetData>
    <row r="1" spans="1:34" ht="95.45">
      <c r="A1" s="49"/>
      <c r="B1" s="50" t="str">
        <f>'Data (DO NOT EDIT!!)'!E1</f>
        <v>Digital Power Basic Skills</v>
      </c>
      <c r="C1" s="51" t="str">
        <f>'Data (DO NOT EDIT!!)'!F1</f>
        <v>Digital Power Basic Skills</v>
      </c>
      <c r="D1" s="51" t="str">
        <f>'Data (DO NOT EDIT!!)'!G1</f>
        <v>Digital Power Basic Skills</v>
      </c>
      <c r="E1" s="51" t="str">
        <f>'Data (DO NOT EDIT!!)'!H1</f>
        <v>Digital Power Basic Skills</v>
      </c>
      <c r="F1" s="52" t="str">
        <f>'Data (DO NOT EDIT!!)'!I1</f>
        <v>Digital Power Basic Skills</v>
      </c>
      <c r="G1" s="53" t="str">
        <f>'Data (DO NOT EDIT!!)'!J1</f>
        <v>Digital Power Basic Skills</v>
      </c>
      <c r="H1" s="50" t="str">
        <f>'Data (DO NOT EDIT!!)'!K1</f>
        <v>Domain Skills</v>
      </c>
      <c r="I1" s="51" t="str">
        <f>'Data (DO NOT EDIT!!)'!L1</f>
        <v>Domain Skills</v>
      </c>
      <c r="J1" s="53" t="str">
        <f>'Data (DO NOT EDIT!!)'!M1</f>
        <v>Domain Skills</v>
      </c>
      <c r="K1" s="51" t="str">
        <f>'Data (DO NOT EDIT!!)'!N1</f>
        <v>Domein Skills</v>
      </c>
      <c r="L1" s="52" t="str">
        <f>'Data (DO NOT EDIT!!)'!O1</f>
        <v>Domein Skills</v>
      </c>
      <c r="M1" s="53" t="str">
        <f>'Data (DO NOT EDIT!!)'!P1</f>
        <v>Domein Skills</v>
      </c>
      <c r="N1" s="54" t="str">
        <f>'Data (DO NOT EDIT!!)'!Q1</f>
        <v>Hardskills</v>
      </c>
      <c r="O1" s="51" t="str">
        <f>'Data (DO NOT EDIT!!)'!R1</f>
        <v>Hardskills</v>
      </c>
      <c r="P1" s="51" t="str">
        <f>'Data (DO NOT EDIT!!)'!S1</f>
        <v>Hardskills</v>
      </c>
      <c r="Q1" s="51" t="str">
        <f>'Data (DO NOT EDIT!!)'!T1</f>
        <v>Hardskills</v>
      </c>
      <c r="R1" s="52" t="str">
        <f>'Data (DO NOT EDIT!!)'!U1</f>
        <v>Hardskills</v>
      </c>
      <c r="S1" s="52" t="str">
        <f>'Data (DO NOT EDIT!!)'!V1</f>
        <v>Hardskills</v>
      </c>
      <c r="T1" s="50" t="str">
        <f>'Data (DO NOT EDIT!!)'!W1</f>
        <v>Basic Consultancy Skills</v>
      </c>
      <c r="U1" s="51" t="str">
        <f>'Data (DO NOT EDIT!!)'!X1</f>
        <v>Basic Consultancy Skills</v>
      </c>
      <c r="V1" s="51" t="str">
        <f>'Data (DO NOT EDIT!!)'!Y1</f>
        <v>Basic Consultancy Skills</v>
      </c>
      <c r="W1" s="51" t="str">
        <f>'Data (DO NOT EDIT!!)'!Z1</f>
        <v>Basic Consultancy Skills</v>
      </c>
      <c r="X1" s="52" t="str">
        <f>'Data (DO NOT EDIT!!)'!AA1</f>
        <v>Basic Consultancy Skills</v>
      </c>
      <c r="Y1" s="50" t="str">
        <f>'Data (DO NOT EDIT!!)'!AB1</f>
        <v>Business Skills</v>
      </c>
      <c r="Z1" s="51" t="str">
        <f>'Data (DO NOT EDIT!!)'!AC1</f>
        <v>Business Skills</v>
      </c>
      <c r="AA1" s="51" t="str">
        <f>'Data (DO NOT EDIT!!)'!AD1</f>
        <v>Business Skills</v>
      </c>
      <c r="AB1" s="51" t="str">
        <f>'Data (DO NOT EDIT!!)'!AE1</f>
        <v>Business Skills</v>
      </c>
      <c r="AC1" s="53" t="str">
        <f>'Data (DO NOT EDIT!!)'!AF1</f>
        <v>Business Skills</v>
      </c>
      <c r="AD1" s="54" t="str">
        <f>'Data (DO NOT EDIT!!)'!AG1</f>
        <v>Expert Consultancy Skills</v>
      </c>
      <c r="AE1" s="51" t="str">
        <f>'Data (DO NOT EDIT!!)'!AH1</f>
        <v>Expert Consultancy Skills</v>
      </c>
      <c r="AF1" s="51" t="str">
        <f>'Data (DO NOT EDIT!!)'!AI1</f>
        <v>Expert Consultancy Skills</v>
      </c>
      <c r="AG1" s="51" t="str">
        <f>'Data (DO NOT EDIT!!)'!AJ1</f>
        <v>Expert Consultancy Skills</v>
      </c>
      <c r="AH1" s="53" t="str">
        <f>'Data (DO NOT EDIT!!)'!AK1</f>
        <v>Expert Consultancy Skills</v>
      </c>
    </row>
    <row r="2" spans="1:34" ht="135.6" customHeight="1">
      <c r="A2" s="55"/>
      <c r="B2" s="56" t="str">
        <f>'Data (DO NOT EDIT!!)'!E2</f>
        <v>Learning &amp; reflection</v>
      </c>
      <c r="C2" s="57" t="str">
        <f>'Data (DO NOT EDIT!!)'!F2</f>
        <v>Support &amp; collaboration</v>
      </c>
      <c r="D2" s="57" t="str">
        <f>'Data (DO NOT EDIT!!)'!G2</f>
        <v>Entrepreneurial &amp; result-oriented</v>
      </c>
      <c r="E2" s="57" t="str">
        <f>'Data (DO NOT EDIT!!)'!H2</f>
        <v>Customer-oriented</v>
      </c>
      <c r="F2" s="58" t="str">
        <f>'Data (DO NOT EDIT!!)'!I2</f>
        <v>Knowledge sharing</v>
      </c>
      <c r="G2" s="59" t="str">
        <f>'Data (DO NOT EDIT!!)'!J2</f>
        <v>Coaching &amp; guidance</v>
      </c>
      <c r="H2" s="56" t="str">
        <f>'Data (DO NOT EDIT!!)'!K2</f>
        <v>Communication developers/ analysts</v>
      </c>
      <c r="I2" s="57" t="str">
        <f>'Data (DO NOT EDIT!!)'!L2</f>
        <v>Tagging trends in domain</v>
      </c>
      <c r="J2" s="59" t="str">
        <f>'Data (DO NOT EDIT!!)'!M2</f>
        <v>Requirements</v>
      </c>
      <c r="K2" s="57">
        <f>'Data (DO NOT EDIT!!)'!N2</f>
        <v>0</v>
      </c>
      <c r="L2" s="58">
        <f>'Data (DO NOT EDIT!!)'!O2</f>
        <v>0</v>
      </c>
      <c r="M2" s="59">
        <f>'Data (DO NOT EDIT!!)'!P2</f>
        <v>0</v>
      </c>
      <c r="N2" s="60" t="str">
        <f>'Data (DO NOT EDIT!!)'!Q2</f>
        <v>Analytics (management/ admin) knowledge</v>
      </c>
      <c r="O2" s="57" t="str">
        <f>'Data (DO NOT EDIT!!)'!R2</f>
        <v>Tag management</v>
      </c>
      <c r="P2" s="57" t="str">
        <f>'Data (DO NOT EDIT!!)'!S2</f>
        <v>Data structures, tagplan, datalayer</v>
      </c>
      <c r="Q2" s="57" t="str">
        <f>'Data (DO NOT EDIT!!)'!T2</f>
        <v>Debugging</v>
      </c>
      <c r="R2" s="58" t="str">
        <f>'Data (DO NOT EDIT!!)'!U2</f>
        <v>Programming</v>
      </c>
      <c r="S2" s="58">
        <f>'Data (DO NOT EDIT!!)'!V2</f>
        <v>0</v>
      </c>
      <c r="T2" s="56" t="str">
        <f>'Data (DO NOT EDIT!!)'!W2</f>
        <v>Advising</v>
      </c>
      <c r="U2" s="57" t="str">
        <f>'Data (DO NOT EDIT!!)'!X2</f>
        <v xml:space="preserve">Decisive &amp; problem-solving </v>
      </c>
      <c r="V2" s="57" t="str">
        <f>'Data (DO NOT EDIT!!)'!Y2</f>
        <v>Interpersonal communication</v>
      </c>
      <c r="W2" s="57" t="str">
        <f>'Data (DO NOT EDIT!!)'!Z2</f>
        <v>Expectation management</v>
      </c>
      <c r="X2" s="58" t="str">
        <f>'Data (DO NOT EDIT!!)'!AA2</f>
        <v>Written and oral communication</v>
      </c>
      <c r="Y2" s="56" t="str">
        <f>'Data (DO NOT EDIT!!)'!AB2</f>
        <v>Organizational and management identification</v>
      </c>
      <c r="Z2" s="57" t="str">
        <f>'Data (DO NOT EDIT!!)'!AC2</f>
        <v>Strategic conceptualization</v>
      </c>
      <c r="AA2" s="57" t="str">
        <f>'Data (DO NOT EDIT!!)'!AD2</f>
        <v>Project management</v>
      </c>
      <c r="AB2" s="57" t="str">
        <f>'Data (DO NOT EDIT!!)'!AE2</f>
        <v>Change management</v>
      </c>
      <c r="AC2" s="59" t="str">
        <f>'Data (DO NOT EDIT!!)'!AF2</f>
        <v>Leadership</v>
      </c>
      <c r="AD2" s="60" t="str">
        <f>'Data (DO NOT EDIT!!)'!AG2</f>
        <v>Situational communication</v>
      </c>
      <c r="AE2" s="57" t="str">
        <f>'Data (DO NOT EDIT!!)'!AH2</f>
        <v>Goal-oriented &amp; effective communication</v>
      </c>
      <c r="AF2" s="57" t="str">
        <f>'Data (DO NOT EDIT!!)'!AI2</f>
        <v>Decision-making</v>
      </c>
      <c r="AG2" s="57" t="str">
        <f>'Data (DO NOT EDIT!!)'!AJ2</f>
        <v>Persuading &amp; influencing</v>
      </c>
      <c r="AH2" s="59" t="str">
        <f>'Data (DO NOT EDIT!!)'!AK2</f>
        <v>Constructive (negative) feedback &amp; bad news conversations</v>
      </c>
    </row>
    <row r="3" spans="1:34">
      <c r="A3" s="55"/>
      <c r="B3" s="61">
        <v>1</v>
      </c>
      <c r="C3" s="62">
        <v>2</v>
      </c>
      <c r="D3" s="62">
        <v>3</v>
      </c>
      <c r="E3" s="62">
        <v>4</v>
      </c>
      <c r="F3" s="63">
        <v>5</v>
      </c>
      <c r="G3" s="64">
        <v>6</v>
      </c>
      <c r="H3" s="61">
        <v>1</v>
      </c>
      <c r="I3" s="62">
        <v>2</v>
      </c>
      <c r="J3" s="64">
        <v>3</v>
      </c>
      <c r="K3" s="62">
        <v>10</v>
      </c>
      <c r="L3" s="63">
        <v>11</v>
      </c>
      <c r="M3" s="64">
        <v>12</v>
      </c>
      <c r="N3" s="65">
        <v>1</v>
      </c>
      <c r="O3" s="62">
        <v>2</v>
      </c>
      <c r="P3" s="62">
        <v>3</v>
      </c>
      <c r="Q3" s="62">
        <v>4</v>
      </c>
      <c r="R3" s="63">
        <v>5</v>
      </c>
      <c r="S3" s="63">
        <v>18</v>
      </c>
      <c r="T3" s="61">
        <v>1</v>
      </c>
      <c r="U3" s="62">
        <v>2</v>
      </c>
      <c r="V3" s="62">
        <v>3</v>
      </c>
      <c r="W3" s="62">
        <v>4</v>
      </c>
      <c r="X3" s="63">
        <v>5</v>
      </c>
      <c r="Y3" s="61">
        <v>1</v>
      </c>
      <c r="Z3" s="62">
        <v>2</v>
      </c>
      <c r="AA3" s="62">
        <v>3</v>
      </c>
      <c r="AB3" s="62">
        <v>4</v>
      </c>
      <c r="AC3" s="64">
        <v>5</v>
      </c>
      <c r="AD3" s="65">
        <v>1</v>
      </c>
      <c r="AE3" s="62">
        <v>2</v>
      </c>
      <c r="AF3" s="62">
        <v>3</v>
      </c>
      <c r="AG3" s="62">
        <v>4</v>
      </c>
      <c r="AH3" s="64">
        <v>5</v>
      </c>
    </row>
    <row r="4" spans="1:34">
      <c r="A4" s="66" t="s">
        <v>213</v>
      </c>
      <c r="B4" s="67" t="e">
        <f>'Data (DO NOT EDIT!!)'!E5</f>
        <v>#DIV/0!</v>
      </c>
      <c r="C4" s="68" t="e">
        <f>'Data (DO NOT EDIT!!)'!F5</f>
        <v>#DIV/0!</v>
      </c>
      <c r="D4" s="68" t="e">
        <f>'Data (DO NOT EDIT!!)'!G5</f>
        <v>#DIV/0!</v>
      </c>
      <c r="E4" s="68" t="e">
        <f>'Data (DO NOT EDIT!!)'!H5</f>
        <v>#DIV/0!</v>
      </c>
      <c r="F4" s="69" t="e">
        <f>'Data (DO NOT EDIT!!)'!I5</f>
        <v>#DIV/0!</v>
      </c>
      <c r="G4" s="70" t="e">
        <f>'Data (DO NOT EDIT!!)'!J5</f>
        <v>#DIV/0!</v>
      </c>
      <c r="H4" s="67" t="e">
        <f>'Data (DO NOT EDIT!!)'!K5</f>
        <v>#DIV/0!</v>
      </c>
      <c r="I4" s="68" t="e">
        <f>'Data (DO NOT EDIT!!)'!L5</f>
        <v>#DIV/0!</v>
      </c>
      <c r="J4" s="70" t="e">
        <f>'Data (DO NOT EDIT!!)'!M5</f>
        <v>#DIV/0!</v>
      </c>
      <c r="K4" s="68" t="e">
        <f>'Data (DO NOT EDIT!!)'!N5</f>
        <v>#DIV/0!</v>
      </c>
      <c r="L4" s="69" t="e">
        <f>'Data (DO NOT EDIT!!)'!O5</f>
        <v>#DIV/0!</v>
      </c>
      <c r="M4" s="70" t="e">
        <f>'Data (DO NOT EDIT!!)'!P5</f>
        <v>#DIV/0!</v>
      </c>
      <c r="N4" s="67" t="e">
        <f>'Data (DO NOT EDIT!!)'!Q5</f>
        <v>#DIV/0!</v>
      </c>
      <c r="O4" s="68" t="e">
        <f>'Data (DO NOT EDIT!!)'!R5</f>
        <v>#DIV/0!</v>
      </c>
      <c r="P4" s="68" t="e">
        <f>'Data (DO NOT EDIT!!)'!S5</f>
        <v>#DIV/0!</v>
      </c>
      <c r="Q4" s="68" t="e">
        <f>'Data (DO NOT EDIT!!)'!T5</f>
        <v>#DIV/0!</v>
      </c>
      <c r="R4" s="70" t="e">
        <f>'Data (DO NOT EDIT!!)'!U5</f>
        <v>#DIV/0!</v>
      </c>
      <c r="S4" s="70" t="e">
        <f>'Data (DO NOT EDIT!!)'!V5</f>
        <v>#DIV/0!</v>
      </c>
      <c r="T4" s="67" t="e">
        <f>'Data (DO NOT EDIT!!)'!W5</f>
        <v>#DIV/0!</v>
      </c>
      <c r="U4" s="68" t="e">
        <f>'Data (DO NOT EDIT!!)'!X5</f>
        <v>#DIV/0!</v>
      </c>
      <c r="V4" s="68" t="e">
        <f>'Data (DO NOT EDIT!!)'!Y5</f>
        <v>#DIV/0!</v>
      </c>
      <c r="W4" s="68" t="e">
        <f>'Data (DO NOT EDIT!!)'!Z5</f>
        <v>#DIV/0!</v>
      </c>
      <c r="X4" s="69" t="e">
        <f>'Data (DO NOT EDIT!!)'!AA5</f>
        <v>#DIV/0!</v>
      </c>
      <c r="Y4" s="67" t="e">
        <f>'Data (DO NOT EDIT!!)'!AB5</f>
        <v>#DIV/0!</v>
      </c>
      <c r="Z4" s="68" t="e">
        <f>'Data (DO NOT EDIT!!)'!AC5</f>
        <v>#DIV/0!</v>
      </c>
      <c r="AA4" s="68" t="e">
        <f>'Data (DO NOT EDIT!!)'!AD5</f>
        <v>#DIV/0!</v>
      </c>
      <c r="AB4" s="68" t="e">
        <f>'Data (DO NOT EDIT!!)'!AE5</f>
        <v>#DIV/0!</v>
      </c>
      <c r="AC4" s="70" t="e">
        <f>'Data (DO NOT EDIT!!)'!AF5</f>
        <v>#DIV/0!</v>
      </c>
      <c r="AD4" s="67" t="e">
        <f>'Data (DO NOT EDIT!!)'!AG5</f>
        <v>#DIV/0!</v>
      </c>
      <c r="AE4" s="68" t="e">
        <f>'Data (DO NOT EDIT!!)'!AH5</f>
        <v>#DIV/0!</v>
      </c>
      <c r="AF4" s="68" t="e">
        <f>'Data (DO NOT EDIT!!)'!AI5</f>
        <v>#DIV/0!</v>
      </c>
      <c r="AG4" s="68" t="e">
        <f>'Data (DO NOT EDIT!!)'!AJ5</f>
        <v>#DIV/0!</v>
      </c>
      <c r="AH4" s="70" t="e">
        <f>'Data (DO NOT EDIT!!)'!AK5</f>
        <v>#DIV/0!</v>
      </c>
    </row>
    <row r="5" spans="1:34" ht="15" thickBot="1">
      <c r="A5" s="71" t="s">
        <v>214</v>
      </c>
      <c r="B5" s="72"/>
      <c r="C5" s="73"/>
      <c r="D5" s="73"/>
      <c r="E5" s="73"/>
      <c r="F5" s="73"/>
      <c r="G5" s="74" t="e">
        <f>AVERAGE(B4:G4)</f>
        <v>#DIV/0!</v>
      </c>
      <c r="H5" s="72"/>
      <c r="I5" s="73"/>
      <c r="J5" s="74" t="e">
        <f>AVERAGE(H4:J4)</f>
        <v>#DIV/0!</v>
      </c>
      <c r="K5" s="73"/>
      <c r="L5" s="73"/>
      <c r="N5" s="72"/>
      <c r="O5" s="73"/>
      <c r="P5" s="73"/>
      <c r="Q5" s="73"/>
      <c r="R5" s="74" t="e">
        <f>AVERAGE(N4:R4)</f>
        <v>#DIV/0!</v>
      </c>
      <c r="T5" s="72"/>
      <c r="U5" s="73"/>
      <c r="V5" s="73"/>
      <c r="W5" s="73"/>
      <c r="X5" s="74" t="e">
        <f>AVERAGE(T4:X4)</f>
        <v>#DIV/0!</v>
      </c>
      <c r="Y5" s="72"/>
      <c r="Z5" s="73"/>
      <c r="AA5" s="73"/>
      <c r="AB5" s="73"/>
      <c r="AC5" s="74" t="e">
        <f>AVERAGE(Y4:AC4)</f>
        <v>#DIV/0!</v>
      </c>
      <c r="AD5" s="72"/>
      <c r="AE5" s="73"/>
      <c r="AF5" s="73"/>
      <c r="AG5" s="73"/>
      <c r="AH5" s="74" t="e">
        <f>AVERAGE(AD4:AH4)</f>
        <v>#DIV/0!</v>
      </c>
    </row>
    <row r="6" spans="1:34">
      <c r="A6" s="75"/>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row>
    <row r="7" spans="1:34">
      <c r="A7" s="77" t="s">
        <v>215</v>
      </c>
      <c r="B7" s="67" t="e">
        <f>'Data (DO NOT EDIT!!)'!E18</f>
        <v>#DIV/0!</v>
      </c>
      <c r="C7" s="68" t="e">
        <f>'Data (DO NOT EDIT!!)'!F18</f>
        <v>#DIV/0!</v>
      </c>
      <c r="D7" s="68" t="e">
        <f>'Data (DO NOT EDIT!!)'!G18</f>
        <v>#DIV/0!</v>
      </c>
      <c r="E7" s="68" t="e">
        <f>'Data (DO NOT EDIT!!)'!H18</f>
        <v>#DIV/0!</v>
      </c>
      <c r="F7" s="69" t="e">
        <f>'Data (DO NOT EDIT!!)'!I18</f>
        <v>#DIV/0!</v>
      </c>
      <c r="G7" s="70" t="e">
        <f>'Data (DO NOT EDIT!!)'!J18</f>
        <v>#DIV/0!</v>
      </c>
      <c r="H7" s="67" t="e">
        <f>'Data (DO NOT EDIT!!)'!K18</f>
        <v>#DIV/0!</v>
      </c>
      <c r="I7" s="68" t="e">
        <f>'Data (DO NOT EDIT!!)'!L18</f>
        <v>#DIV/0!</v>
      </c>
      <c r="J7" s="70" t="e">
        <f>'Data (DO NOT EDIT!!)'!M18</f>
        <v>#DIV/0!</v>
      </c>
      <c r="K7" s="68" t="e">
        <f>'Data (DO NOT EDIT!!)'!N18</f>
        <v>#DIV/0!</v>
      </c>
      <c r="L7" s="69" t="e">
        <f>'Data (DO NOT EDIT!!)'!O18</f>
        <v>#DIV/0!</v>
      </c>
      <c r="M7" s="70" t="e">
        <f>'Data (DO NOT EDIT!!)'!P18</f>
        <v>#DIV/0!</v>
      </c>
      <c r="N7" s="67" t="e">
        <f>'Data (DO NOT EDIT!!)'!Q18</f>
        <v>#DIV/0!</v>
      </c>
      <c r="O7" s="68" t="e">
        <f>'Data (DO NOT EDIT!!)'!R18</f>
        <v>#DIV/0!</v>
      </c>
      <c r="P7" s="68" t="e">
        <f>'Data (DO NOT EDIT!!)'!S18</f>
        <v>#DIV/0!</v>
      </c>
      <c r="Q7" s="68" t="e">
        <f>'Data (DO NOT EDIT!!)'!T18</f>
        <v>#DIV/0!</v>
      </c>
      <c r="R7" s="70" t="e">
        <f>'Data (DO NOT EDIT!!)'!U18</f>
        <v>#DIV/0!</v>
      </c>
      <c r="S7" s="70" t="e">
        <f>'Data (DO NOT EDIT!!)'!V18</f>
        <v>#DIV/0!</v>
      </c>
      <c r="T7" s="67" t="e">
        <f>'Data (DO NOT EDIT!!)'!W18</f>
        <v>#DIV/0!</v>
      </c>
      <c r="U7" s="68" t="e">
        <f>'Data (DO NOT EDIT!!)'!X18</f>
        <v>#DIV/0!</v>
      </c>
      <c r="V7" s="68" t="e">
        <f>'Data (DO NOT EDIT!!)'!Y18</f>
        <v>#DIV/0!</v>
      </c>
      <c r="W7" s="68" t="e">
        <f>'Data (DO NOT EDIT!!)'!Z18</f>
        <v>#DIV/0!</v>
      </c>
      <c r="X7" s="68" t="e">
        <f>'Data (DO NOT EDIT!!)'!AA18</f>
        <v>#DIV/0!</v>
      </c>
      <c r="Y7" s="67" t="e">
        <f>'Data (DO NOT EDIT!!)'!AB18</f>
        <v>#DIV/0!</v>
      </c>
      <c r="Z7" s="68" t="e">
        <f>'Data (DO NOT EDIT!!)'!AC18</f>
        <v>#DIV/0!</v>
      </c>
      <c r="AA7" s="68" t="e">
        <f>'Data (DO NOT EDIT!!)'!AD18</f>
        <v>#DIV/0!</v>
      </c>
      <c r="AB7" s="68" t="e">
        <f>'Data (DO NOT EDIT!!)'!AE18</f>
        <v>#DIV/0!</v>
      </c>
      <c r="AC7" s="70" t="e">
        <f>'Data (DO NOT EDIT!!)'!AF18</f>
        <v>#DIV/0!</v>
      </c>
      <c r="AD7" s="67" t="e">
        <f>'Data (DO NOT EDIT!!)'!AG18</f>
        <v>#DIV/0!</v>
      </c>
      <c r="AE7" s="68" t="e">
        <f>'Data (DO NOT EDIT!!)'!AH18</f>
        <v>#DIV/0!</v>
      </c>
      <c r="AF7" s="68" t="e">
        <f>'Data (DO NOT EDIT!!)'!AI18</f>
        <v>#DIV/0!</v>
      </c>
      <c r="AG7" s="68" t="e">
        <f>'Data (DO NOT EDIT!!)'!AJ18</f>
        <v>#DIV/0!</v>
      </c>
      <c r="AH7" s="70" t="e">
        <f>'Data (DO NOT EDIT!!)'!AK18</f>
        <v>#DIV/0!</v>
      </c>
    </row>
    <row r="8" spans="1:34" ht="15" thickBot="1">
      <c r="A8" s="78" t="s">
        <v>214</v>
      </c>
      <c r="B8" s="79"/>
      <c r="C8" s="80"/>
      <c r="D8" s="80"/>
      <c r="E8" s="80"/>
      <c r="F8" s="80"/>
      <c r="G8" s="74" t="e">
        <f>AVERAGE(B7:G7)</f>
        <v>#DIV/0!</v>
      </c>
      <c r="H8" s="79"/>
      <c r="I8" s="80"/>
      <c r="J8" s="74" t="e">
        <f>AVERAGE(H7:J7)</f>
        <v>#DIV/0!</v>
      </c>
      <c r="K8" s="80"/>
      <c r="L8" s="80"/>
      <c r="N8" s="79"/>
      <c r="O8" s="80"/>
      <c r="P8" s="80"/>
      <c r="Q8" s="80"/>
      <c r="R8" s="74" t="e">
        <f>AVERAGE(N7:R7)</f>
        <v>#DIV/0!</v>
      </c>
      <c r="T8" s="79"/>
      <c r="U8" s="80"/>
      <c r="V8" s="80"/>
      <c r="W8" s="80"/>
      <c r="X8" s="80" t="e">
        <f>AVERAGE(T7:X7)</f>
        <v>#DIV/0!</v>
      </c>
      <c r="Y8" s="79"/>
      <c r="Z8" s="80"/>
      <c r="AA8" s="80"/>
      <c r="AB8" s="80"/>
      <c r="AC8" s="74" t="e">
        <f>AVERAGE(Y7:AC7)</f>
        <v>#DIV/0!</v>
      </c>
      <c r="AD8" s="79"/>
      <c r="AE8" s="80"/>
      <c r="AF8" s="80"/>
      <c r="AG8" s="80"/>
      <c r="AH8" s="74" t="e">
        <f>AVERAGE(AD7:AH7)</f>
        <v>#DIV/0!</v>
      </c>
    </row>
  </sheetData>
  <conditionalFormatting sqref="B4:I4 K4:Q4 S4:AC4">
    <cfRule type="colorScale" priority="21">
      <colorScale>
        <cfvo type="min"/>
        <cfvo type="percentile" val="50"/>
        <cfvo type="max"/>
        <color rgb="FFF8696B"/>
        <color rgb="FFFFEB84"/>
        <color rgb="FF63BE7B"/>
      </colorScale>
    </cfRule>
  </conditionalFormatting>
  <conditionalFormatting sqref="J4">
    <cfRule type="colorScale" priority="4">
      <colorScale>
        <cfvo type="min"/>
        <cfvo type="percentile" val="50"/>
        <cfvo type="max"/>
        <color rgb="FFF8696B"/>
        <color rgb="FFFFEB84"/>
        <color rgb="FF63BE7B"/>
      </colorScale>
    </cfRule>
  </conditionalFormatting>
  <conditionalFormatting sqref="R4">
    <cfRule type="colorScale" priority="2">
      <colorScale>
        <cfvo type="min"/>
        <cfvo type="percentile" val="50"/>
        <cfvo type="max"/>
        <color rgb="FFF8696B"/>
        <color rgb="FFFFEB84"/>
        <color rgb="FF63BE7B"/>
      </colorScale>
    </cfRule>
  </conditionalFormatting>
  <conditionalFormatting sqref="J5 R5 AC5 G5">
    <cfRule type="colorScale" priority="14">
      <colorScale>
        <cfvo type="min"/>
        <cfvo type="percentile" val="50"/>
        <cfvo type="max"/>
        <color rgb="FFF8696B"/>
        <color rgb="FFFFEB84"/>
        <color rgb="FF63BE7B"/>
      </colorScale>
    </cfRule>
  </conditionalFormatting>
  <conditionalFormatting sqref="X5">
    <cfRule type="colorScale" priority="5">
      <colorScale>
        <cfvo type="min"/>
        <cfvo type="percentile" val="50"/>
        <cfvo type="max"/>
        <color rgb="FFF8696B"/>
        <color rgb="FFFFEB84"/>
        <color rgb="FF63BE7B"/>
      </colorScale>
    </cfRule>
  </conditionalFormatting>
  <conditionalFormatting sqref="AD4:AH4">
    <cfRule type="colorScale" priority="19">
      <colorScale>
        <cfvo type="min"/>
        <cfvo type="percentile" val="50"/>
        <cfvo type="max"/>
        <color rgb="FFF8696B"/>
        <color rgb="FFFFEB84"/>
        <color rgb="FF63BE7B"/>
      </colorScale>
    </cfRule>
  </conditionalFormatting>
  <conditionalFormatting sqref="AH5">
    <cfRule type="colorScale" priority="20">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
        <AccountId xsi:nil="true"/>
        <AccountType/>
      </UserInfo>
    </SharedWithUsers>
    <MediaLengthInSeconds xmlns="0b4895a4-109c-4734-9b5c-08e0b57b8d0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Create a new document." ma:contentTypeScope="" ma:versionID="06e8368c9e0cd5b7ab99b2732ac56e6f">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64facee55664a1f64dc35163d68f6f36"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45B4F2-3B30-4162-9FB0-76A0A8117CF5}"/>
</file>

<file path=customXml/itemProps2.xml><?xml version="1.0" encoding="utf-8"?>
<ds:datastoreItem xmlns:ds="http://schemas.openxmlformats.org/officeDocument/2006/customXml" ds:itemID="{4F1A376F-8D78-4D6B-A97F-509FECE9BB19}"/>
</file>

<file path=customXml/itemProps3.xml><?xml version="1.0" encoding="utf-8"?>
<ds:datastoreItem xmlns:ds="http://schemas.openxmlformats.org/officeDocument/2006/customXml" ds:itemID="{B931CFB9-F32C-49D5-B8D0-53B29C36566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Chantal</dc:creator>
  <cp:keywords/>
  <dc:description/>
  <cp:lastModifiedBy>Kimberley Ho</cp:lastModifiedBy>
  <cp:revision/>
  <dcterms:created xsi:type="dcterms:W3CDTF">2020-11-26T09:31:06Z</dcterms:created>
  <dcterms:modified xsi:type="dcterms:W3CDTF">2023-05-17T11:04:04Z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Order">
    <vt:r8>45359300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