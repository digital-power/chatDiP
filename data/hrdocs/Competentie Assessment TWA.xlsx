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https://digitalpower.sharepoint.com/sites/Organisatie/Gedeelde documenten/Development/Competence assessment/"/>
    </mc:Choice>
  </mc:AlternateContent>
  <xr:revisionPtr revIDLastSave="302" documentId="8_{4EF499F1-6BDE-4BD9-A196-A4A9FD81ABDC}" xr6:coauthVersionLast="47" xr6:coauthVersionMax="47" xr10:uidLastSave="{A199C9DF-BA51-4DE3-BC86-9764FCF2B79C}"/>
  <bookViews>
    <workbookView xWindow="-6900" yWindow="-21720" windowWidth="51840" windowHeight="21120" xr2:uid="{DDF627DC-5545-4019-A157-7A36937E0569}"/>
  </bookViews>
  <sheets>
    <sheet name="Vragenlijst" sheetId="1" r:id="rId1"/>
    <sheet name="Theorie" sheetId="4" r:id="rId2"/>
    <sheet name="Data (NIET BEWERKEN!!)" sheetId="3" r:id="rId3"/>
    <sheet name="Uitwerking (NIET BEWERKEN!!)" sheetId="2" r:id="rId4"/>
  </sheets>
  <definedNames>
    <definedName name="_xlnm.Print_Area" localSheetId="0">Vragenlijst!$A$12:$D$210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2" l="1"/>
  <c r="U5" i="3"/>
  <c r="R4" i="2" s="1"/>
  <c r="AK18" i="3"/>
  <c r="AH7" i="2" s="1"/>
  <c r="AJ18" i="3"/>
  <c r="AG7" i="2" s="1"/>
  <c r="AI18" i="3"/>
  <c r="AF7" i="2" s="1"/>
  <c r="AH18" i="3"/>
  <c r="AE7" i="2" s="1"/>
  <c r="AG18" i="3"/>
  <c r="AD7" i="2" s="1"/>
  <c r="AF18" i="3"/>
  <c r="AC7" i="2" s="1"/>
  <c r="AE18" i="3"/>
  <c r="AB7" i="2" s="1"/>
  <c r="AD18" i="3"/>
  <c r="AA7" i="2" s="1"/>
  <c r="AC18" i="3"/>
  <c r="Z7" i="2" s="1"/>
  <c r="AB18" i="3"/>
  <c r="Y7" i="2" s="1"/>
  <c r="AA18" i="3"/>
  <c r="X7" i="2" s="1"/>
  <c r="Z18" i="3"/>
  <c r="W7" i="2" s="1"/>
  <c r="Y18" i="3"/>
  <c r="V7" i="2" s="1"/>
  <c r="X18" i="3"/>
  <c r="U7" i="2" s="1"/>
  <c r="W18" i="3"/>
  <c r="T7" i="2" s="1"/>
  <c r="V18" i="3"/>
  <c r="S7" i="2" s="1"/>
  <c r="U18" i="3"/>
  <c r="R7" i="2" s="1"/>
  <c r="T18" i="3"/>
  <c r="Q7" i="2" s="1"/>
  <c r="S18" i="3"/>
  <c r="P7" i="2" s="1"/>
  <c r="R18" i="3"/>
  <c r="O7" i="2" s="1"/>
  <c r="Q18" i="3"/>
  <c r="N7" i="2" s="1"/>
  <c r="P18" i="3"/>
  <c r="M7" i="2" s="1"/>
  <c r="O18" i="3"/>
  <c r="L7" i="2" s="1"/>
  <c r="N18" i="3"/>
  <c r="K7" i="2" s="1"/>
  <c r="M18" i="3"/>
  <c r="J7" i="2" s="1"/>
  <c r="L18" i="3"/>
  <c r="I7" i="2" s="1"/>
  <c r="K18" i="3"/>
  <c r="H7" i="2" s="1"/>
  <c r="J8" i="2" s="1"/>
  <c r="J18" i="3"/>
  <c r="G7" i="2" s="1"/>
  <c r="I18" i="3"/>
  <c r="F7" i="2" s="1"/>
  <c r="H18" i="3"/>
  <c r="E7" i="2" s="1"/>
  <c r="G18" i="3"/>
  <c r="D7" i="2" s="1"/>
  <c r="F18" i="3"/>
  <c r="C7" i="2" s="1"/>
  <c r="E18" i="3"/>
  <c r="B7" i="2" s="1"/>
  <c r="E5" i="3"/>
  <c r="B4" i="2" s="1"/>
  <c r="G5" i="2" s="1"/>
  <c r="L5" i="3"/>
  <c r="I4" i="2" s="1"/>
  <c r="R5" i="3"/>
  <c r="O4" i="2" s="1"/>
  <c r="I1" i="2"/>
  <c r="I2" i="2"/>
  <c r="O1" i="2"/>
  <c r="O2" i="2"/>
  <c r="C27" i="3"/>
  <c r="C26" i="3"/>
  <c r="C25" i="3"/>
  <c r="C24" i="3"/>
  <c r="C23" i="3"/>
  <c r="C22" i="3"/>
  <c r="C21" i="3"/>
  <c r="C20" i="3"/>
  <c r="C19" i="3"/>
  <c r="C18" i="3"/>
  <c r="AK5" i="3"/>
  <c r="AH4" i="2" s="1"/>
  <c r="AJ5" i="3"/>
  <c r="AG4" i="2" s="1"/>
  <c r="AI5" i="3"/>
  <c r="AF4" i="2" s="1"/>
  <c r="AH5" i="3"/>
  <c r="AE4" i="2" s="1"/>
  <c r="AG5" i="3"/>
  <c r="AD4" i="2" s="1"/>
  <c r="AH5" i="2" s="1"/>
  <c r="AF5" i="3"/>
  <c r="AC4" i="2" s="1"/>
  <c r="AE5" i="3"/>
  <c r="AB4" i="2" s="1"/>
  <c r="AD5" i="3"/>
  <c r="AA4" i="2" s="1"/>
  <c r="AC5" i="3"/>
  <c r="Z4" i="2" s="1"/>
  <c r="AB5" i="3"/>
  <c r="Y4" i="2" s="1"/>
  <c r="AC5" i="2" s="1"/>
  <c r="AA5" i="3"/>
  <c r="X4" i="2" s="1"/>
  <c r="Z5" i="3"/>
  <c r="W4" i="2" s="1"/>
  <c r="Y5" i="3"/>
  <c r="V4" i="2" s="1"/>
  <c r="X5" i="3"/>
  <c r="U4" i="2" s="1"/>
  <c r="W5" i="3"/>
  <c r="T4" i="2" s="1"/>
  <c r="X5" i="2" s="1"/>
  <c r="V5" i="3"/>
  <c r="S4" i="2" s="1"/>
  <c r="T5" i="3"/>
  <c r="Q4" i="2" s="1"/>
  <c r="S5" i="3"/>
  <c r="P4" i="2" s="1"/>
  <c r="Q5" i="3"/>
  <c r="N4" i="2" s="1"/>
  <c r="P5" i="3"/>
  <c r="M4" i="2" s="1"/>
  <c r="O5" i="3"/>
  <c r="L4" i="2" s="1"/>
  <c r="N5" i="3"/>
  <c r="K4" i="2" s="1"/>
  <c r="M5" i="3"/>
  <c r="J4" i="2" s="1"/>
  <c r="K5" i="3"/>
  <c r="H4" i="2" s="1"/>
  <c r="J5" i="3"/>
  <c r="G4" i="2" s="1"/>
  <c r="I5" i="3"/>
  <c r="F4" i="2" s="1"/>
  <c r="H5" i="3"/>
  <c r="E4" i="2" s="1"/>
  <c r="G5" i="3"/>
  <c r="D4" i="2" s="1"/>
  <c r="F5" i="3"/>
  <c r="C4" i="2" s="1"/>
  <c r="R8" i="2" l="1"/>
  <c r="R5" i="2"/>
  <c r="X8" i="2"/>
  <c r="AC8" i="2"/>
  <c r="AH8" i="2"/>
  <c r="G8" i="2"/>
  <c r="AH2" i="2"/>
  <c r="AG2" i="2"/>
  <c r="AF2" i="2"/>
  <c r="AE2" i="2"/>
  <c r="AD2" i="2"/>
  <c r="AC2" i="2"/>
  <c r="AB2" i="2"/>
  <c r="AA2" i="2"/>
  <c r="Z2" i="2"/>
  <c r="Y2" i="2"/>
  <c r="X2" i="2"/>
  <c r="W2" i="2"/>
  <c r="V2" i="2"/>
  <c r="U2" i="2"/>
  <c r="T2" i="2"/>
  <c r="S2" i="2"/>
  <c r="R2" i="2"/>
  <c r="Q2" i="2"/>
  <c r="P2" i="2"/>
  <c r="N2" i="2"/>
  <c r="M2" i="2"/>
  <c r="L2" i="2"/>
  <c r="K2" i="2"/>
  <c r="J2" i="2"/>
  <c r="H2" i="2"/>
  <c r="G2" i="2"/>
  <c r="F2" i="2"/>
  <c r="E2" i="2"/>
  <c r="D2" i="2"/>
  <c r="C2" i="2"/>
  <c r="AH1" i="2"/>
  <c r="AG1" i="2"/>
  <c r="AF1" i="2"/>
  <c r="AE1" i="2"/>
  <c r="AD1" i="2"/>
  <c r="AC1" i="2"/>
  <c r="AB1" i="2"/>
  <c r="AA1" i="2"/>
  <c r="Z1" i="2"/>
  <c r="Y1" i="2"/>
  <c r="X1" i="2"/>
  <c r="W1" i="2"/>
  <c r="V1" i="2"/>
  <c r="U1" i="2"/>
  <c r="T1" i="2"/>
  <c r="S1" i="2"/>
  <c r="R1" i="2"/>
  <c r="Q1" i="2"/>
  <c r="P1" i="2"/>
  <c r="N1" i="2"/>
  <c r="M1" i="2"/>
  <c r="L1" i="2"/>
  <c r="K1" i="2"/>
  <c r="J1" i="2"/>
  <c r="H1" i="2"/>
  <c r="G1" i="2"/>
  <c r="F1" i="2"/>
  <c r="E1" i="2"/>
  <c r="D1" i="2"/>
  <c r="C1" i="2"/>
  <c r="B2" i="2"/>
  <c r="B1" i="2"/>
  <c r="A23" i="3"/>
  <c r="B23" i="3"/>
  <c r="D23" i="3"/>
  <c r="A24" i="3"/>
  <c r="B24" i="3"/>
  <c r="D24" i="3"/>
  <c r="A25" i="3"/>
  <c r="B25" i="3"/>
  <c r="D25" i="3"/>
  <c r="A26" i="3"/>
  <c r="B26" i="3"/>
  <c r="D26" i="3"/>
  <c r="A27" i="3"/>
  <c r="B27" i="3"/>
  <c r="D27" i="3"/>
  <c r="A22" i="3"/>
  <c r="B22" i="3"/>
  <c r="D22" i="3"/>
  <c r="B19" i="3" l="1"/>
  <c r="D19" i="3"/>
  <c r="B20" i="3"/>
  <c r="D20" i="3"/>
  <c r="B21" i="3"/>
  <c r="D21" i="3"/>
  <c r="D18" i="3"/>
  <c r="B18" i="3"/>
  <c r="A19" i="3" l="1"/>
  <c r="A20" i="3"/>
  <c r="A21" i="3"/>
  <c r="A18" i="3"/>
</calcChain>
</file>

<file path=xl/sharedStrings.xml><?xml version="1.0" encoding="utf-8"?>
<sst xmlns="http://schemas.openxmlformats.org/spreadsheetml/2006/main" count="373" uniqueCount="219">
  <si>
    <t>Vragenlijst</t>
  </si>
  <si>
    <t>Voorbeeld competentiegebied</t>
  </si>
  <si>
    <t>Vul per situatie de corresponderende invulwaarde in bij de best passende competentie beschrijving</t>
  </si>
  <si>
    <t>Invulinstructie</t>
  </si>
  <si>
    <t>Voorbeeld competentie</t>
  </si>
  <si>
    <t>Competentieniveau tot heden</t>
  </si>
  <si>
    <t>Wenselijk competentieniveau</t>
  </si>
  <si>
    <t>Invulwaarde</t>
  </si>
  <si>
    <t xml:space="preserve">
Ieder competentiegebied (6), te herkennen aan de verschillende kleuren, bestaat uit een aantal specifieke competenties.
Bepaal voor iedere competentie waar je ambitie (wenselijk competenieniveau) ligt en waar je nu staat (competentieniveau tot heden). 
- Doe dit door jezelf te scoren op de aangegeven schaal (zie voorbeeld)
- Indien je (nu) geen ambitie hebt op een competentie, hou je de score aan die weergeeft wat je competentieniveau tot heden is.
Bepaal bij iedere competentie welke beschrijvng het beste past voor de situatie (heden/ wens). Kijk niet alleen naar kennis en kunde, maar ook naar invloedssfeer en mate aan (persoonlijk) leiderschap in je rol bij de klant. 
Creeer je gewenste profiel aan de hand van je ambitie! En ontwikkel díe competenties die invulling geven aan het verwezenlijken van deze ambitie.
Het doel is niet om te toetsen of je wel/ geen goede consultant bent binnen dit domein. Het doel is wel dat je competenties ontwikkelt die bij jouw ambitie passen.
Wees realitisch bij het invullen. Alleen dan gebruik je het tot de volle potentie.
Succes met invullen!</t>
  </si>
  <si>
    <t>Voorbeeld competentie beschrijving: Acteert bij klanten op competentie A.</t>
  </si>
  <si>
    <t>Voorbeeld competentie beschrijving: Acteert bij klanten naast compententie A, ook op competentie B.</t>
  </si>
  <si>
    <t>Voorbeeld competentie beschrijving: Acteert bij klanten naast compententie A en B, ook op competentie C.</t>
  </si>
  <si>
    <t>Voorbeeld competentie beschrijving: Acteert bij klanten naast compententie A, B en C, ook op competentie D.</t>
  </si>
  <si>
    <t>Voorbeeld competentie beschrijving: Acteert bij klanten naast compententie A, B, C en D, ook op competentie E.</t>
  </si>
  <si>
    <t>Digital Power basis competenties</t>
  </si>
  <si>
    <t>Leren &amp; reflecteren</t>
  </si>
  <si>
    <t>Heeft een groei mindset</t>
  </si>
  <si>
    <t>Ontvangt positieve en opbouwende feedback met een open houding, is in staat dit voor zelfreflectie te gebruiken, het op te nemen in zijn/ haar eigen ontwikkeling en hier de nodige ontwikkeling op te ondernemen met trainingen en cursussen.</t>
  </si>
  <si>
    <t>Is naast bovengenoemde externe prikkel (feedback van anderen), in staat zelf kritisch te blijven op eigen kennis en ervaring en het eventueel ontbreken ervan. Neemt hierin de nodige acties en neemt daarin zelf de regie over de eigen ontwikkeling.</t>
  </si>
  <si>
    <t>Neemt een voorbeeldrol aan in bovengenoemde competenties en draagt deze eveneens actief uit vanuit de begeleidende rol naar juniors en mediors.</t>
  </si>
  <si>
    <t>Neemt een leidersrol aan in bovengenoemde competenties en draagt deze actief uit vanuit de begeleidersrol en/ of als organisatieverantwoordelijke.</t>
  </si>
  <si>
    <t>Ondersteunen &amp; samenwerken</t>
  </si>
  <si>
    <t>Heeft een collegiale mindset</t>
  </si>
  <si>
    <t>Is behulpzaam en betrokken naar zowel interne als externe collega's</t>
  </si>
  <si>
    <t xml:space="preserve">Zoekt actief de samenwerking op. Zowel binnen als buiten het eigen team waarin je (tijdelijk) onderdeel van uitmaakt. </t>
  </si>
  <si>
    <t>Neemt een voorbeeld rol in bij het zoeken naar samenwerking. Neemt de verantwoordelijkheid op zich om anderen te ondersteunen en de hulp te bieden om ervoor te zorgen dat teamleden zelfredzaam worden in hun werkzaamheden.</t>
  </si>
  <si>
    <t>…</t>
  </si>
  <si>
    <t>Ondernemen &amp; resultaatgericht</t>
  </si>
  <si>
    <t>Heeft een ondernemende &amp; resultaatgerichte mindset</t>
  </si>
  <si>
    <t xml:space="preserve">Gericht op effectief handelen en het op tijd opleveren van afgesproken werk, binnen de afgesproken tijd. </t>
  </si>
  <si>
    <t>Naast bovengenoemde competenties in staat kansen te herkennen en actief te handelen om klanten te helpen en/ of DiP verder te profilen. Is in staat klantdoelstellingen te vertalen naar concrete en praktische acties.</t>
  </si>
  <si>
    <t>Naast bovengenoemde competenties in staat commerciele activiteiten (zoals het uitbouwen van uren, additionele opdrachten genereren ed.) te verhogen. Ontplooit binnen DiP projecten en overziet en/ of begeleidt deze naar het beoogde resultaat.</t>
  </si>
  <si>
    <t>Naast bovengenoemde competenties verantwoordelijk voor de ontwikkeling van een specialisme binnen DiP. Incl. het monitoren en marktconform houden van dit specialisme.</t>
  </si>
  <si>
    <t>Klantgericht</t>
  </si>
  <si>
    <t>Heeft een klantgerichte mindset</t>
  </si>
  <si>
    <t>Herkent behoeften en belangen van de klant; stelt zich hulpvaardig op en houdt in het handelen rekening met de behoeften en belangen van de klant.</t>
  </si>
  <si>
    <t>Denkt naast bovengenoemde competenties, actief mee met de klant. Deelt inzichten in de klantorganisatie binnen DiP om commerciële  activiteiten verder uit te kunnen breiden. Streeft daarin actief naar verhoging van klanttevredenheid en kwaliteitsverbetering.</t>
  </si>
  <si>
    <t>Stimuleert en faciliteert naast bovengenoemde competenties, ook anderen om actief klantgericht te opereren. Is in staat klantactiviteit uit te breiden d.m.v. expertise. Overtreft de verwachtingen van de klant.</t>
  </si>
  <si>
    <t>Draagt, naast bovengenoemde competenties, de verantwoordelijkheid voor een klantgerichte aanpak. Zet zich in voor het structureel hoogwaardig houden van de klantgerichtheid.</t>
  </si>
  <si>
    <t>Kennisdeling</t>
  </si>
  <si>
    <t>Neemt actief kennis op uit de DiP organisatie.</t>
  </si>
  <si>
    <t>Neemt kennis op uit de DiP organisatie en deelt actief eigen ervaringen met collega's.</t>
  </si>
  <si>
    <t>Deelt, naast bovengenoemde, actief eigen ervaringen en kennis in DiP meet-ups, peergroups en het geven van trainingen, etc. Draagt kennis eveneens extern uit in meet-ups, conferenties, trainingen, blogs, inspiratiesessies, etc.</t>
  </si>
  <si>
    <t>Is naast bovengenoemde activiteiten, door verworven kennis en ervaring een vraagbaak voor consultants in zijn/ haar specialisme. En draagt bij aan de teamspirit.</t>
  </si>
  <si>
    <t>Draagt, naast bovengenoemde activiteiten, eveneens de verantwoordelijkheid over het niveau van kennisdeling. Zorgt ervoor dat kennisdeling op peil blijft qua inhoud en frequentie.</t>
  </si>
  <si>
    <t>Coaching &amp; begeleiding</t>
  </si>
  <si>
    <t>Heeft nooit (in)formeel coaching of begeleiding gegeven op professioneel gebied</t>
  </si>
  <si>
    <t>Heeft één of meerdere trainingen/ cursussen gevolgd over coachen en/ of begeleiden op professioneel gebied.</t>
  </si>
  <si>
    <t>Heeft (binnen DiP) één of meerdere collega's informeel gecoached en/ of begeleidt op professioneel gebied.</t>
  </si>
  <si>
    <t>Begeleidt (binnen DiP) formeel één of meerdere junior/ medior consultants op professioneel gebied in hun ontwikkeling.</t>
  </si>
  <si>
    <t>Begeleidt (binnen DiP) formeel meer dan 4 jaar één of meerdere junior/ medior/ senior consultants op professioeel gebied in hun ontwikkeling.</t>
  </si>
  <si>
    <r>
      <t xml:space="preserve">TWA domein competenties </t>
    </r>
    <r>
      <rPr>
        <b/>
        <sz val="10"/>
        <color theme="0"/>
        <rFont val="Calibri"/>
        <family val="2"/>
        <scheme val="minor"/>
      </rPr>
      <t xml:space="preserve">* All skills described for a given seniority level also include description of previous seniority level.   </t>
    </r>
  </si>
  <si>
    <t>Communication developers/ analysts</t>
  </si>
  <si>
    <t>Being able to clarify the question behind the question.</t>
  </si>
  <si>
    <t>Being able to communicate with developers. Being able to manage expectations</t>
  </si>
  <si>
    <t>Being able to simplify technical content and explain this to the analysts/business stakeholders.</t>
  </si>
  <si>
    <t>Being able to guide the client into chosing the best possible technical solution.</t>
  </si>
  <si>
    <t>Is able to lead a team of technical web analist and leads the client towards a robust setup which is viable for the future. Has indepth knowledge of the tooling and able to provide solutions to the team.</t>
  </si>
  <si>
    <t xml:space="preserve">Trends / new developments
(i.e. ITP , GDPR, GA4, eventbasedtracking, CDP) </t>
  </si>
  <si>
    <t>Not expected at starter level.</t>
  </si>
  <si>
    <t>Subscribed to sources of knowledge to get input on developments in the field. Is able to adopt and learn about new developments with help of a more senior consultant(s) and notifying the client of upcomming changes.</t>
  </si>
  <si>
    <t xml:space="preserve">Has a basic understanding of the current developments that are happening in the business and is able to notify the client and implement the solutions that are adviced. </t>
  </si>
  <si>
    <t xml:space="preserve">Has indepth knowledge on current developments, is able to provide advice to the client, and is able to implement the recommended solution. </t>
  </si>
  <si>
    <t>Is able to proactively lead big clients through upcomming developments in the market and is able to sufficiently spot the difficulties and impact on the business. 
Has a level of forsight into the future and can suggest pre-emptive action against predicted events in the future (and can justify those actions).</t>
  </si>
  <si>
    <t>Requirements</t>
  </si>
  <si>
    <t xml:space="preserve">Able to listen in on requirements gathering sessions and grow from shadowing other consultants. </t>
  </si>
  <si>
    <t xml:space="preserve">Able to gather basic level requirements after internal briefing. Is able, with help, to translate these requirements into an implementation, and provide aftercare with guidance. </t>
  </si>
  <si>
    <t>Able to manage the entire flow from requirements gathering, to implementation, to aftercare with guidance.</t>
  </si>
  <si>
    <t>Able to envision how the requirements would fit into the existing system and lead the client towards what will work best.  Being able to weight the requirements to the effort and business impact. Is able to guide starters and juniors.</t>
  </si>
  <si>
    <t>Able to delegate requirements gathering to others so that one with less seniority can gather requirements to a higher seniority level without their direct presence. aware of the impact it has troughout the business (lines) and is able to bring these together.</t>
  </si>
  <si>
    <r>
      <t xml:space="preserve">TWA Hardskills </t>
    </r>
    <r>
      <rPr>
        <b/>
        <sz val="10"/>
        <color theme="0"/>
        <rFont val="Calibri"/>
        <family val="2"/>
        <scheme val="minor"/>
      </rPr>
      <t xml:space="preserve">* All skills described for a given seniority level also include description of previous seniority level.   </t>
    </r>
  </si>
  <si>
    <t>Analytics (management/ admin) knowledge</t>
  </si>
  <si>
    <t>Knows which analytics tools exist in the marketplace, knows what analytics tools are used for, and has a basic understanding of at least one analytics tool.</t>
  </si>
  <si>
    <t>Basic experience with analytics tools and has practical experience with creating dashboard/analyses and  some basic knowledge of changing settings in an account. Is aware of basic concepts of data processing such as tracking codes.</t>
  </si>
  <si>
    <t xml:space="preserve">Knowledge on how to configure / set up an account (from scratch) and other admin functionalities such as;
processing rules, 
classifications,  
ip hashing, 
filters and extensions,
plugin/extensions.
 </t>
  </si>
  <si>
    <t>Is able to explain the difference between analytics tools and is capable to give advice on the best possible option, and is aware of different trends in the market.</t>
  </si>
  <si>
    <t>Is able to lead the client through difficult strategic decision making processes regarding analytics tools, and helps DiP and client to increase the knowledge regarding the subject.</t>
  </si>
  <si>
    <t>Tag management systems</t>
  </si>
  <si>
    <t>Basic understanding of what a TMS is and what it is used for.</t>
  </si>
  <si>
    <t>Basic experience with at least one TMS. Knows about data layers, load rules, tags and is able to configure easy tags.</t>
  </si>
  <si>
    <t>Basic knowledge of libraries, load rules, publishing process. Is able to create tags and publish new functionality. Is able to support others with TMS.</t>
  </si>
  <si>
    <t>Is able to work with multiple TMS, create tags, publish. Solid knowledge of possibilities of TMS. Is able to teach others with TMS. Knows what happens 'under the hood' and knows about best practice.</t>
  </si>
  <si>
    <t xml:space="preserve">Is able to lead the clients through difficult strategic decision making processes regarding TMS tools, and helps DiP and client to increase the knowledge regarding the subject. </t>
  </si>
  <si>
    <t>Data structures/ tagplans/ datalayer</t>
  </si>
  <si>
    <t>Basic understanding of what should be specified in a tagplan (events, variables).</t>
  </si>
  <si>
    <t>Understanding of how to read/document tag plans. Able to define basic analytical data models with adequate guidance.</t>
  </si>
  <si>
    <t xml:space="preserve">Able to create data models and document them for developers/clients with a small amount of guidance. </t>
  </si>
  <si>
    <t>Able to weigh the pros and cons of different data models with the clients needs/existing architecture. Takes input from team into account but able to fully defend ideas.</t>
  </si>
  <si>
    <t>Debugging</t>
  </si>
  <si>
    <t>Is able to use TagBird.</t>
  </si>
  <si>
    <t xml:space="preserve">Is able to use developer console/extensions to test whether solution is working as expected (console,network, cookies). </t>
  </si>
  <si>
    <t>Understands how &amp; when to use conditional breakpoints
Apply local changes for testing purposes. Use javascript code in the console.</t>
  </si>
  <si>
    <t xml:space="preserve">Can debug issues that are in the "timing issue" category. Can debug loops and functions and is able to use a proxy/local overrides for testing. </t>
  </si>
  <si>
    <t>Is able to teach others on most effective ways to debug. Knows of a great number of possibilities.</t>
  </si>
  <si>
    <t>Programming</t>
  </si>
  <si>
    <t>Effort to learn.</t>
  </si>
  <si>
    <t>Can re-use existing code / assert if code results in expected end results. Understands basics of javascript, html, css.</t>
  </si>
  <si>
    <t>Can assert if own code works &amp; has no obvious side effects.</t>
  </si>
  <si>
    <t>Can review and provide constructive feedback on existing code.</t>
  </si>
  <si>
    <t>Is able to help others improve their skill level by coaching/training.</t>
  </si>
  <si>
    <t>Basis consultancy competenties</t>
  </si>
  <si>
    <t>Adviseren</t>
  </si>
  <si>
    <t>Geeft advies over vragen vanuit de directe business (stakeholders). Veelal op operationeel gebied.</t>
  </si>
  <si>
    <t>Geeft naast bovengenoemde competenties, pro-actief advies over aanverwante analyses en inzichten. Is in staat inzichten te bezien vanuit andere perspectieven dan de eigen business (stakeholders) en betrekt deze in het proces.</t>
  </si>
  <si>
    <t>Geeft naast bovengenoemde competenties, advies met een organisatie brede impact.</t>
  </si>
  <si>
    <t>Geeft naast bovengenoemde competenties, advies op management- en/ of organisatieniveau.</t>
  </si>
  <si>
    <t>Doortastend &amp; probleemoplossend</t>
  </si>
  <si>
    <t>Heeft een nieuwsgierige en pragmatische mindset.</t>
  </si>
  <si>
    <t>In staat binnen je afdeling/ project kritische vragen te stellen. In staat tot een passende oplossing te komen voor de eigen business (stakeholders).</t>
  </si>
  <si>
    <t>Naast bovengenoemde competenties in staat om tot de kern van het probleem te komen met een afdelings- en/ of opdrachtoverstijgende impact. In staat dit te adresseren en tot een oplossing te komen die breder gedragen wordt.</t>
  </si>
  <si>
    <t>Naast bovengenoemde competenties in staat tot de kern van het probleem te komen met een organisatie brede impact.</t>
  </si>
  <si>
    <t>Naast bovengenoemde competenties in staat tot de kern van het probleem te komen met een organisatie brede impact. In staat dit te adresseren en tot een oplossing te komen die orgaisatiebreed gedragen wordt.</t>
  </si>
  <si>
    <t>Interpersoonlijk communicatie</t>
  </si>
  <si>
    <t>Heeft een toegankelijke houding.</t>
  </si>
  <si>
    <t>Heeft een zichtbare en toegankelijke houding. Kan goed luisteren en terugkoppelen en kan zich goed in anderen verplaatsen.</t>
  </si>
  <si>
    <t>Stelt zich naast bovengenoemde competenties assertief op en hanteert een gezonde belans tussen meebewegen met de klant en het bewaken van de eigen grenzen.</t>
  </si>
  <si>
    <t>Bevorderd, naast bovengenoemde competenties, actief de onderlinge communicatie tussen jezelf en je opdrachtgever(s). En daarbij ook met de team(s) en afdeling(en) waarmee word samengewerkt.</t>
  </si>
  <si>
    <t>Reikt, naast bovengenoemde competenties, actief handvatten en middelen aan om de onderlinge communicatie tussen teams en afdelingen vorm te geven en te bevorderen.</t>
  </si>
  <si>
    <t>Verwachtingsmanagement</t>
  </si>
  <si>
    <t>Toetst verwachtingen die worden gesteld aan zijn/ haar werk; manier van werken, scope, doel, tijdslijnen, inhoud, etc.</t>
  </si>
  <si>
    <t>Inventariseert naast bovengenoemde, de achterliggende belangen. Neemt deze informatie mee bij het stellen van prioriteiten en communiceert deze pro-actief.</t>
  </si>
  <si>
    <t>Benoemt en bespreekt verwachtingen vanuit persoonlijke titel en/ of DiP belangen en neemt hierin het iniatief bij het vaststellen van samenwerking, scope, prioriteiten, doel, tijdslijnen, inhoud, etc.</t>
  </si>
  <si>
    <t>Stelt verwachtingen en stuurt er actief op aan dat belangen en verwachtingen van alle betrokkenen uitgesproken en zo ver als mogelijka afgestemt worden.</t>
  </si>
  <si>
    <t>Schriftelijke en mondelinge communicatie (presentatie, voorstel, resultaat, advies)</t>
  </si>
  <si>
    <t>Spreekt én schrijft begrijpelijk en correct Nederlands en Engels voor een zakelijke doelgroep. Is goed verstaanbaar in zowel volume als uitspraak.</t>
  </si>
  <si>
    <t>Stemt, naast bovengenoemde competenties, de spreek- en/ of schrijfstijl af op het beoogd doel of de doelgroep. Is daarin helder en to-the-point uit, zodat de boodschap goed begrepen wordt. Toetst of de boodschap op een juiste wijze is overgekomen.</t>
  </si>
  <si>
    <t>Is naast bovengenoemde competenties in staat complexe onderwerpen begrijpelijk te maken voor anderen en stelt daarin een samenwerkende houding aan de dag.</t>
  </si>
  <si>
    <t>Past naast bovengenoemde competenties situationele communicatie toe. Je geeft impliciete sturing aan de uitkomst van de mondelinge transactie (presentatie, bila, gesprek, advies, etc.)</t>
  </si>
  <si>
    <t>Past naast bovengenoemde competenties, situationeel leiderschap toe waarin impliciete sturing overgaat naar expliciete sturing. Ofwel leiderschap.</t>
  </si>
  <si>
    <t>Business competenties</t>
  </si>
  <si>
    <t>Organisatie- en managementidentificatie</t>
  </si>
  <si>
    <t>Heeft geen/ weinig kennis van de organisatiestructuur bij een klant.</t>
  </si>
  <si>
    <t>Heeft kennis van de organisatiestructuur bij een klant.</t>
  </si>
  <si>
    <t>Heeft gevoel voor verhoudingen binnen de organisatie. Onderkent belangen van stakeholders.</t>
  </si>
  <si>
    <t>Heeft gevoel voor verhoudingen binnen de organisatie. Onderkent belangen van stakeholders en overziet conquenties van aanpak en legt verbanden met andere stakeholders en/ of vraagstukken.</t>
  </si>
  <si>
    <t>Wordt als Business Analist ingezet</t>
  </si>
  <si>
    <t>Strategische conceptualisatie</t>
  </si>
  <si>
    <t>Is in staat operationele strategie en doelen te herkennen</t>
  </si>
  <si>
    <t>Is in staat operationele strategie en doelen aan elkaar te verbinden en te conceptualiseren</t>
  </si>
  <si>
    <t>Is in staat strategie en doelen van management- en operatie aan elkaar te verbinden en te conceptualiseren</t>
  </si>
  <si>
    <t>Is in staat strategie en doelen van directie-, management - en operatie aan elkaar te verbinden en te conceptualiseren</t>
  </si>
  <si>
    <t>Wordt als Strateeg ingezet</t>
  </si>
  <si>
    <t>Projectmanagement</t>
  </si>
  <si>
    <t>Heeft opdrachtgever en/ of stakeholders op de hoogte gehouden van voortgang op de eigen opdracht- of projectplanning</t>
  </si>
  <si>
    <t>Heeft opdrachtgever én stakeholders op de hoogte gehouden van voortgang op de project- of opdrachtplanning</t>
  </si>
  <si>
    <t>Heeft één of meerdere projecten gemanaged, zonder hierbij gebruik te maken van een methodische aanpak</t>
  </si>
  <si>
    <t>Heeft één of meerdere projecten gemanaged a.d.h.v. projectmanagement methodes als (Agile, Scrum, Kanban, Lean, Six Sigma, Prince2, etc.)</t>
  </si>
  <si>
    <t>Wordt als Projectmanager/ Productowner ingezet</t>
  </si>
  <si>
    <t>Verandermanagement (richting datagedreven werken)</t>
  </si>
  <si>
    <t>Heeft nog nooit een verandertraject richting datagedreven werken meegemaakt</t>
  </si>
  <si>
    <t>Heeft een actief meewerkende rol gespeeld bij één of meerdere verandertrajecten richting datagedreven werken</t>
  </si>
  <si>
    <t>Heeft één of meerdere verandertrajecten geleidt richting datagedreven werken, zonder hierbij gebruik te maken van een methodische aanpak</t>
  </si>
  <si>
    <t>Heeft één of meerdere verandertrajecten geleidt richting datagedreven werken en hierbij gebruik gemaakt van een methodische aanpak</t>
  </si>
  <si>
    <t>Wordt als Verandermanager ingezet</t>
  </si>
  <si>
    <t>Leidinggeven</t>
  </si>
  <si>
    <t>Heeft nooit (in)formeel leiding gegeven op het gebied van data</t>
  </si>
  <si>
    <t>Heeft meegewerkt aan opdrachten en/ of projecten op het gebied van data</t>
  </si>
  <si>
    <t>Herkent strategische kansen op het gebied van data en heeft hierin  actief meegewerkt als adviseur</t>
  </si>
  <si>
    <t>Toont leiderschap en heeft bij een of meerdere opdrachten als drijvende kracht achter strategische keuzes op het gebied van data geacteert</t>
  </si>
  <si>
    <t>Heeft vanuit een leidinggevende positie bij een of meerdere opdrachten als drijvende kracht achter strategische keuzes op het gebied van data geacteert</t>
  </si>
  <si>
    <t xml:space="preserve"> </t>
  </si>
  <si>
    <t>Expert consultancy competenties</t>
  </si>
  <si>
    <t>Situationele communicatie</t>
  </si>
  <si>
    <t>Hanteert een communicatiestijl die het dichtste bij de eigen persoon past.</t>
  </si>
  <si>
    <t>Is zich bewust van de eigen communicatiestijl en het effect op gesprekspartners.</t>
  </si>
  <si>
    <t xml:space="preserve">Heeft naast bovengenoemde, kennis van de verschillende situaties en bijbehorende communicatiestijlen en gebruikt deze kennis actief omde eigen communicatie op af te stemmen. </t>
  </si>
  <si>
    <t>Gebruikt naast bovengenoemde de situationele communicatie, situationeel leiderschap om sturing aan te brengen..</t>
  </si>
  <si>
    <t>Gebruikt naast bovengenoemde , situationeel leiderschap bij het leidinggeven.</t>
  </si>
  <si>
    <t>Doelgerichte &amp; effectieve communicatie</t>
  </si>
  <si>
    <t>-</t>
  </si>
  <si>
    <t>Communiceert op gestructureerde wijze en vermijd vakjargon.</t>
  </si>
  <si>
    <t>Communiceert naast bovengenoemde op doelgerichte wijze, zodat vooraf en/ of snel voor (alle) gesprekspartners en/ of deelnemers binnen het project duidelijk is waar het over gaat en wat daarin van hen verwacht wordt.</t>
  </si>
  <si>
    <t xml:space="preserve">Gebruikt bovengenoemde competenties op afdelingsoverstijgend niveau. Weet daarin gesprekspartners in het beoogde doel mee te nemen d.m.v. pakkende voorbeelden, prikkelende stellingen en het schetsen van (implicatie) scenario's. </t>
  </si>
  <si>
    <t>Gebruikt bovengenoemde competenties op organisatie niveau.</t>
  </si>
  <si>
    <t>Besluitvaardigheid</t>
  </si>
  <si>
    <t>Zelfstandig, weloverwogen beslissingen genomen en daar verantwoording voor gedragen.</t>
  </si>
  <si>
    <t>Naast bovengenoemde, beslissingen genomen die moed en durf benodigde vanwege de moeilijke aard van de beslissing, binnen je project- of opdracht.</t>
  </si>
  <si>
    <t>Naast bovengenoemde setting, moeilijke beslissingen moeten nemen die project- of opdrachtoverstijgende impact hebben gehad.</t>
  </si>
  <si>
    <t>Naast bovengenoemde setting, moeilijke beslissingen moeten nemen die afdelingsoverstijgende impact hebben gehad.</t>
  </si>
  <si>
    <t>Naast bovengenoemde setting, moeilijke beslissingen moeten nemen die organisatiebrede impact hebben gehad.</t>
  </si>
  <si>
    <t>Overtuigen &amp; beinvloeden</t>
  </si>
  <si>
    <t>Heeft vertrouwen in eigen kunde en beoordelingsvermogen bij het uiteenzetten van bevindingen en adviezen.</t>
  </si>
  <si>
    <t>Acteert naast bovengenoemde competenties, met zelfvertrouwen bij het uiteenzetten van de (eigen) standpunten en adviezen. Luistert en zoekt aansluiting om een win-win situatie te creëeren.</t>
  </si>
  <si>
    <t>Maakt naast bovengenoemde competenties, bij het overtuigen en beinvloeden actief gebruik van prikkelende stellingen en illustraties om stellingname te bevorderen. Is in staat communicatie- en gedragsstijlen te herkennen en de eigen communicatie- en/ of gedragsstijl daarop aan te passen.</t>
  </si>
  <si>
    <t>Maakt van bovengenoemde competenties gebruik om effectief richting en leiding te geven in een bredere setting (team, afdeling, organisatie, etc.)</t>
  </si>
  <si>
    <t>Opbouwende (negatieve) feedback &amp; slecht nieuws gesprekken</t>
  </si>
  <si>
    <t>Heeft, indien gevraagd, opbouwende feedback gegeven.</t>
  </si>
  <si>
    <t>Heeft, naast bovengenoemde, ongevraagd opbouwende feedback gegeven bij een gelijke machtsverhouding (peers/ consultants).</t>
  </si>
  <si>
    <t>Heeft, naast bovengenoemde, ongevraagd opbouwende feedback gegeven in een ongelijke machtsverhouding (leidinggevende/ opdrachtgever) en deze om weten te buigen naar een toekomstbestendige situatie en/ of relatie.</t>
  </si>
  <si>
    <t>Heeft, naast bovengenoemde, slecht nieuws gesprek gevoerd vanuit de begeleidend consultant/ leidinggevende rol, daarin stellingname moeten nemen en om moeten buigen naar een toekomstbestendige situatie.</t>
  </si>
  <si>
    <t>Heeft, naast bovengenoemde, slecht nieuws gesprek gevoerd vanuit de begeleidend consultant/ leidinggevende rol, daarin stellingname moeten nemen en een negatieve beslissing moeten nemen.</t>
  </si>
  <si>
    <t>Digital Power Competentiehuis</t>
  </si>
  <si>
    <t>Competentiegebieden</t>
  </si>
  <si>
    <t>Digital Power Basic Skills</t>
  </si>
  <si>
    <t>Domein Skills</t>
  </si>
  <si>
    <t>Hardskills</t>
  </si>
  <si>
    <t>Basic Consultancy Skills</t>
  </si>
  <si>
    <t>Business Skills</t>
  </si>
  <si>
    <t>Expert Consultancy Skills</t>
  </si>
  <si>
    <t>Tagging trends in domain</t>
  </si>
  <si>
    <t>Tag management</t>
  </si>
  <si>
    <t>Data structures, tagplan, datalayer</t>
  </si>
  <si>
    <t>Verwachtings-management</t>
  </si>
  <si>
    <t>Schriftelijke en mondelinge communicatie</t>
  </si>
  <si>
    <t>Organisatie- en management identificatie</t>
  </si>
  <si>
    <t>Verandermanagement</t>
  </si>
  <si>
    <t>Opbouwende feedback &amp; slecht nieuws gesprekken</t>
  </si>
  <si>
    <t>ID</t>
  </si>
  <si>
    <t>Naam</t>
  </si>
  <si>
    <t>Functie</t>
  </si>
  <si>
    <t>Specialisme</t>
  </si>
  <si>
    <t>Huidig</t>
  </si>
  <si>
    <t>Jijzelf (verplicht)</t>
  </si>
  <si>
    <t>Feedback gever 1 (optioneel)</t>
  </si>
  <si>
    <t>Feedback gever 2 (optioneel)</t>
  </si>
  <si>
    <t>Ambitie</t>
  </si>
  <si>
    <t>Score op huidig situatie</t>
  </si>
  <si>
    <t>Totaal Gem</t>
  </si>
  <si>
    <t>Score op ambitie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</si>
</sst>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sz val="8"/>
      <name val="Calibri"/>
      <family val="2"/>
      <scheme val="minor"/>
    </font>
    <font>
      <b/>
      <sz val="16"/>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sz val="11"/>
      <color theme="1"/>
      <name val="Calibri Light"/>
      <family val="2"/>
      <scheme val="major"/>
    </font>
    <font>
      <b/>
      <sz val="20"/>
      <color theme="1"/>
      <name val="Calibri"/>
      <family val="2"/>
      <scheme val="minor"/>
    </font>
    <font>
      <i/>
      <sz val="11"/>
      <color theme="0" tint="-0.34998626667073579"/>
      <name val="Calibri"/>
      <family val="2"/>
      <scheme val="minor"/>
    </font>
    <font>
      <b/>
      <sz val="11"/>
      <color theme="0"/>
      <name val="Calibri"/>
      <family val="2"/>
      <scheme val="minor"/>
    </font>
    <font>
      <b/>
      <sz val="18"/>
      <color theme="1"/>
      <name val="Calibri"/>
      <family val="2"/>
      <scheme val="minor"/>
    </font>
    <font>
      <b/>
      <sz val="18"/>
      <color theme="0"/>
      <name val="Calibri"/>
      <family val="2"/>
      <scheme val="minor"/>
    </font>
    <font>
      <u/>
      <sz val="11"/>
      <color theme="1"/>
      <name val="Calibri"/>
      <family val="2"/>
      <scheme val="minor"/>
    </font>
    <font>
      <b/>
      <sz val="11"/>
      <name val="Calibri"/>
      <family val="2"/>
      <scheme val="minor"/>
    </font>
    <font>
      <b/>
      <i/>
      <sz val="11"/>
      <color theme="1"/>
      <name val="Calibri"/>
      <family val="2"/>
      <scheme val="minor"/>
    </font>
    <font>
      <b/>
      <i/>
      <sz val="18"/>
      <color theme="1"/>
      <name val="Calibri"/>
      <family val="2"/>
      <scheme val="minor"/>
    </font>
    <font>
      <b/>
      <sz val="10"/>
      <color theme="0"/>
      <name val="Calibri"/>
      <family val="2"/>
      <scheme val="minor"/>
    </font>
    <font>
      <i/>
      <strike/>
      <sz val="11"/>
      <color rgb="FFFF000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5"/>
        <bgColor indexed="64"/>
      </patternFill>
    </fill>
    <fill>
      <patternFill patternType="solid">
        <fgColor rgb="FFFF0000"/>
        <bgColor indexed="64"/>
      </patternFill>
    </fill>
    <fill>
      <patternFill patternType="solid">
        <fgColor theme="0"/>
        <bgColor indexed="64"/>
      </patternFill>
    </fill>
    <fill>
      <patternFill patternType="solid">
        <fgColor rgb="FF5A8A26"/>
        <bgColor indexed="64"/>
      </patternFill>
    </fill>
    <fill>
      <patternFill patternType="solid">
        <fgColor theme="7"/>
        <bgColor indexed="64"/>
      </patternFill>
    </fill>
    <fill>
      <patternFill patternType="solid">
        <fgColor rgb="FFC0E399"/>
        <bgColor indexed="64"/>
      </patternFill>
    </fill>
    <fill>
      <patternFill patternType="solid">
        <fgColor rgb="FF00B0F0"/>
        <bgColor indexed="64"/>
      </patternFill>
    </fill>
    <fill>
      <patternFill patternType="solid">
        <fgColor rgb="FF43661C"/>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right/>
      <top style="hair">
        <color indexed="64"/>
      </top>
      <bottom/>
      <diagonal/>
    </border>
    <border>
      <left/>
      <right style="medium">
        <color indexed="64"/>
      </right>
      <top style="thin">
        <color indexed="64"/>
      </top>
      <bottom style="medium">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hair">
        <color indexed="64"/>
      </top>
      <bottom style="hair">
        <color indexed="64"/>
      </bottom>
      <diagonal/>
    </border>
    <border>
      <left style="hair">
        <color indexed="64"/>
      </left>
      <right style="hair">
        <color indexed="64"/>
      </right>
      <top style="thin">
        <color indexed="64"/>
      </top>
      <bottom/>
      <diagonal/>
    </border>
    <border>
      <left style="medium">
        <color indexed="64"/>
      </left>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diagonalUp="1" diagonalDown="1">
      <left style="thin">
        <color indexed="64"/>
      </left>
      <right style="thin">
        <color indexed="64"/>
      </right>
      <top style="thin">
        <color indexed="64"/>
      </top>
      <bottom style="thin">
        <color indexed="64"/>
      </bottom>
      <diagonal style="thin">
        <color indexed="64"/>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style="hair">
        <color indexed="64"/>
      </left>
      <right style="hair">
        <color indexed="64"/>
      </right>
      <top style="thin">
        <color indexed="64"/>
      </top>
      <bottom style="hair">
        <color indexed="64"/>
      </bottom>
      <diagonal style="thin">
        <color indexed="64"/>
      </diagonal>
    </border>
    <border diagonalUp="1" diagonalDown="1">
      <left style="hair">
        <color indexed="64"/>
      </left>
      <right/>
      <top style="thin">
        <color indexed="64"/>
      </top>
      <bottom style="hair">
        <color indexed="64"/>
      </bottom>
      <diagonal style="thin">
        <color indexed="64"/>
      </diagonal>
    </border>
    <border diagonalUp="1" diagonalDown="1">
      <left style="hair">
        <color indexed="64"/>
      </left>
      <right style="medium">
        <color indexed="64"/>
      </right>
      <top style="thin">
        <color indexed="64"/>
      </top>
      <bottom style="hair">
        <color indexed="64"/>
      </bottom>
      <diagonal style="thin">
        <color indexed="64"/>
      </diagonal>
    </border>
    <border diagonalUp="1" diagonalDown="1">
      <left/>
      <right style="hair">
        <color indexed="64"/>
      </right>
      <top style="hair">
        <color indexed="64"/>
      </top>
      <bottom style="hair">
        <color indexed="64"/>
      </bottom>
      <diagonal style="thin">
        <color indexed="64"/>
      </diagonal>
    </border>
    <border diagonalUp="1" diagonalDown="1">
      <left/>
      <right/>
      <top style="hair">
        <color indexed="64"/>
      </top>
      <bottom style="hair">
        <color indexed="64"/>
      </bottom>
      <diagonal style="thin">
        <color indexed="64"/>
      </diagonal>
    </border>
    <border diagonalUp="1" diagonalDown="1">
      <left style="hair">
        <color indexed="64"/>
      </left>
      <right style="medium">
        <color indexed="64"/>
      </right>
      <top style="hair">
        <color indexed="64"/>
      </top>
      <bottom style="hair">
        <color indexed="64"/>
      </bottom>
      <diagonal style="thin">
        <color indexed="64"/>
      </diagonal>
    </border>
    <border diagonalUp="1" diagonalDown="1">
      <left style="hair">
        <color indexed="64"/>
      </left>
      <right style="hair">
        <color indexed="64"/>
      </right>
      <top style="hair">
        <color indexed="64"/>
      </top>
      <bottom style="hair">
        <color indexed="64"/>
      </bottom>
      <diagonal style="thin">
        <color indexed="64"/>
      </diagonal>
    </border>
    <border diagonalUp="1" diagonalDown="1">
      <left style="hair">
        <color indexed="64"/>
      </left>
      <right/>
      <top style="hair">
        <color indexed="64"/>
      </top>
      <bottom style="hair">
        <color indexed="64"/>
      </bottom>
      <diagonal style="thin">
        <color indexed="64"/>
      </diagonal>
    </border>
    <border diagonalUp="1" diagonalDown="1">
      <left/>
      <right/>
      <top/>
      <bottom/>
      <diagonal style="thin">
        <color indexed="64"/>
      </diagonal>
    </border>
    <border>
      <left/>
      <right/>
      <top style="thin">
        <color indexed="64"/>
      </top>
      <bottom/>
      <diagonal/>
    </border>
    <border>
      <left style="hair">
        <color indexed="64"/>
      </left>
      <right/>
      <top style="thin">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50">
    <xf numFmtId="0" fontId="0" fillId="0" borderId="0" xfId="0"/>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2" borderId="3" xfId="0" applyFill="1" applyBorder="1"/>
    <xf numFmtId="0" fontId="0" fillId="0" borderId="5" xfId="0" applyBorder="1"/>
    <xf numFmtId="0" fontId="0" fillId="0" borderId="9" xfId="0" applyBorder="1"/>
    <xf numFmtId="0" fontId="0" fillId="0" borderId="5" xfId="0" applyBorder="1" applyAlignment="1">
      <alignment textRotation="90" wrapText="1"/>
    </xf>
    <xf numFmtId="0" fontId="0" fillId="0" borderId="1" xfId="0" applyBorder="1" applyAlignment="1">
      <alignment textRotation="90" wrapText="1"/>
    </xf>
    <xf numFmtId="0" fontId="0" fillId="0" borderId="2" xfId="0" applyBorder="1" applyAlignment="1">
      <alignment textRotation="90" wrapText="1"/>
    </xf>
    <xf numFmtId="0" fontId="0" fillId="0" borderId="5" xfId="0" applyBorder="1" applyAlignment="1">
      <alignment horizontal="center" textRotation="90" wrapText="1"/>
    </xf>
    <xf numFmtId="0" fontId="0" fillId="0" borderId="1" xfId="0" applyBorder="1" applyAlignment="1">
      <alignment horizontal="center" textRotation="90" wrapText="1"/>
    </xf>
    <xf numFmtId="0" fontId="0" fillId="0" borderId="6"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4" xfId="0" applyBorder="1" applyAlignment="1">
      <alignment horizontal="center"/>
    </xf>
    <xf numFmtId="0" fontId="0" fillId="0" borderId="2" xfId="0" applyBorder="1" applyAlignment="1">
      <alignment horizontal="center"/>
    </xf>
    <xf numFmtId="0" fontId="0" fillId="2" borderId="7" xfId="0" applyFill="1" applyBorder="1" applyAlignment="1">
      <alignment horizontal="center"/>
    </xf>
    <xf numFmtId="0" fontId="0" fillId="2" borderId="3" xfId="0" applyFill="1" applyBorder="1" applyAlignment="1">
      <alignment horizontal="center"/>
    </xf>
    <xf numFmtId="0" fontId="0" fillId="2" borderId="8"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0" xfId="0" applyAlignment="1">
      <alignment horizontal="center"/>
    </xf>
    <xf numFmtId="0" fontId="0" fillId="3" borderId="1" xfId="0" applyFill="1" applyBorder="1"/>
    <xf numFmtId="0" fontId="0" fillId="0" borderId="27" xfId="0" applyBorder="1" applyAlignment="1">
      <alignment horizontal="center"/>
    </xf>
    <xf numFmtId="164" fontId="0" fillId="0" borderId="20" xfId="0" applyNumberFormat="1" applyBorder="1" applyAlignment="1">
      <alignment horizontal="center"/>
    </xf>
    <xf numFmtId="164" fontId="0" fillId="0" borderId="19" xfId="0" applyNumberFormat="1" applyBorder="1" applyAlignment="1">
      <alignment horizontal="center"/>
    </xf>
    <xf numFmtId="0" fontId="4" fillId="2" borderId="7" xfId="0" applyFont="1" applyFill="1" applyBorder="1"/>
    <xf numFmtId="0" fontId="0" fillId="4" borderId="1" xfId="0" applyFill="1" applyBorder="1"/>
    <xf numFmtId="0" fontId="0" fillId="0" borderId="10" xfId="0" applyBorder="1" applyAlignment="1">
      <alignment textRotation="90" wrapText="1"/>
    </xf>
    <xf numFmtId="0" fontId="0" fillId="0" borderId="11" xfId="0" applyBorder="1" applyAlignment="1">
      <alignment textRotation="90" wrapText="1"/>
    </xf>
    <xf numFmtId="0" fontId="0" fillId="0" borderId="12" xfId="0" applyBorder="1" applyAlignment="1">
      <alignment textRotation="90" wrapText="1"/>
    </xf>
    <xf numFmtId="0" fontId="0" fillId="0" borderId="10" xfId="0" applyBorder="1" applyAlignment="1">
      <alignment horizontal="center" textRotation="90" wrapText="1"/>
    </xf>
    <xf numFmtId="0" fontId="0" fillId="0" borderId="11" xfId="0" applyBorder="1" applyAlignment="1">
      <alignment horizontal="center" textRotation="90" wrapText="1"/>
    </xf>
    <xf numFmtId="0" fontId="0" fillId="0" borderId="12" xfId="0" applyBorder="1" applyAlignment="1">
      <alignment horizontal="center" textRotation="90" wrapText="1"/>
    </xf>
    <xf numFmtId="0" fontId="0" fillId="0" borderId="13" xfId="0" applyBorder="1" applyAlignment="1">
      <alignment horizontal="center" textRotation="90" wrapText="1"/>
    </xf>
    <xf numFmtId="0" fontId="0" fillId="0" borderId="14" xfId="0" applyBorder="1" applyAlignment="1">
      <alignment horizontal="center" textRotation="90" wrapText="1"/>
    </xf>
    <xf numFmtId="0" fontId="0" fillId="5" borderId="15" xfId="0" applyFill="1" applyBorder="1" applyAlignment="1">
      <alignment horizontal="center"/>
    </xf>
    <xf numFmtId="0" fontId="0" fillId="5" borderId="16" xfId="0" applyFill="1" applyBorder="1" applyAlignment="1">
      <alignment horizontal="center"/>
    </xf>
    <xf numFmtId="0" fontId="0" fillId="5" borderId="17" xfId="0" applyFill="1" applyBorder="1" applyAlignment="1">
      <alignment horizontal="center"/>
    </xf>
    <xf numFmtId="0" fontId="0" fillId="5" borderId="28" xfId="0" applyFill="1" applyBorder="1" applyAlignment="1">
      <alignment horizontal="center"/>
    </xf>
    <xf numFmtId="0" fontId="3" fillId="6" borderId="0" xfId="0" applyFont="1" applyFill="1"/>
    <xf numFmtId="0" fontId="0" fillId="6" borderId="0" xfId="0" applyFill="1"/>
    <xf numFmtId="0" fontId="0" fillId="6" borderId="0" xfId="0" applyFill="1" applyAlignment="1">
      <alignment wrapText="1"/>
    </xf>
    <xf numFmtId="0" fontId="0" fillId="6" borderId="29" xfId="0" applyFill="1" applyBorder="1"/>
    <xf numFmtId="0" fontId="0" fillId="6" borderId="10" xfId="0" applyFill="1" applyBorder="1" applyAlignment="1">
      <alignment horizontal="center" textRotation="90" wrapText="1"/>
    </xf>
    <xf numFmtId="0" fontId="0" fillId="6" borderId="11" xfId="0" applyFill="1" applyBorder="1" applyAlignment="1">
      <alignment horizontal="center" textRotation="90" wrapText="1"/>
    </xf>
    <xf numFmtId="0" fontId="0" fillId="6" borderId="12" xfId="0" applyFill="1" applyBorder="1" applyAlignment="1">
      <alignment horizontal="center" textRotation="90" wrapText="1"/>
    </xf>
    <xf numFmtId="0" fontId="0" fillId="6" borderId="13" xfId="0" applyFill="1" applyBorder="1" applyAlignment="1">
      <alignment horizontal="center" textRotation="90" wrapText="1"/>
    </xf>
    <xf numFmtId="0" fontId="0" fillId="6" borderId="14" xfId="0" applyFill="1" applyBorder="1" applyAlignment="1">
      <alignment horizontal="center" textRotation="90" wrapText="1"/>
    </xf>
    <xf numFmtId="0" fontId="0" fillId="6" borderId="9" xfId="0" applyFill="1" applyBorder="1"/>
    <xf numFmtId="0" fontId="0" fillId="6" borderId="5" xfId="0" applyFill="1" applyBorder="1" applyAlignment="1">
      <alignment horizontal="center" textRotation="90" wrapText="1"/>
    </xf>
    <xf numFmtId="0" fontId="0" fillId="6" borderId="1" xfId="0" applyFill="1" applyBorder="1" applyAlignment="1">
      <alignment horizontal="center" textRotation="90" wrapText="1"/>
    </xf>
    <xf numFmtId="0" fontId="0" fillId="6" borderId="2" xfId="0" applyFill="1" applyBorder="1" applyAlignment="1">
      <alignment horizontal="center" textRotation="90" wrapText="1"/>
    </xf>
    <xf numFmtId="0" fontId="0" fillId="6" borderId="6" xfId="0" applyFill="1" applyBorder="1" applyAlignment="1">
      <alignment horizontal="center" textRotation="90" wrapText="1"/>
    </xf>
    <xf numFmtId="0" fontId="0" fillId="6" borderId="4" xfId="0" applyFill="1" applyBorder="1" applyAlignment="1">
      <alignment horizontal="center" textRotation="90" wrapText="1"/>
    </xf>
    <xf numFmtId="0" fontId="0" fillId="6" borderId="5" xfId="0" applyFill="1" applyBorder="1" applyAlignment="1">
      <alignment horizontal="center" wrapText="1"/>
    </xf>
    <xf numFmtId="0" fontId="0" fillId="6" borderId="1" xfId="0" applyFill="1" applyBorder="1" applyAlignment="1">
      <alignment horizontal="center" wrapText="1"/>
    </xf>
    <xf numFmtId="0" fontId="0" fillId="6" borderId="2" xfId="0" applyFill="1" applyBorder="1" applyAlignment="1">
      <alignment horizontal="center" wrapText="1"/>
    </xf>
    <xf numFmtId="0" fontId="0" fillId="6" borderId="6" xfId="0" applyFill="1" applyBorder="1" applyAlignment="1">
      <alignment horizontal="center" wrapText="1"/>
    </xf>
    <xf numFmtId="0" fontId="0" fillId="6" borderId="4" xfId="0" applyFill="1" applyBorder="1" applyAlignment="1">
      <alignment horizontal="center" wrapText="1"/>
    </xf>
    <xf numFmtId="164" fontId="0" fillId="6" borderId="30" xfId="0" applyNumberFormat="1" applyFill="1" applyBorder="1"/>
    <xf numFmtId="164" fontId="0" fillId="6" borderId="18" xfId="1" applyNumberFormat="1" applyFont="1" applyFill="1" applyBorder="1" applyAlignment="1">
      <alignment horizontal="center" wrapText="1"/>
    </xf>
    <xf numFmtId="164" fontId="0" fillId="6" borderId="19" xfId="1" applyNumberFormat="1" applyFont="1" applyFill="1" applyBorder="1" applyAlignment="1">
      <alignment horizontal="center" wrapText="1"/>
    </xf>
    <xf numFmtId="164" fontId="0" fillId="6" borderId="27" xfId="1" applyNumberFormat="1" applyFont="1" applyFill="1" applyBorder="1" applyAlignment="1">
      <alignment horizontal="center" wrapText="1"/>
    </xf>
    <xf numFmtId="164" fontId="0" fillId="6" borderId="20" xfId="1" applyNumberFormat="1" applyFont="1" applyFill="1" applyBorder="1" applyAlignment="1">
      <alignment horizontal="center" wrapText="1"/>
    </xf>
    <xf numFmtId="164" fontId="0" fillId="6" borderId="31" xfId="0" applyNumberFormat="1" applyFill="1" applyBorder="1"/>
    <xf numFmtId="164" fontId="0" fillId="6" borderId="21" xfId="1" applyNumberFormat="1" applyFont="1" applyFill="1" applyBorder="1" applyAlignment="1">
      <alignment horizontal="center" wrapText="1"/>
    </xf>
    <xf numFmtId="164" fontId="0" fillId="6" borderId="22" xfId="1" applyNumberFormat="1" applyFont="1" applyFill="1" applyBorder="1" applyAlignment="1">
      <alignment horizontal="center" wrapText="1"/>
    </xf>
    <xf numFmtId="164" fontId="0" fillId="6" borderId="26" xfId="1" applyNumberFormat="1" applyFont="1" applyFill="1" applyBorder="1" applyAlignment="1">
      <alignment horizontal="center" wrapText="1"/>
    </xf>
    <xf numFmtId="164" fontId="0" fillId="6" borderId="0" xfId="0" applyNumberFormat="1" applyFill="1"/>
    <xf numFmtId="164" fontId="0" fillId="6" borderId="0" xfId="1" applyNumberFormat="1" applyFont="1" applyFill="1" applyBorder="1" applyAlignment="1">
      <alignment horizontal="center" wrapText="1"/>
    </xf>
    <xf numFmtId="164" fontId="0" fillId="6" borderId="8" xfId="0" applyNumberFormat="1" applyFill="1" applyBorder="1"/>
    <xf numFmtId="164" fontId="0" fillId="6" borderId="23" xfId="0" applyNumberFormat="1" applyFill="1" applyBorder="1"/>
    <xf numFmtId="164" fontId="0" fillId="6" borderId="24" xfId="1" applyNumberFormat="1" applyFont="1" applyFill="1" applyBorder="1" applyAlignment="1">
      <alignment horizontal="center" wrapText="1"/>
    </xf>
    <xf numFmtId="164" fontId="0" fillId="6" borderId="25" xfId="1" applyNumberFormat="1" applyFont="1" applyFill="1" applyBorder="1" applyAlignment="1">
      <alignment horizontal="center" wrapText="1"/>
    </xf>
    <xf numFmtId="0" fontId="0" fillId="6" borderId="0" xfId="0" applyFill="1" applyAlignment="1">
      <alignment horizontal="center" wrapText="1"/>
    </xf>
    <xf numFmtId="0" fontId="9" fillId="0" borderId="1" xfId="0" applyFont="1" applyBorder="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7" fillId="0" borderId="0" xfId="0" quotePrefix="1" applyFont="1" applyAlignment="1">
      <alignment vertical="center"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6" fillId="0" borderId="1" xfId="0" applyFont="1" applyBorder="1" applyAlignment="1">
      <alignment vertical="center" wrapText="1"/>
    </xf>
    <xf numFmtId="0" fontId="9"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0" xfId="0" applyFont="1" applyAlignment="1">
      <alignment horizontal="center" vertical="center" wrapText="1"/>
    </xf>
    <xf numFmtId="0" fontId="10" fillId="11" borderId="1" xfId="0" applyFont="1" applyFill="1" applyBorder="1" applyAlignment="1">
      <alignment vertical="center" wrapText="1"/>
    </xf>
    <xf numFmtId="0" fontId="4" fillId="10" borderId="1" xfId="0" applyFont="1" applyFill="1" applyBorder="1" applyAlignment="1">
      <alignment vertical="center" wrapText="1"/>
    </xf>
    <xf numFmtId="0" fontId="4" fillId="9" borderId="1" xfId="0" applyFont="1" applyFill="1" applyBorder="1" applyAlignment="1">
      <alignment vertical="center" wrapText="1"/>
    </xf>
    <xf numFmtId="0" fontId="14" fillId="8" borderId="1" xfId="0" applyFont="1" applyFill="1" applyBorder="1" applyAlignment="1">
      <alignment vertical="center" wrapText="1"/>
    </xf>
    <xf numFmtId="0" fontId="4" fillId="4" borderId="1" xfId="0" applyFont="1" applyFill="1" applyBorder="1" applyAlignment="1">
      <alignment vertical="center" wrapText="1"/>
    </xf>
    <xf numFmtId="0" fontId="15" fillId="2" borderId="1" xfId="0" applyFont="1" applyFill="1" applyBorder="1" applyAlignment="1">
      <alignment vertical="center" wrapText="1"/>
    </xf>
    <xf numFmtId="0" fontId="10" fillId="7" borderId="1" xfId="0" applyFont="1" applyFill="1" applyBorder="1" applyAlignment="1">
      <alignment vertical="center" wrapText="1"/>
    </xf>
    <xf numFmtId="0" fontId="8" fillId="0" borderId="0" xfId="0" applyFont="1" applyAlignment="1">
      <alignment vertical="center"/>
    </xf>
    <xf numFmtId="0" fontId="13" fillId="0" borderId="0" xfId="0" applyFont="1" applyAlignment="1">
      <alignment vertical="center" wrapText="1"/>
    </xf>
    <xf numFmtId="0" fontId="4" fillId="4"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0" fillId="0" borderId="1" xfId="0" quotePrefix="1" applyBorder="1" applyAlignment="1">
      <alignment vertical="center" wrapText="1"/>
    </xf>
    <xf numFmtId="0" fontId="16" fillId="2" borderId="1" xfId="0" applyFont="1" applyFill="1" applyBorder="1" applyAlignment="1">
      <alignment vertical="center" wrapText="1"/>
    </xf>
    <xf numFmtId="0" fontId="11" fillId="4" borderId="1" xfId="0" applyFont="1" applyFill="1" applyBorder="1" applyAlignment="1">
      <alignment vertical="center" wrapText="1"/>
    </xf>
    <xf numFmtId="0" fontId="12" fillId="7" borderId="1" xfId="0" applyFont="1" applyFill="1" applyBorder="1" applyAlignment="1">
      <alignment vertical="center" wrapText="1"/>
    </xf>
    <xf numFmtId="0" fontId="11" fillId="9" borderId="1" xfId="0" applyFont="1" applyFill="1" applyBorder="1" applyAlignment="1">
      <alignment vertical="center" wrapText="1"/>
    </xf>
    <xf numFmtId="0" fontId="11" fillId="10" borderId="1" xfId="0" applyFont="1" applyFill="1" applyBorder="1" applyAlignment="1">
      <alignment vertical="center" wrapText="1"/>
    </xf>
    <xf numFmtId="0" fontId="12" fillId="11" borderId="1" xfId="0" applyFont="1" applyFill="1" applyBorder="1" applyAlignment="1">
      <alignment vertical="center" wrapText="1"/>
    </xf>
    <xf numFmtId="0" fontId="6" fillId="0" borderId="1" xfId="0" applyFont="1" applyBorder="1" applyAlignment="1">
      <alignment horizontal="left" wrapText="1"/>
    </xf>
    <xf numFmtId="0" fontId="6" fillId="6" borderId="1" xfId="0" applyFont="1" applyFill="1" applyBorder="1" applyAlignment="1">
      <alignment horizontal="left" wrapText="1"/>
    </xf>
    <xf numFmtId="0" fontId="0" fillId="0" borderId="32" xfId="0" applyBorder="1" applyAlignment="1">
      <alignment horizontal="center" textRotation="90" wrapText="1"/>
    </xf>
    <xf numFmtId="0" fontId="0" fillId="0" borderId="33" xfId="0" applyBorder="1" applyAlignment="1">
      <alignment horizontal="center" textRotation="90" wrapText="1"/>
    </xf>
    <xf numFmtId="0" fontId="0" fillId="0" borderId="32" xfId="0" applyBorder="1" applyAlignment="1">
      <alignment horizontal="center"/>
    </xf>
    <xf numFmtId="0" fontId="0" fillId="0" borderId="33" xfId="0" applyBorder="1" applyAlignment="1">
      <alignment horizontal="center"/>
    </xf>
    <xf numFmtId="0" fontId="0" fillId="2" borderId="34" xfId="0" applyFill="1" applyBorder="1" applyAlignment="1">
      <alignment horizontal="center"/>
    </xf>
    <xf numFmtId="0" fontId="0" fillId="5" borderId="35" xfId="0" applyFill="1" applyBorder="1" applyAlignment="1">
      <alignment horizontal="center"/>
    </xf>
    <xf numFmtId="0" fontId="0" fillId="5" borderId="36" xfId="0" applyFill="1" applyBorder="1" applyAlignment="1">
      <alignment horizontal="center"/>
    </xf>
    <xf numFmtId="0" fontId="0" fillId="5" borderId="37" xfId="0" applyFill="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0" fillId="0" borderId="42" xfId="0" applyBorder="1" applyAlignment="1">
      <alignment horizontal="center"/>
    </xf>
    <xf numFmtId="164" fontId="0" fillId="0" borderId="40" xfId="0" applyNumberFormat="1" applyBorder="1" applyAlignment="1">
      <alignment horizontal="center"/>
    </xf>
    <xf numFmtId="0" fontId="0" fillId="0" borderId="43" xfId="0" applyBorder="1" applyAlignment="1">
      <alignment horizontal="center"/>
    </xf>
    <xf numFmtId="0" fontId="18" fillId="0" borderId="1" xfId="0" applyFont="1" applyBorder="1" applyAlignment="1">
      <alignment horizontal="center" vertical="center" wrapText="1"/>
    </xf>
    <xf numFmtId="0" fontId="0" fillId="5" borderId="45" xfId="0" applyFill="1" applyBorder="1" applyAlignment="1">
      <alignment horizontal="center"/>
    </xf>
    <xf numFmtId="0" fontId="16" fillId="2" borderId="2" xfId="0" applyFont="1" applyFill="1" applyBorder="1" applyAlignment="1">
      <alignment horizontal="left" vertical="center" wrapText="1"/>
    </xf>
    <xf numFmtId="0" fontId="16" fillId="2" borderId="3" xfId="0" applyFont="1" applyFill="1" applyBorder="1" applyAlignment="1">
      <alignment horizontal="left" vertical="center" wrapText="1"/>
    </xf>
    <xf numFmtId="0" fontId="16" fillId="2" borderId="4"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7" fillId="0" borderId="46" xfId="0" quotePrefix="1" applyFont="1" applyBorder="1" applyAlignment="1">
      <alignment horizontal="left" vertical="top" wrapText="1"/>
    </xf>
    <xf numFmtId="0" fontId="7" fillId="0" borderId="44" xfId="0" quotePrefix="1" applyFont="1" applyBorder="1" applyAlignment="1">
      <alignment horizontal="left" vertical="top" wrapText="1"/>
    </xf>
    <xf numFmtId="0" fontId="7" fillId="0" borderId="47" xfId="0" quotePrefix="1" applyFont="1" applyBorder="1" applyAlignment="1">
      <alignment horizontal="left" vertical="top" wrapText="1"/>
    </xf>
    <xf numFmtId="0" fontId="7" fillId="0" borderId="48" xfId="0" quotePrefix="1" applyFont="1" applyBorder="1" applyAlignment="1">
      <alignment horizontal="left" vertical="top" wrapText="1"/>
    </xf>
    <xf numFmtId="0" fontId="7" fillId="0" borderId="0" xfId="0" quotePrefix="1" applyFont="1" applyAlignment="1">
      <alignment horizontal="left" vertical="top" wrapText="1"/>
    </xf>
    <xf numFmtId="0" fontId="7" fillId="0" borderId="49" xfId="0" quotePrefix="1" applyFont="1" applyBorder="1" applyAlignment="1">
      <alignment horizontal="left" vertical="top" wrapText="1"/>
    </xf>
    <xf numFmtId="0" fontId="7" fillId="0" borderId="50" xfId="0" quotePrefix="1" applyFont="1" applyBorder="1" applyAlignment="1">
      <alignment horizontal="left" vertical="top" wrapText="1"/>
    </xf>
    <xf numFmtId="0" fontId="7" fillId="0" borderId="51" xfId="0" quotePrefix="1" applyFont="1" applyBorder="1" applyAlignment="1">
      <alignment horizontal="left" vertical="top" wrapText="1"/>
    </xf>
    <xf numFmtId="0" fontId="7" fillId="0" borderId="52" xfId="0" quotePrefix="1" applyFont="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colors>
    <mruColors>
      <color rgb="FF43661C"/>
      <color rgb="FFC0E399"/>
      <color rgb="FF5A8A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Huidige</a:t>
            </a:r>
            <a:r>
              <a:rPr lang="en-US" baseline="0"/>
              <a:t> skills versus ambitie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7594743873608794"/>
          <c:y val="0.25376519047835783"/>
          <c:w val="0.27077314927609569"/>
          <c:h val="0.57539294221170334"/>
        </c:manualLayout>
      </c:layout>
      <c:radarChart>
        <c:radarStyle val="marker"/>
        <c:varyColors val="0"/>
        <c:ser>
          <c:idx val="0"/>
          <c:order val="0"/>
          <c:tx>
            <c:v>Huidig</c:v>
          </c:tx>
          <c:spPr>
            <a:ln w="28575" cap="rnd">
              <a:solidFill>
                <a:schemeClr val="accent6"/>
              </a:solidFill>
              <a:round/>
            </a:ln>
            <a:effectLst/>
          </c:spPr>
          <c:marker>
            <c:symbol val="none"/>
          </c:marker>
          <c:cat>
            <c:strRef>
              <c:f>('Uitwerking (NIET BEWERKEN!!)'!$B$1,'Uitwerking (NIET BEWERKEN!!)'!$H$1,'Uitwerking (NIET BEWERKEN!!)'!$N$1,'Uitwerking (NIET BEWERKEN!!)'!$T$1,'Uitwerking (NIET BEWERKEN!!)'!$Y$1,'Uitwerking (NIET BEWERKEN!!)'!$AD$1)</c:f>
              <c:strCache>
                <c:ptCount val="6"/>
                <c:pt idx="0">
                  <c:v>Digital Power Basic Skills</c:v>
                </c:pt>
                <c:pt idx="1">
                  <c:v>Domein Skills</c:v>
                </c:pt>
                <c:pt idx="2">
                  <c:v>Hardskills</c:v>
                </c:pt>
                <c:pt idx="3">
                  <c:v>Basic Consultancy Skills</c:v>
                </c:pt>
                <c:pt idx="4">
                  <c:v>Business Skills</c:v>
                </c:pt>
                <c:pt idx="5">
                  <c:v>Expert Consultancy Skills</c:v>
                </c:pt>
              </c:strCache>
            </c:strRef>
          </c:cat>
          <c:val>
            <c:numRef>
              <c:f>('Uitwerking (NIET BEWERKEN!!)'!$G$5,'Uitwerking (NIET BEWERKEN!!)'!$J$5,'Uitwerking (NIET BEWERKEN!!)'!$R$5,'Uitwerking (NIET BEWERKEN!!)'!$X$5,'Uitwerking (NIET BEWERKEN!!)'!$AC$5,'Uitwerking (NIET BEWERKEN!!)'!$AH$5)</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C5BA-4625-A9B8-C580A2F73E64}"/>
            </c:ext>
          </c:extLst>
        </c:ser>
        <c:ser>
          <c:idx val="1"/>
          <c:order val="1"/>
          <c:tx>
            <c:v>Ambitie</c:v>
          </c:tx>
          <c:spPr>
            <a:ln w="28575" cap="rnd">
              <a:solidFill>
                <a:schemeClr val="accent5"/>
              </a:solidFill>
              <a:round/>
            </a:ln>
            <a:effectLst/>
          </c:spPr>
          <c:marker>
            <c:symbol val="none"/>
          </c:marker>
          <c:cat>
            <c:strRef>
              <c:f>('Uitwerking (NIET BEWERKEN!!)'!$B$1,'Uitwerking (NIET BEWERKEN!!)'!$H$1,'Uitwerking (NIET BEWERKEN!!)'!$N$1,'Uitwerking (NIET BEWERKEN!!)'!$T$1,'Uitwerking (NIET BEWERKEN!!)'!$Y$1,'Uitwerking (NIET BEWERKEN!!)'!$AD$1)</c:f>
              <c:strCache>
                <c:ptCount val="6"/>
                <c:pt idx="0">
                  <c:v>Digital Power Basic Skills</c:v>
                </c:pt>
                <c:pt idx="1">
                  <c:v>Domein Skills</c:v>
                </c:pt>
                <c:pt idx="2">
                  <c:v>Hardskills</c:v>
                </c:pt>
                <c:pt idx="3">
                  <c:v>Basic Consultancy Skills</c:v>
                </c:pt>
                <c:pt idx="4">
                  <c:v>Business Skills</c:v>
                </c:pt>
                <c:pt idx="5">
                  <c:v>Expert Consultancy Skills</c:v>
                </c:pt>
              </c:strCache>
            </c:strRef>
          </c:cat>
          <c:val>
            <c:numRef>
              <c:f>('Uitwerking (NIET BEWERKEN!!)'!$G$8,'Uitwerking (NIET BEWERKEN!!)'!$J$8,'Uitwerking (NIET BEWERKEN!!)'!$R$8,'Uitwerking (NIET BEWERKEN!!)'!$X$8,'Uitwerking (NIET BEWERKEN!!)'!$AC$8,'Uitwerking (NIET BEWERKEN!!)'!$AH$8)</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C5BA-4625-A9B8-C580A2F73E64}"/>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Digital</a:t>
            </a:r>
            <a:r>
              <a:rPr lang="en-US" baseline="0"/>
              <a:t> Power Basic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BEWERKEN!!)'!$B$2:$G$2</c:f>
              <c:strCache>
                <c:ptCount val="6"/>
                <c:pt idx="0">
                  <c:v>Leren &amp; reflecteren</c:v>
                </c:pt>
                <c:pt idx="1">
                  <c:v>Ondersteunen &amp; samenwerken</c:v>
                </c:pt>
                <c:pt idx="2">
                  <c:v>Ondernemen &amp; resultaatgericht</c:v>
                </c:pt>
                <c:pt idx="3">
                  <c:v>Klantgericht</c:v>
                </c:pt>
                <c:pt idx="4">
                  <c:v>Kennisdeling</c:v>
                </c:pt>
                <c:pt idx="5">
                  <c:v>Coaching &amp; begeleiding</c:v>
                </c:pt>
              </c:strCache>
            </c:strRef>
          </c:cat>
          <c:val>
            <c:numRef>
              <c:f>'Uitwerking (NIET BEWERKEN!!)'!$B$4:$G$4</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5D7-42BA-BBE3-A651293613B5}"/>
            </c:ext>
          </c:extLst>
        </c:ser>
        <c:ser>
          <c:idx val="1"/>
          <c:order val="1"/>
          <c:tx>
            <c:v>Ambitie</c:v>
          </c:tx>
          <c:spPr>
            <a:ln w="28575" cap="rnd">
              <a:solidFill>
                <a:schemeClr val="accent5"/>
              </a:solidFill>
              <a:round/>
            </a:ln>
            <a:effectLst/>
          </c:spPr>
          <c:marker>
            <c:symbol val="none"/>
          </c:marker>
          <c:cat>
            <c:strRef>
              <c:f>'Uitwerking (NIET BEWERKEN!!)'!$B$2:$G$2</c:f>
              <c:strCache>
                <c:ptCount val="6"/>
                <c:pt idx="0">
                  <c:v>Leren &amp; reflecteren</c:v>
                </c:pt>
                <c:pt idx="1">
                  <c:v>Ondersteunen &amp; samenwerken</c:v>
                </c:pt>
                <c:pt idx="2">
                  <c:v>Ondernemen &amp; resultaatgericht</c:v>
                </c:pt>
                <c:pt idx="3">
                  <c:v>Klantgericht</c:v>
                </c:pt>
                <c:pt idx="4">
                  <c:v>Kennisdeling</c:v>
                </c:pt>
                <c:pt idx="5">
                  <c:v>Coaching &amp; begeleiding</c:v>
                </c:pt>
              </c:strCache>
            </c:strRef>
          </c:cat>
          <c:val>
            <c:numRef>
              <c:f>'Uitwerking (NIET BEWERKEN!!)'!$B$7:$G$7</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05D7-42BA-BBE3-A651293613B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Domein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BEWERKEN!!)'!$H$2:$M$2</c:f>
              <c:strCache>
                <c:ptCount val="3"/>
                <c:pt idx="0">
                  <c:v>Communication developers/ analysts</c:v>
                </c:pt>
                <c:pt idx="1">
                  <c:v>Tagging trends in domain</c:v>
                </c:pt>
                <c:pt idx="2">
                  <c:v>Requirements</c:v>
                </c:pt>
              </c:strCache>
            </c:strRef>
          </c:cat>
          <c:val>
            <c:numRef>
              <c:f>'Uitwerking (NIET BEWERKEN!!)'!$H$4:$M$4</c:f>
              <c:numCache>
                <c:formatCode>0.0</c:formatCode>
                <c:ptCount val="3"/>
                <c:pt idx="0">
                  <c:v>0</c:v>
                </c:pt>
                <c:pt idx="1">
                  <c:v>0</c:v>
                </c:pt>
                <c:pt idx="2">
                  <c:v>0</c:v>
                </c:pt>
              </c:numCache>
            </c:numRef>
          </c:val>
          <c:extLst>
            <c:ext xmlns:c16="http://schemas.microsoft.com/office/drawing/2014/chart" uri="{C3380CC4-5D6E-409C-BE32-E72D297353CC}">
              <c16:uniqueId val="{00000000-4121-458C-ABA3-856BD7FC94F5}"/>
            </c:ext>
          </c:extLst>
        </c:ser>
        <c:ser>
          <c:idx val="1"/>
          <c:order val="1"/>
          <c:tx>
            <c:v>Ambitie</c:v>
          </c:tx>
          <c:spPr>
            <a:ln w="28575" cap="rnd">
              <a:solidFill>
                <a:schemeClr val="accent5"/>
              </a:solidFill>
              <a:round/>
            </a:ln>
            <a:effectLst/>
          </c:spPr>
          <c:marker>
            <c:symbol val="none"/>
          </c:marker>
          <c:cat>
            <c:strRef>
              <c:f>'Uitwerking (NIET BEWERKEN!!)'!$H$2:$M$2</c:f>
              <c:strCache>
                <c:ptCount val="3"/>
                <c:pt idx="0">
                  <c:v>Communication developers/ analysts</c:v>
                </c:pt>
                <c:pt idx="1">
                  <c:v>Tagging trends in domain</c:v>
                </c:pt>
                <c:pt idx="2">
                  <c:v>Requirements</c:v>
                </c:pt>
              </c:strCache>
            </c:strRef>
          </c:cat>
          <c:val>
            <c:numRef>
              <c:f>'Uitwerking (NIET BEWERKEN!!)'!$H$7:$M$7</c:f>
              <c:numCache>
                <c:formatCode>0.0</c:formatCode>
                <c:ptCount val="3"/>
                <c:pt idx="0">
                  <c:v>0</c:v>
                </c:pt>
                <c:pt idx="1">
                  <c:v>0</c:v>
                </c:pt>
                <c:pt idx="2">
                  <c:v>0</c:v>
                </c:pt>
              </c:numCache>
            </c:numRef>
          </c:val>
          <c:extLst>
            <c:ext xmlns:c16="http://schemas.microsoft.com/office/drawing/2014/chart" uri="{C3380CC4-5D6E-409C-BE32-E72D297353CC}">
              <c16:uniqueId val="{00000001-4121-458C-ABA3-856BD7FC94F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Hardskills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BEWERKEN!!)'!$N$2:$S$2</c:f>
              <c:strCache>
                <c:ptCount val="5"/>
                <c:pt idx="0">
                  <c:v>Analytics (management/ admin) knowledge</c:v>
                </c:pt>
                <c:pt idx="1">
                  <c:v>Tag management</c:v>
                </c:pt>
                <c:pt idx="2">
                  <c:v>Data structures, tagplan, datalayer</c:v>
                </c:pt>
                <c:pt idx="3">
                  <c:v>Debugging</c:v>
                </c:pt>
                <c:pt idx="4">
                  <c:v>Programming</c:v>
                </c:pt>
              </c:strCache>
            </c:strRef>
          </c:cat>
          <c:val>
            <c:numRef>
              <c:f>'Uitwerking (NIET BEWERKEN!!)'!$N$4:$S$4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F4D2-4679-8459-1DD705E21CE1}"/>
            </c:ext>
          </c:extLst>
        </c:ser>
        <c:ser>
          <c:idx val="1"/>
          <c:order val="1"/>
          <c:tx>
            <c:v>Ambitie</c:v>
          </c:tx>
          <c:spPr>
            <a:ln w="28575" cap="rnd">
              <a:solidFill>
                <a:schemeClr val="accent5"/>
              </a:solidFill>
              <a:round/>
            </a:ln>
            <a:effectLst/>
          </c:spPr>
          <c:marker>
            <c:symbol val="none"/>
          </c:marker>
          <c:cat>
            <c:strRef>
              <c:f>'Uitwerking (NIET BEWERKEN!!)'!$N$2:$S$2</c:f>
              <c:strCache>
                <c:ptCount val="5"/>
                <c:pt idx="0">
                  <c:v>Analytics (management/ admin) knowledge</c:v>
                </c:pt>
                <c:pt idx="1">
                  <c:v>Tag management</c:v>
                </c:pt>
                <c:pt idx="2">
                  <c:v>Data structures, tagplan, datalayer</c:v>
                </c:pt>
                <c:pt idx="3">
                  <c:v>Debugging</c:v>
                </c:pt>
                <c:pt idx="4">
                  <c:v>Programming</c:v>
                </c:pt>
              </c:strCache>
            </c:strRef>
          </c:cat>
          <c:val>
            <c:numRef>
              <c:f>'Uitwerking (NIET BEWERKEN!!)'!$N$7:$S$7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F4D2-4679-8459-1DD705E21CE1}"/>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Basic</a:t>
            </a:r>
            <a:r>
              <a:rPr lang="en-US" baseline="0"/>
              <a:t> Consultancy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BEWERKEN!!)'!$T$2:$X$2</c:f>
              <c:strCache>
                <c:ptCount val="5"/>
                <c:pt idx="0">
                  <c:v>Adviseren</c:v>
                </c:pt>
                <c:pt idx="1">
                  <c:v>Doortastend &amp; probleemoplossend</c:v>
                </c:pt>
                <c:pt idx="2">
                  <c:v>Interpersoonlijk communicatie</c:v>
                </c:pt>
                <c:pt idx="3">
                  <c:v>Verwachtings-management</c:v>
                </c:pt>
                <c:pt idx="4">
                  <c:v>Schriftelijke en mondelinge communicatie</c:v>
                </c:pt>
              </c:strCache>
            </c:strRef>
          </c:cat>
          <c:val>
            <c:numRef>
              <c:f>'Uitwerking (NIET BEWERKEN!!)'!$T$4:$X$4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0266-483F-84F6-987AC3E8328C}"/>
            </c:ext>
          </c:extLst>
        </c:ser>
        <c:ser>
          <c:idx val="1"/>
          <c:order val="1"/>
          <c:tx>
            <c:v>Ambitie</c:v>
          </c:tx>
          <c:spPr>
            <a:ln w="28575" cap="rnd">
              <a:solidFill>
                <a:schemeClr val="accent5"/>
              </a:solidFill>
              <a:round/>
            </a:ln>
            <a:effectLst/>
          </c:spPr>
          <c:marker>
            <c:symbol val="none"/>
          </c:marker>
          <c:cat>
            <c:strRef>
              <c:f>'Uitwerking (NIET BEWERKEN!!)'!$T$2:$X$2</c:f>
              <c:strCache>
                <c:ptCount val="5"/>
                <c:pt idx="0">
                  <c:v>Adviseren</c:v>
                </c:pt>
                <c:pt idx="1">
                  <c:v>Doortastend &amp; probleemoplossend</c:v>
                </c:pt>
                <c:pt idx="2">
                  <c:v>Interpersoonlijk communicatie</c:v>
                </c:pt>
                <c:pt idx="3">
                  <c:v>Verwachtings-management</c:v>
                </c:pt>
                <c:pt idx="4">
                  <c:v>Schriftelijke en mondelinge communicatie</c:v>
                </c:pt>
              </c:strCache>
            </c:strRef>
          </c:cat>
          <c:val>
            <c:numRef>
              <c:f>'Uitwerking (NIET BEWERKEN!!)'!$T$7:$X$7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0266-483F-84F6-987AC3E8328C}"/>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Spreiding huidige</a:t>
            </a:r>
            <a:r>
              <a:rPr lang="en-US" baseline="0"/>
              <a:t> versus ambitie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'Uitwerking (NIET BEWERKEN!!)'!$A$7</c:f>
              <c:strCache>
                <c:ptCount val="1"/>
                <c:pt idx="0">
                  <c:v>Score op ambitie</c:v>
                </c:pt>
              </c:strCache>
            </c:strRef>
          </c:tx>
          <c:spPr>
            <a:solidFill>
              <a:schemeClr val="accent6"/>
            </a:solidFill>
            <a:ln w="25400">
              <a:noFill/>
            </a:ln>
            <a:effectLst/>
          </c:spPr>
          <c:cat>
            <c:strRef>
              <c:f>'Uitwerking (NIET BEWERKEN!!)'!$B$2:$AH$2</c:f>
              <c:strCache>
                <c:ptCount val="29"/>
                <c:pt idx="0">
                  <c:v>Leren &amp; reflecteren</c:v>
                </c:pt>
                <c:pt idx="1">
                  <c:v>Ondersteunen &amp; samenwerken</c:v>
                </c:pt>
                <c:pt idx="2">
                  <c:v>Ondernemen &amp; resultaatgericht</c:v>
                </c:pt>
                <c:pt idx="3">
                  <c:v>Klantgericht</c:v>
                </c:pt>
                <c:pt idx="4">
                  <c:v>Kennisdeling</c:v>
                </c:pt>
                <c:pt idx="5">
                  <c:v>Coaching &amp; begeleiding</c:v>
                </c:pt>
                <c:pt idx="6">
                  <c:v>Communication developers/ analysts</c:v>
                </c:pt>
                <c:pt idx="7">
                  <c:v>Tagging trends in domain</c:v>
                </c:pt>
                <c:pt idx="8">
                  <c:v>Requirements</c:v>
                </c:pt>
                <c:pt idx="9">
                  <c:v>Analytics (management/ admin) knowledge</c:v>
                </c:pt>
                <c:pt idx="10">
                  <c:v>Tag management</c:v>
                </c:pt>
                <c:pt idx="11">
                  <c:v>Data structures, tagplan, datalayer</c:v>
                </c:pt>
                <c:pt idx="12">
                  <c:v>Debugging</c:v>
                </c:pt>
                <c:pt idx="13">
                  <c:v>Programming</c:v>
                </c:pt>
                <c:pt idx="14">
                  <c:v>Adviseren</c:v>
                </c:pt>
                <c:pt idx="15">
                  <c:v>Doortastend &amp; probleemoplossend</c:v>
                </c:pt>
                <c:pt idx="16">
                  <c:v>Interpersoonlijk communicatie</c:v>
                </c:pt>
                <c:pt idx="17">
                  <c:v>Verwachtings-management</c:v>
                </c:pt>
                <c:pt idx="18">
                  <c:v>Schriftelijke en mondelinge communicatie</c:v>
                </c:pt>
                <c:pt idx="19">
                  <c:v>Organisatie- en management identificatie</c:v>
                </c:pt>
                <c:pt idx="20">
                  <c:v>Strategische conceptualisatie</c:v>
                </c:pt>
                <c:pt idx="21">
                  <c:v>Projectmanagement</c:v>
                </c:pt>
                <c:pt idx="22">
                  <c:v>Verandermanagement</c:v>
                </c:pt>
                <c:pt idx="23">
                  <c:v>Leidinggeven</c:v>
                </c:pt>
                <c:pt idx="24">
                  <c:v>Situationele communicatie</c:v>
                </c:pt>
                <c:pt idx="25">
                  <c:v>Doelgerichte &amp; effectieve communicatie</c:v>
                </c:pt>
                <c:pt idx="26">
                  <c:v>Besluitvaardigheid</c:v>
                </c:pt>
                <c:pt idx="27">
                  <c:v>Overtuigen &amp; beinvloeden</c:v>
                </c:pt>
                <c:pt idx="28">
                  <c:v>Opbouwende feedback &amp; slecht nieuws gesprekken</c:v>
                </c:pt>
              </c:strCache>
            </c:strRef>
          </c:cat>
          <c:val>
            <c:numRef>
              <c:f>'Uitwerking (NIET BEWERKEN!!)'!$B$7:$AH$7</c:f>
              <c:numCache>
                <c:formatCode>0.0</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extLst>
            <c:ext xmlns:c16="http://schemas.microsoft.com/office/drawing/2014/chart" uri="{C3380CC4-5D6E-409C-BE32-E72D297353CC}">
              <c16:uniqueId val="{00000001-C510-45C6-AE4C-93012B94423C}"/>
            </c:ext>
          </c:extLst>
        </c:ser>
        <c:ser>
          <c:idx val="1"/>
          <c:order val="1"/>
          <c:tx>
            <c:strRef>
              <c:f>'Uitwerking (NIET BEWERKEN!!)'!$A$4</c:f>
              <c:strCache>
                <c:ptCount val="1"/>
                <c:pt idx="0">
                  <c:v>Score op huidig situatie</c:v>
                </c:pt>
              </c:strCache>
            </c:strRef>
          </c:tx>
          <c:spPr>
            <a:solidFill>
              <a:schemeClr val="accent5"/>
            </a:solidFill>
            <a:ln w="25400">
              <a:noFill/>
            </a:ln>
            <a:effectLst/>
          </c:spPr>
          <c:cat>
            <c:strRef>
              <c:f>'Uitwerking (NIET BEWERKEN!!)'!$B$2:$AH$2</c:f>
              <c:strCache>
                <c:ptCount val="29"/>
                <c:pt idx="0">
                  <c:v>Leren &amp; reflecteren</c:v>
                </c:pt>
                <c:pt idx="1">
                  <c:v>Ondersteunen &amp; samenwerken</c:v>
                </c:pt>
                <c:pt idx="2">
                  <c:v>Ondernemen &amp; resultaatgericht</c:v>
                </c:pt>
                <c:pt idx="3">
                  <c:v>Klantgericht</c:v>
                </c:pt>
                <c:pt idx="4">
                  <c:v>Kennisdeling</c:v>
                </c:pt>
                <c:pt idx="5">
                  <c:v>Coaching &amp; begeleiding</c:v>
                </c:pt>
                <c:pt idx="6">
                  <c:v>Communication developers/ analysts</c:v>
                </c:pt>
                <c:pt idx="7">
                  <c:v>Tagging trends in domain</c:v>
                </c:pt>
                <c:pt idx="8">
                  <c:v>Requirements</c:v>
                </c:pt>
                <c:pt idx="9">
                  <c:v>Analytics (management/ admin) knowledge</c:v>
                </c:pt>
                <c:pt idx="10">
                  <c:v>Tag management</c:v>
                </c:pt>
                <c:pt idx="11">
                  <c:v>Data structures, tagplan, datalayer</c:v>
                </c:pt>
                <c:pt idx="12">
                  <c:v>Debugging</c:v>
                </c:pt>
                <c:pt idx="13">
                  <c:v>Programming</c:v>
                </c:pt>
                <c:pt idx="14">
                  <c:v>Adviseren</c:v>
                </c:pt>
                <c:pt idx="15">
                  <c:v>Doortastend &amp; probleemoplossend</c:v>
                </c:pt>
                <c:pt idx="16">
                  <c:v>Interpersoonlijk communicatie</c:v>
                </c:pt>
                <c:pt idx="17">
                  <c:v>Verwachtings-management</c:v>
                </c:pt>
                <c:pt idx="18">
                  <c:v>Schriftelijke en mondelinge communicatie</c:v>
                </c:pt>
                <c:pt idx="19">
                  <c:v>Organisatie- en management identificatie</c:v>
                </c:pt>
                <c:pt idx="20">
                  <c:v>Strategische conceptualisatie</c:v>
                </c:pt>
                <c:pt idx="21">
                  <c:v>Projectmanagement</c:v>
                </c:pt>
                <c:pt idx="22">
                  <c:v>Verandermanagement</c:v>
                </c:pt>
                <c:pt idx="23">
                  <c:v>Leidinggeven</c:v>
                </c:pt>
                <c:pt idx="24">
                  <c:v>Situationele communicatie</c:v>
                </c:pt>
                <c:pt idx="25">
                  <c:v>Doelgerichte &amp; effectieve communicatie</c:v>
                </c:pt>
                <c:pt idx="26">
                  <c:v>Besluitvaardigheid</c:v>
                </c:pt>
                <c:pt idx="27">
                  <c:v>Overtuigen &amp; beinvloeden</c:v>
                </c:pt>
                <c:pt idx="28">
                  <c:v>Opbouwende feedback &amp; slecht nieuws gesprekken</c:v>
                </c:pt>
              </c:strCache>
            </c:strRef>
          </c:cat>
          <c:val>
            <c:numRef>
              <c:f>'Uitwerking (NIET BEWERKEN!!)'!$B$4:$AH$4</c:f>
              <c:numCache>
                <c:formatCode>0.0</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extLst>
            <c:ext xmlns:c16="http://schemas.microsoft.com/office/drawing/2014/chart" uri="{C3380CC4-5D6E-409C-BE32-E72D297353CC}">
              <c16:uniqueId val="{00000001-29D5-489B-AF4E-547551B81992}"/>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BEWERKEN!!)'!$Y$2:$AC$2</c:f>
              <c:strCache>
                <c:ptCount val="5"/>
                <c:pt idx="0">
                  <c:v>Organisatie- en management identificatie</c:v>
                </c:pt>
                <c:pt idx="1">
                  <c:v>Strategische conceptualisatie</c:v>
                </c:pt>
                <c:pt idx="2">
                  <c:v>Projectmanagement</c:v>
                </c:pt>
                <c:pt idx="3">
                  <c:v>Verandermanagement</c:v>
                </c:pt>
                <c:pt idx="4">
                  <c:v>Leidinggeven</c:v>
                </c:pt>
              </c:strCache>
            </c:strRef>
          </c:cat>
          <c:val>
            <c:numRef>
              <c:f>'Uitwerking (NIET BEWERKEN!!)'!$Y$4:$AC$4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324E-4105-8DFF-CB15C206019F}"/>
            </c:ext>
          </c:extLst>
        </c:ser>
        <c:ser>
          <c:idx val="1"/>
          <c:order val="1"/>
          <c:tx>
            <c:v>Ambitie</c:v>
          </c:tx>
          <c:spPr>
            <a:ln w="28575" cap="rnd">
              <a:solidFill>
                <a:schemeClr val="accent5"/>
              </a:solidFill>
              <a:round/>
            </a:ln>
            <a:effectLst/>
          </c:spPr>
          <c:marker>
            <c:symbol val="none"/>
          </c:marker>
          <c:cat>
            <c:strRef>
              <c:f>'Uitwerking (NIET BEWERKEN!!)'!$Y$2:$AC$2</c:f>
              <c:strCache>
                <c:ptCount val="5"/>
                <c:pt idx="0">
                  <c:v>Organisatie- en management identificatie</c:v>
                </c:pt>
                <c:pt idx="1">
                  <c:v>Strategische conceptualisatie</c:v>
                </c:pt>
                <c:pt idx="2">
                  <c:v>Projectmanagement</c:v>
                </c:pt>
                <c:pt idx="3">
                  <c:v>Verandermanagement</c:v>
                </c:pt>
                <c:pt idx="4">
                  <c:v>Leidinggeven</c:v>
                </c:pt>
              </c:strCache>
            </c:strRef>
          </c:cat>
          <c:val>
            <c:numRef>
              <c:f>'Uitwerking (NIET BEWERKEN!!)'!$Y$7:$AC$7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324E-4105-8DFF-CB15C206019F}"/>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baseline="0"/>
              <a:t>Senioriteit per subcategorie</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Totaal</c:v>
          </c:tx>
          <c:spPr>
            <a:solidFill>
              <a:schemeClr val="accent6"/>
            </a:solidFill>
            <a:ln>
              <a:noFill/>
            </a:ln>
            <a:effectLst/>
          </c:spPr>
          <c:invertIfNegative val="0"/>
          <c:cat>
            <c:strRef>
              <c:f>('Uitwerking (NIET BEWERKEN!!)'!$B$1,'Uitwerking (NIET BEWERKEN!!)'!$H$1,'Uitwerking (NIET BEWERKEN!!)'!$N$1,'Uitwerking (NIET BEWERKEN!!)'!$T$1,'Uitwerking (NIET BEWERKEN!!)'!$Y$1)</c:f>
              <c:strCache>
                <c:ptCount val="5"/>
                <c:pt idx="0">
                  <c:v>Digital Power Basic Skills</c:v>
                </c:pt>
                <c:pt idx="1">
                  <c:v>Domein Skills</c:v>
                </c:pt>
                <c:pt idx="2">
                  <c:v>Hardskills</c:v>
                </c:pt>
                <c:pt idx="3">
                  <c:v>Basic Consultancy Skills</c:v>
                </c:pt>
                <c:pt idx="4">
                  <c:v>Business Skills</c:v>
                </c:pt>
              </c:strCache>
            </c:strRef>
          </c:cat>
          <c:val>
            <c:numRef>
              <c:f>('Uitwerking (NIET BEWERKEN!!)'!$G$5,'Uitwerking (NIET BEWERKEN!!)'!$J$5,'Uitwerking (NIET BEWERKEN!!)'!$R$5,'Uitwerking (NIET BEWERKEN!!)'!$X$5,'Uitwerking (NIET BEWERKEN!!)'!$AC$5,'Uitwerking (NIET BEWERKEN!!)'!$AH$5)</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B7D-483A-9A45-A65C2D8E1A6F}"/>
            </c:ext>
          </c:extLst>
        </c:ser>
        <c:dLbls>
          <c:showLegendKey val="0"/>
          <c:showVal val="0"/>
          <c:showCatName val="0"/>
          <c:showSerName val="0"/>
          <c:showPercent val="0"/>
          <c:showBubbleSize val="0"/>
        </c:dLbls>
        <c:gapWidth val="182"/>
        <c:axId val="759015720"/>
        <c:axId val="759016048"/>
      </c:barChart>
      <c:catAx>
        <c:axId val="7590157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6048"/>
        <c:crosses val="autoZero"/>
        <c:auto val="1"/>
        <c:lblAlgn val="ctr"/>
        <c:lblOffset val="100"/>
        <c:noMultiLvlLbl val="0"/>
      </c:catAx>
      <c:valAx>
        <c:axId val="759016048"/>
        <c:scaling>
          <c:orientation val="minMax"/>
          <c:max val="5"/>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5720"/>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Expert Consultancy</a:t>
            </a:r>
            <a:r>
              <a:rPr lang="en-US" baseline="0"/>
              <a:t>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BEWERKEN!!)'!$AD$2:$AH$2</c:f>
              <c:strCache>
                <c:ptCount val="5"/>
                <c:pt idx="0">
                  <c:v>Situationele communicatie</c:v>
                </c:pt>
                <c:pt idx="1">
                  <c:v>Doelgerichte &amp; effectieve communicatie</c:v>
                </c:pt>
                <c:pt idx="2">
                  <c:v>Besluitvaardigheid</c:v>
                </c:pt>
                <c:pt idx="3">
                  <c:v>Overtuigen &amp; beinvloeden</c:v>
                </c:pt>
                <c:pt idx="4">
                  <c:v>Opbouwende feedback &amp; slecht nieuws gesprekken</c:v>
                </c:pt>
              </c:strCache>
            </c:strRef>
          </c:cat>
          <c:val>
            <c:numRef>
              <c:f>'Uitwerking (NIET BEWERKEN!!)'!$AD$4:$AH$4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BCB9-42CF-A178-E4F5563D7D2B}"/>
            </c:ext>
          </c:extLst>
        </c:ser>
        <c:ser>
          <c:idx val="1"/>
          <c:order val="1"/>
          <c:tx>
            <c:v>Ambitie</c:v>
          </c:tx>
          <c:spPr>
            <a:ln w="28575" cap="rnd">
              <a:solidFill>
                <a:schemeClr val="accent5"/>
              </a:solidFill>
              <a:round/>
            </a:ln>
            <a:effectLst/>
          </c:spPr>
          <c:marker>
            <c:symbol val="none"/>
          </c:marker>
          <c:cat>
            <c:strRef>
              <c:f>'Uitwerking (NIET BEWERKEN!!)'!$AD$2:$AH$2</c:f>
              <c:strCache>
                <c:ptCount val="5"/>
                <c:pt idx="0">
                  <c:v>Situationele communicatie</c:v>
                </c:pt>
                <c:pt idx="1">
                  <c:v>Doelgerichte &amp; effectieve communicatie</c:v>
                </c:pt>
                <c:pt idx="2">
                  <c:v>Besluitvaardigheid</c:v>
                </c:pt>
                <c:pt idx="3">
                  <c:v>Overtuigen &amp; beinvloeden</c:v>
                </c:pt>
                <c:pt idx="4">
                  <c:v>Opbouwende feedback &amp; slecht nieuws gesprekken</c:v>
                </c:pt>
              </c:strCache>
            </c:strRef>
          </c:cat>
          <c:val>
            <c:numRef>
              <c:f>'Uitwerking (NIET BEWERKEN!!)'!$AD$7:$AH$7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BCB9-42CF-A178-E4F5563D7D2B}"/>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6_1">
  <dgm:title val=""/>
  <dgm:desc val=""/>
  <dgm:catLst>
    <dgm:cat type="accent6" pri="11100"/>
  </dgm:catLst>
  <dgm:styleLbl name="node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accent6">
        <a:shade val="80000"/>
      </a:schemeClr>
    </dgm:linClrLst>
    <dgm:effectClrLst/>
    <dgm:txLinClrLst/>
    <dgm:txFillClrLst/>
    <dgm:txEffectClrLst/>
  </dgm:styleLbl>
  <dgm:styleLbl name="node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f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align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b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dgm:linClrLst>
    <dgm:effectClrLst/>
    <dgm:txLinClrLst/>
    <dgm:txFillClrLst meth="repeat">
      <a:schemeClr val="tx1"/>
    </dgm:txFillClrLst>
    <dgm:txEffectClrLst/>
  </dgm:styleLbl>
  <dgm:styleLbl name="asst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dgm:txEffectClrLst/>
  </dgm:styleLbl>
  <dgm:styleLbl name="parChTrans2D2">
    <dgm:fillClrLst meth="repeat">
      <a:schemeClr val="accent6"/>
    </dgm:fillClrLst>
    <dgm:linClrLst meth="repeat">
      <a:schemeClr val="accent6"/>
    </dgm:linClrLst>
    <dgm:effectClrLst/>
    <dgm:txLinClrLst/>
    <dgm:txFillClrLst/>
    <dgm:txEffectClrLst/>
  </dgm:styleLbl>
  <dgm:styleLbl name="parChTrans2D3">
    <dgm:fillClrLst meth="repeat">
      <a:schemeClr val="accent6"/>
    </dgm:fillClrLst>
    <dgm:linClrLst meth="repeat">
      <a:schemeClr val="accent6"/>
    </dgm:linClrLst>
    <dgm:effectClrLst/>
    <dgm:txLinClrLst/>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con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align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trAlignAcc1">
    <dgm:fillClrLst meth="repeat">
      <a:schemeClr val="accent6">
        <a:alpha val="40000"/>
        <a:tint val="40000"/>
      </a:schemeClr>
    </dgm:fillClrLst>
    <dgm:linClrLst meth="repeat">
      <a:schemeClr val="accent6"/>
    </dgm:linClrLst>
    <dgm:effectClrLst/>
    <dgm:txLinClrLst/>
    <dgm:txFillClrLst meth="repeat">
      <a:schemeClr val="dk1"/>
    </dgm:txFillClrLst>
    <dgm:txEffectClrLst/>
  </dgm:styleLbl>
  <dgm:styleLbl name="b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fgAcc0">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2">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3">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4">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C8EFC9A-BDC9-4CB0-8DCF-FD6F89FD7C78}" type="doc">
      <dgm:prSet loTypeId="urn:microsoft.com/office/officeart/2005/8/layout/lProcess2" loCatId="list" qsTypeId="urn:microsoft.com/office/officeart/2005/8/quickstyle/simple1" qsCatId="simple" csTypeId="urn:microsoft.com/office/officeart/2005/8/colors/accent6_1" csCatId="accent6" phldr="1"/>
      <dgm:spPr/>
      <dgm:t>
        <a:bodyPr/>
        <a:lstStyle/>
        <a:p>
          <a:endParaRPr lang="nl-NL"/>
        </a:p>
      </dgm:t>
    </dgm:pt>
    <dgm:pt modelId="{7ED69BD0-5C46-430C-BD11-1675B78445AF}">
      <dgm:prSet phldrT="[Tekst]" custT="1"/>
      <dgm:spPr/>
      <dgm:t>
        <a:bodyPr/>
        <a:lstStyle/>
        <a:p>
          <a:r>
            <a:rPr lang="nl-NL" sz="1800" b="1"/>
            <a:t>Digital Power Basic Skills</a:t>
          </a:r>
        </a:p>
      </dgm:t>
    </dgm:pt>
    <dgm:pt modelId="{E750908F-6048-4121-9824-44DEE38A9550}" type="parTrans" cxnId="{6E3EB49A-F9C7-49B8-A048-579421865614}">
      <dgm:prSet/>
      <dgm:spPr/>
      <dgm:t>
        <a:bodyPr/>
        <a:lstStyle/>
        <a:p>
          <a:endParaRPr lang="nl-NL" sz="2400"/>
        </a:p>
      </dgm:t>
    </dgm:pt>
    <dgm:pt modelId="{218C9A6D-6F68-45C1-B697-BBF6B4D44B14}" type="sibTrans" cxnId="{6E3EB49A-F9C7-49B8-A048-579421865614}">
      <dgm:prSet/>
      <dgm:spPr/>
      <dgm:t>
        <a:bodyPr/>
        <a:lstStyle/>
        <a:p>
          <a:endParaRPr lang="nl-NL" sz="2400"/>
        </a:p>
      </dgm:t>
    </dgm:pt>
    <dgm:pt modelId="{E4B92491-EA9A-4D22-9CF8-82866D9BC210}">
      <dgm:prSet phldrT="[Tekst]" custT="1"/>
      <dgm:spPr/>
      <dgm:t>
        <a:bodyPr/>
        <a:lstStyle/>
        <a:p>
          <a:r>
            <a:rPr lang="nl-NL" sz="900"/>
            <a:t>Leren &amp; reflecteren</a:t>
          </a:r>
        </a:p>
      </dgm:t>
    </dgm:pt>
    <dgm:pt modelId="{AAD8A640-0904-42B2-8737-4F819FCC663F}" type="parTrans" cxnId="{B9B84F3F-92DA-48E6-A3BB-B7C952E21BD3}">
      <dgm:prSet/>
      <dgm:spPr/>
      <dgm:t>
        <a:bodyPr/>
        <a:lstStyle/>
        <a:p>
          <a:endParaRPr lang="nl-NL" sz="2400"/>
        </a:p>
      </dgm:t>
    </dgm:pt>
    <dgm:pt modelId="{6A795A40-8887-4AB1-8E50-2A17E97000C7}" type="sibTrans" cxnId="{B9B84F3F-92DA-48E6-A3BB-B7C952E21BD3}">
      <dgm:prSet/>
      <dgm:spPr/>
      <dgm:t>
        <a:bodyPr/>
        <a:lstStyle/>
        <a:p>
          <a:endParaRPr lang="nl-NL" sz="2400"/>
        </a:p>
      </dgm:t>
    </dgm:pt>
    <dgm:pt modelId="{1DCEF51C-F50A-4B0B-9902-33B322D5ADEF}">
      <dgm:prSet phldrT="[Tekst]" custT="1"/>
      <dgm:spPr/>
      <dgm:t>
        <a:bodyPr/>
        <a:lstStyle/>
        <a:p>
          <a:r>
            <a:rPr lang="nl-NL" sz="900"/>
            <a:t>Ondernemen &amp; resultaatgericht</a:t>
          </a:r>
        </a:p>
      </dgm:t>
    </dgm:pt>
    <dgm:pt modelId="{2C60948B-205E-4F80-82A1-F8B8D3A331F9}" type="parTrans" cxnId="{3EC95584-F64E-4F01-9306-D20FA216FBEC}">
      <dgm:prSet/>
      <dgm:spPr/>
      <dgm:t>
        <a:bodyPr/>
        <a:lstStyle/>
        <a:p>
          <a:endParaRPr lang="nl-NL" sz="2400"/>
        </a:p>
      </dgm:t>
    </dgm:pt>
    <dgm:pt modelId="{54A7321B-FDE2-4C58-BFBF-737A8982D7C8}" type="sibTrans" cxnId="{3EC95584-F64E-4F01-9306-D20FA216FBEC}">
      <dgm:prSet/>
      <dgm:spPr/>
      <dgm:t>
        <a:bodyPr/>
        <a:lstStyle/>
        <a:p>
          <a:endParaRPr lang="nl-NL" sz="2400"/>
        </a:p>
      </dgm:t>
    </dgm:pt>
    <dgm:pt modelId="{71C93146-8DBD-47BA-9B89-8D2FF25B6FDE}">
      <dgm:prSet phldrT="[Tekst]" custT="1"/>
      <dgm:spPr/>
      <dgm:t>
        <a:bodyPr/>
        <a:lstStyle/>
        <a:p>
          <a:r>
            <a:rPr lang="nl-NL" sz="1800" b="1"/>
            <a:t>Domein skills</a:t>
          </a:r>
        </a:p>
      </dgm:t>
    </dgm:pt>
    <dgm:pt modelId="{A4EFA77B-9971-480B-8CDC-B60EE2909B0A}" type="parTrans" cxnId="{85CA7328-C88E-4CCA-A503-4BBF9E60CB5E}">
      <dgm:prSet/>
      <dgm:spPr/>
      <dgm:t>
        <a:bodyPr/>
        <a:lstStyle/>
        <a:p>
          <a:endParaRPr lang="nl-NL" sz="2400"/>
        </a:p>
      </dgm:t>
    </dgm:pt>
    <dgm:pt modelId="{8213C114-C822-4D1A-8481-C09CD83DA145}" type="sibTrans" cxnId="{85CA7328-C88E-4CCA-A503-4BBF9E60CB5E}">
      <dgm:prSet/>
      <dgm:spPr/>
      <dgm:t>
        <a:bodyPr/>
        <a:lstStyle/>
        <a:p>
          <a:endParaRPr lang="nl-NL" sz="2400"/>
        </a:p>
      </dgm:t>
    </dgm:pt>
    <dgm:pt modelId="{6C20051A-C227-4FCE-84B9-13E8355C6FE0}">
      <dgm:prSet phldrT="[Tekst]" custT="1"/>
      <dgm:spPr/>
      <dgm:t>
        <a:bodyPr/>
        <a:lstStyle/>
        <a:p>
          <a:r>
            <a:rPr lang="nl-NL" sz="900"/>
            <a:t>Communication developers/ analysts</a:t>
          </a:r>
        </a:p>
      </dgm:t>
    </dgm:pt>
    <dgm:pt modelId="{31AEE7A3-A8AC-425D-8431-C8B66249CB15}" type="parTrans" cxnId="{B6A2B7A2-FF80-4270-BE4E-2808830EFFFC}">
      <dgm:prSet/>
      <dgm:spPr/>
      <dgm:t>
        <a:bodyPr/>
        <a:lstStyle/>
        <a:p>
          <a:endParaRPr lang="nl-NL" sz="2400"/>
        </a:p>
      </dgm:t>
    </dgm:pt>
    <dgm:pt modelId="{70525940-7440-4C0F-AFCA-45BB15C67DD9}" type="sibTrans" cxnId="{B6A2B7A2-FF80-4270-BE4E-2808830EFFFC}">
      <dgm:prSet/>
      <dgm:spPr/>
      <dgm:t>
        <a:bodyPr/>
        <a:lstStyle/>
        <a:p>
          <a:endParaRPr lang="nl-NL" sz="2400"/>
        </a:p>
      </dgm:t>
    </dgm:pt>
    <dgm:pt modelId="{CB339438-8F81-4836-B0D6-39E445779B2D}">
      <dgm:prSet phldrT="[Tekst]" custT="1"/>
      <dgm:spPr/>
      <dgm:t>
        <a:bodyPr/>
        <a:lstStyle/>
        <a:p>
          <a:r>
            <a:rPr lang="nl-NL" sz="1800" b="1"/>
            <a:t>Hardskills</a:t>
          </a:r>
        </a:p>
      </dgm:t>
    </dgm:pt>
    <dgm:pt modelId="{81844B2A-8DE3-4EEB-9E0E-031ED26B43F7}" type="parTrans" cxnId="{FA676D8E-DD10-4206-946E-A18DBBC548C9}">
      <dgm:prSet/>
      <dgm:spPr/>
      <dgm:t>
        <a:bodyPr/>
        <a:lstStyle/>
        <a:p>
          <a:endParaRPr lang="nl-NL" sz="2400"/>
        </a:p>
      </dgm:t>
    </dgm:pt>
    <dgm:pt modelId="{217513DC-7E70-4D8D-9CA4-5D4693EB7292}" type="sibTrans" cxnId="{FA676D8E-DD10-4206-946E-A18DBBC548C9}">
      <dgm:prSet/>
      <dgm:spPr/>
      <dgm:t>
        <a:bodyPr/>
        <a:lstStyle/>
        <a:p>
          <a:endParaRPr lang="nl-NL" sz="2400"/>
        </a:p>
      </dgm:t>
    </dgm:pt>
    <dgm:pt modelId="{D38A169C-73FA-404F-BBC1-E58D54FDBE12}">
      <dgm:prSet phldrT="[Tekst]" custT="1"/>
      <dgm:spPr/>
      <dgm:t>
        <a:bodyPr/>
        <a:lstStyle/>
        <a:p>
          <a:r>
            <a:rPr lang="nl-NL" sz="900"/>
            <a:t>Analytics (management/ admin) kennis</a:t>
          </a:r>
        </a:p>
      </dgm:t>
    </dgm:pt>
    <dgm:pt modelId="{972BF931-FB6A-47EF-8701-10AC9CDA14F0}" type="parTrans" cxnId="{3FCEE895-271C-4136-B426-FE7F1582CEF1}">
      <dgm:prSet/>
      <dgm:spPr/>
      <dgm:t>
        <a:bodyPr/>
        <a:lstStyle/>
        <a:p>
          <a:endParaRPr lang="nl-NL" sz="2400"/>
        </a:p>
      </dgm:t>
    </dgm:pt>
    <dgm:pt modelId="{A99A1C84-B8AD-4CE4-944A-AF6FBA84AD6E}" type="sibTrans" cxnId="{3FCEE895-271C-4136-B426-FE7F1582CEF1}">
      <dgm:prSet/>
      <dgm:spPr/>
      <dgm:t>
        <a:bodyPr/>
        <a:lstStyle/>
        <a:p>
          <a:endParaRPr lang="nl-NL" sz="2400"/>
        </a:p>
      </dgm:t>
    </dgm:pt>
    <dgm:pt modelId="{39F506DE-50F1-49BE-9ED2-88EFDAE6F0E1}">
      <dgm:prSet phldrT="[Tekst]" custT="1"/>
      <dgm:spPr/>
      <dgm:t>
        <a:bodyPr/>
        <a:lstStyle/>
        <a:p>
          <a:r>
            <a:rPr lang="nl-NL" sz="1800" b="1"/>
            <a:t>Basic Consultancy Skills</a:t>
          </a:r>
        </a:p>
      </dgm:t>
    </dgm:pt>
    <dgm:pt modelId="{7F60D346-2BA8-4279-8596-2765F26B3192}" type="parTrans" cxnId="{81471AD1-0069-4A55-AFA7-7230934509D8}">
      <dgm:prSet/>
      <dgm:spPr/>
      <dgm:t>
        <a:bodyPr/>
        <a:lstStyle/>
        <a:p>
          <a:endParaRPr lang="nl-NL" sz="2400"/>
        </a:p>
      </dgm:t>
    </dgm:pt>
    <dgm:pt modelId="{7C66CED6-4EF2-4379-89C4-7E1B0D2D3641}" type="sibTrans" cxnId="{81471AD1-0069-4A55-AFA7-7230934509D8}">
      <dgm:prSet/>
      <dgm:spPr/>
      <dgm:t>
        <a:bodyPr/>
        <a:lstStyle/>
        <a:p>
          <a:endParaRPr lang="nl-NL" sz="2400"/>
        </a:p>
      </dgm:t>
    </dgm:pt>
    <dgm:pt modelId="{5689EC68-4989-4E1E-96FD-3A6DB0CAD78C}">
      <dgm:prSet phldrT="[Tekst]" custT="1"/>
      <dgm:spPr/>
      <dgm:t>
        <a:bodyPr/>
        <a:lstStyle/>
        <a:p>
          <a:r>
            <a:rPr lang="nl-NL" sz="900"/>
            <a:t>Adviseren</a:t>
          </a:r>
        </a:p>
      </dgm:t>
    </dgm:pt>
    <dgm:pt modelId="{5E002F54-8A10-472E-96C2-6347E5C62ABE}" type="parTrans" cxnId="{9E5B2586-4117-46D2-A77F-55BE96C0CD18}">
      <dgm:prSet/>
      <dgm:spPr/>
      <dgm:t>
        <a:bodyPr/>
        <a:lstStyle/>
        <a:p>
          <a:endParaRPr lang="nl-NL" sz="2400"/>
        </a:p>
      </dgm:t>
    </dgm:pt>
    <dgm:pt modelId="{A783D2D8-9AA5-4B37-B664-80F0625BDE23}" type="sibTrans" cxnId="{9E5B2586-4117-46D2-A77F-55BE96C0CD18}">
      <dgm:prSet/>
      <dgm:spPr/>
      <dgm:t>
        <a:bodyPr/>
        <a:lstStyle/>
        <a:p>
          <a:endParaRPr lang="nl-NL" sz="2400"/>
        </a:p>
      </dgm:t>
    </dgm:pt>
    <dgm:pt modelId="{731B959C-F05A-4425-AA8A-A0CC576E0CD6}">
      <dgm:prSet phldrT="[Tekst]" custT="1"/>
      <dgm:spPr/>
      <dgm:t>
        <a:bodyPr/>
        <a:lstStyle/>
        <a:p>
          <a:r>
            <a:rPr lang="nl-NL" sz="1800" b="1"/>
            <a:t>Expert Consultancy Skills</a:t>
          </a:r>
        </a:p>
      </dgm:t>
    </dgm:pt>
    <dgm:pt modelId="{4DAF3717-69D8-4024-BC2D-22D2476AC76E}" type="parTrans" cxnId="{3898561C-AE03-4718-AE3E-8110DF2975AE}">
      <dgm:prSet/>
      <dgm:spPr/>
      <dgm:t>
        <a:bodyPr/>
        <a:lstStyle/>
        <a:p>
          <a:endParaRPr lang="nl-NL" sz="2400"/>
        </a:p>
      </dgm:t>
    </dgm:pt>
    <dgm:pt modelId="{4B9E5D53-0B42-48F6-AA2B-6F5F833B01D8}" type="sibTrans" cxnId="{3898561C-AE03-4718-AE3E-8110DF2975AE}">
      <dgm:prSet/>
      <dgm:spPr/>
      <dgm:t>
        <a:bodyPr/>
        <a:lstStyle/>
        <a:p>
          <a:endParaRPr lang="nl-NL" sz="2400"/>
        </a:p>
      </dgm:t>
    </dgm:pt>
    <dgm:pt modelId="{E4529BFC-7FBA-401E-83DC-ED21706EC71E}">
      <dgm:prSet phldrT="[Tekst]" custT="1"/>
      <dgm:spPr/>
      <dgm:t>
        <a:bodyPr/>
        <a:lstStyle/>
        <a:p>
          <a:r>
            <a:rPr lang="nl-NL" sz="900"/>
            <a:t>Situationele communicatie</a:t>
          </a:r>
        </a:p>
      </dgm:t>
    </dgm:pt>
    <dgm:pt modelId="{75EC726F-0F1A-4A9A-AAA4-BA5A62E7EF13}" type="parTrans" cxnId="{B9770FDA-37FF-43F8-A310-12FA30D16BC1}">
      <dgm:prSet/>
      <dgm:spPr/>
      <dgm:t>
        <a:bodyPr/>
        <a:lstStyle/>
        <a:p>
          <a:endParaRPr lang="nl-NL" sz="2400"/>
        </a:p>
      </dgm:t>
    </dgm:pt>
    <dgm:pt modelId="{2694060A-8504-46CC-B366-F826D32B0115}" type="sibTrans" cxnId="{B9770FDA-37FF-43F8-A310-12FA30D16BC1}">
      <dgm:prSet/>
      <dgm:spPr/>
      <dgm:t>
        <a:bodyPr/>
        <a:lstStyle/>
        <a:p>
          <a:endParaRPr lang="nl-NL" sz="2400"/>
        </a:p>
      </dgm:t>
    </dgm:pt>
    <dgm:pt modelId="{086678A7-F493-4823-B3B6-57A9657951CF}">
      <dgm:prSet phldrT="[Tekst]" custT="1"/>
      <dgm:spPr/>
      <dgm:t>
        <a:bodyPr/>
        <a:lstStyle/>
        <a:p>
          <a:r>
            <a:rPr lang="nl-NL" sz="900"/>
            <a:t>Ondersteunen &amp; samenwerken</a:t>
          </a:r>
        </a:p>
      </dgm:t>
    </dgm:pt>
    <dgm:pt modelId="{D26FD918-8E0C-41E9-A734-59F853D9C88E}" type="parTrans" cxnId="{58C72467-DF9F-4CB4-858D-2E57F85622DE}">
      <dgm:prSet/>
      <dgm:spPr/>
      <dgm:t>
        <a:bodyPr/>
        <a:lstStyle/>
        <a:p>
          <a:endParaRPr lang="nl-NL" sz="2400"/>
        </a:p>
      </dgm:t>
    </dgm:pt>
    <dgm:pt modelId="{BEC88BC7-710D-498D-B073-44C36555D78A}" type="sibTrans" cxnId="{58C72467-DF9F-4CB4-858D-2E57F85622DE}">
      <dgm:prSet/>
      <dgm:spPr/>
      <dgm:t>
        <a:bodyPr/>
        <a:lstStyle/>
        <a:p>
          <a:endParaRPr lang="nl-NL" sz="2400"/>
        </a:p>
      </dgm:t>
    </dgm:pt>
    <dgm:pt modelId="{2E51DF25-B7C0-43DA-ADCE-0B6DAA3E9F7B}">
      <dgm:prSet phldrT="[Tekst]" custT="1"/>
      <dgm:spPr/>
      <dgm:t>
        <a:bodyPr/>
        <a:lstStyle/>
        <a:p>
          <a:r>
            <a:rPr lang="nl-NL" sz="900"/>
            <a:t>Klantgericht</a:t>
          </a:r>
        </a:p>
      </dgm:t>
    </dgm:pt>
    <dgm:pt modelId="{060E53C2-706B-40E2-B6B1-DC5694082B1A}" type="parTrans" cxnId="{9AA6C102-B33A-45C3-AE7D-4BCB09515111}">
      <dgm:prSet/>
      <dgm:spPr/>
      <dgm:t>
        <a:bodyPr/>
        <a:lstStyle/>
        <a:p>
          <a:endParaRPr lang="nl-NL" sz="2400"/>
        </a:p>
      </dgm:t>
    </dgm:pt>
    <dgm:pt modelId="{54C986C0-7254-4D77-8EF8-B2E27153E9C6}" type="sibTrans" cxnId="{9AA6C102-B33A-45C3-AE7D-4BCB09515111}">
      <dgm:prSet/>
      <dgm:spPr/>
      <dgm:t>
        <a:bodyPr/>
        <a:lstStyle/>
        <a:p>
          <a:endParaRPr lang="nl-NL" sz="2400"/>
        </a:p>
      </dgm:t>
    </dgm:pt>
    <dgm:pt modelId="{C765EFE1-9587-4BD0-BA1D-81A6425C17DB}">
      <dgm:prSet phldrT="[Tekst]" custT="1"/>
      <dgm:spPr/>
      <dgm:t>
        <a:bodyPr/>
        <a:lstStyle/>
        <a:p>
          <a:r>
            <a:rPr lang="nl-NL" sz="900"/>
            <a:t>Kennisdeling</a:t>
          </a:r>
        </a:p>
      </dgm:t>
    </dgm:pt>
    <dgm:pt modelId="{9666F175-7D96-457C-A175-023DEBE6F969}" type="parTrans" cxnId="{B60D540F-CFA6-412D-9DCA-BF4FB473BD58}">
      <dgm:prSet/>
      <dgm:spPr/>
      <dgm:t>
        <a:bodyPr/>
        <a:lstStyle/>
        <a:p>
          <a:endParaRPr lang="nl-NL" sz="2400"/>
        </a:p>
      </dgm:t>
    </dgm:pt>
    <dgm:pt modelId="{F6867B9E-C732-4845-A91D-352DB38C5B50}" type="sibTrans" cxnId="{B60D540F-CFA6-412D-9DCA-BF4FB473BD58}">
      <dgm:prSet/>
      <dgm:spPr/>
      <dgm:t>
        <a:bodyPr/>
        <a:lstStyle/>
        <a:p>
          <a:endParaRPr lang="nl-NL" sz="2400"/>
        </a:p>
      </dgm:t>
    </dgm:pt>
    <dgm:pt modelId="{7C0E973C-743C-470A-8B02-0F4E3FD93FC5}">
      <dgm:prSet phldrT="[Tekst]" custT="1"/>
      <dgm:spPr/>
      <dgm:t>
        <a:bodyPr/>
        <a:lstStyle/>
        <a:p>
          <a:r>
            <a:rPr lang="nl-NL" sz="900"/>
            <a:t>Coaching &amp; begeleiding</a:t>
          </a:r>
        </a:p>
      </dgm:t>
    </dgm:pt>
    <dgm:pt modelId="{6D16B90E-7EB1-4EB7-A35C-49E2D6F9539C}" type="parTrans" cxnId="{4D3BDD4D-4325-42D8-8823-D4F547B79AB4}">
      <dgm:prSet/>
      <dgm:spPr/>
      <dgm:t>
        <a:bodyPr/>
        <a:lstStyle/>
        <a:p>
          <a:endParaRPr lang="nl-NL" sz="2400"/>
        </a:p>
      </dgm:t>
    </dgm:pt>
    <dgm:pt modelId="{CC84AF64-DE57-4A04-8A0F-424FADB77927}" type="sibTrans" cxnId="{4D3BDD4D-4325-42D8-8823-D4F547B79AB4}">
      <dgm:prSet/>
      <dgm:spPr/>
      <dgm:t>
        <a:bodyPr/>
        <a:lstStyle/>
        <a:p>
          <a:endParaRPr lang="nl-NL" sz="2400"/>
        </a:p>
      </dgm:t>
    </dgm:pt>
    <dgm:pt modelId="{C134F88E-4C4C-4F83-B22D-C129B7E3477A}">
      <dgm:prSet phldrT="[Tekst]" custT="1"/>
      <dgm:spPr/>
      <dgm:t>
        <a:bodyPr/>
        <a:lstStyle/>
        <a:p>
          <a:r>
            <a:rPr lang="nl-NL" sz="900"/>
            <a:t>Doortastend &amp; probleemoplossend</a:t>
          </a:r>
        </a:p>
      </dgm:t>
    </dgm:pt>
    <dgm:pt modelId="{3A9BCE9D-421C-4EAB-A25F-50ADA7668B4B}" type="parTrans" cxnId="{6317B032-9E2D-4C09-BFCB-DEE7F6FB19EC}">
      <dgm:prSet/>
      <dgm:spPr/>
      <dgm:t>
        <a:bodyPr/>
        <a:lstStyle/>
        <a:p>
          <a:endParaRPr lang="nl-NL" sz="2400"/>
        </a:p>
      </dgm:t>
    </dgm:pt>
    <dgm:pt modelId="{4236607B-8CE8-427B-A6C7-9C4FA5BC3E95}" type="sibTrans" cxnId="{6317B032-9E2D-4C09-BFCB-DEE7F6FB19EC}">
      <dgm:prSet/>
      <dgm:spPr/>
      <dgm:t>
        <a:bodyPr/>
        <a:lstStyle/>
        <a:p>
          <a:endParaRPr lang="nl-NL" sz="2400"/>
        </a:p>
      </dgm:t>
    </dgm:pt>
    <dgm:pt modelId="{5788F799-C613-40C5-8761-BEA82B1C90FC}">
      <dgm:prSet phldrT="[Tekst]" custT="1"/>
      <dgm:spPr/>
      <dgm:t>
        <a:bodyPr/>
        <a:lstStyle/>
        <a:p>
          <a:r>
            <a:rPr lang="nl-NL" sz="900"/>
            <a:t>Interpersoonlijke communicatie</a:t>
          </a:r>
        </a:p>
      </dgm:t>
    </dgm:pt>
    <dgm:pt modelId="{B1600F06-2268-4E93-8025-6213C861BF03}" type="parTrans" cxnId="{DFD1EAA7-E9B7-4782-A476-14CE33073947}">
      <dgm:prSet/>
      <dgm:spPr/>
      <dgm:t>
        <a:bodyPr/>
        <a:lstStyle/>
        <a:p>
          <a:endParaRPr lang="nl-NL" sz="2400"/>
        </a:p>
      </dgm:t>
    </dgm:pt>
    <dgm:pt modelId="{34DDA67C-48F2-49AC-B592-522587E58066}" type="sibTrans" cxnId="{DFD1EAA7-E9B7-4782-A476-14CE33073947}">
      <dgm:prSet/>
      <dgm:spPr/>
      <dgm:t>
        <a:bodyPr/>
        <a:lstStyle/>
        <a:p>
          <a:endParaRPr lang="nl-NL" sz="2400"/>
        </a:p>
      </dgm:t>
    </dgm:pt>
    <dgm:pt modelId="{451149D5-FEDA-4765-B600-5039ABB58E53}">
      <dgm:prSet phldrT="[Tekst]" custT="1"/>
      <dgm:spPr/>
      <dgm:t>
        <a:bodyPr/>
        <a:lstStyle/>
        <a:p>
          <a:r>
            <a:rPr lang="nl-NL" sz="900"/>
            <a:t>Verwachtings-management</a:t>
          </a:r>
        </a:p>
      </dgm:t>
    </dgm:pt>
    <dgm:pt modelId="{4E2281CA-A78E-45B2-B336-A5EC6E0D7E46}" type="parTrans" cxnId="{A91C153A-AAE1-478B-8F28-DD6597A354F0}">
      <dgm:prSet/>
      <dgm:spPr/>
      <dgm:t>
        <a:bodyPr/>
        <a:lstStyle/>
        <a:p>
          <a:endParaRPr lang="nl-NL" sz="2400"/>
        </a:p>
      </dgm:t>
    </dgm:pt>
    <dgm:pt modelId="{9902A7BB-1925-42EB-BB58-87F6AD6E80B5}" type="sibTrans" cxnId="{A91C153A-AAE1-478B-8F28-DD6597A354F0}">
      <dgm:prSet/>
      <dgm:spPr/>
      <dgm:t>
        <a:bodyPr/>
        <a:lstStyle/>
        <a:p>
          <a:endParaRPr lang="nl-NL" sz="2400"/>
        </a:p>
      </dgm:t>
    </dgm:pt>
    <dgm:pt modelId="{C73CB937-E35C-46A7-A528-03AE78F9430B}">
      <dgm:prSet phldrT="[Tekst]" custT="1"/>
      <dgm:spPr/>
      <dgm:t>
        <a:bodyPr/>
        <a:lstStyle/>
        <a:p>
          <a:r>
            <a:rPr lang="nl-NL" sz="900"/>
            <a:t>Schriftelijke en mondelinge communicatie</a:t>
          </a:r>
        </a:p>
      </dgm:t>
    </dgm:pt>
    <dgm:pt modelId="{4C4481EF-620D-4181-8F00-31DC7C846A66}" type="parTrans" cxnId="{DF4930EE-E080-4A33-A5A2-D0A164B70308}">
      <dgm:prSet/>
      <dgm:spPr/>
      <dgm:t>
        <a:bodyPr/>
        <a:lstStyle/>
        <a:p>
          <a:endParaRPr lang="nl-NL" sz="2400"/>
        </a:p>
      </dgm:t>
    </dgm:pt>
    <dgm:pt modelId="{CF0C6F57-028A-4F8B-9B40-15B58322102D}" type="sibTrans" cxnId="{DF4930EE-E080-4A33-A5A2-D0A164B70308}">
      <dgm:prSet/>
      <dgm:spPr/>
      <dgm:t>
        <a:bodyPr/>
        <a:lstStyle/>
        <a:p>
          <a:endParaRPr lang="nl-NL" sz="2400"/>
        </a:p>
      </dgm:t>
    </dgm:pt>
    <dgm:pt modelId="{00C5AD74-BB5E-4C37-87ED-5C005FAF2322}">
      <dgm:prSet phldrT="[Tekst]" custT="1"/>
      <dgm:spPr/>
      <dgm:t>
        <a:bodyPr/>
        <a:lstStyle/>
        <a:p>
          <a:r>
            <a:rPr lang="nl-NL" sz="900"/>
            <a:t>Doelgerichte &amp; effectieve communicatie</a:t>
          </a:r>
        </a:p>
      </dgm:t>
    </dgm:pt>
    <dgm:pt modelId="{404B7502-7D11-4D22-9D7C-06E3E9EF975E}" type="parTrans" cxnId="{501AF81F-EDA7-4634-BE2F-4461AC162427}">
      <dgm:prSet/>
      <dgm:spPr/>
      <dgm:t>
        <a:bodyPr/>
        <a:lstStyle/>
        <a:p>
          <a:endParaRPr lang="nl-NL" sz="2400"/>
        </a:p>
      </dgm:t>
    </dgm:pt>
    <dgm:pt modelId="{3EDD23AB-CD9C-43D5-A813-69B24A88F265}" type="sibTrans" cxnId="{501AF81F-EDA7-4634-BE2F-4461AC162427}">
      <dgm:prSet/>
      <dgm:spPr/>
      <dgm:t>
        <a:bodyPr/>
        <a:lstStyle/>
        <a:p>
          <a:endParaRPr lang="nl-NL" sz="2400"/>
        </a:p>
      </dgm:t>
    </dgm:pt>
    <dgm:pt modelId="{33D15CE1-2AE0-443F-9467-251AED4D49CA}">
      <dgm:prSet phldrT="[Tekst]" custT="1"/>
      <dgm:spPr/>
      <dgm:t>
        <a:bodyPr/>
        <a:lstStyle/>
        <a:p>
          <a:r>
            <a:rPr lang="nl-NL" sz="900"/>
            <a:t>Besluitvaardigheid</a:t>
          </a:r>
        </a:p>
      </dgm:t>
    </dgm:pt>
    <dgm:pt modelId="{8DBE2E30-A162-48E8-A94C-52C937E1A99A}" type="parTrans" cxnId="{30B7E838-9B7D-4D9C-AF84-FB3D80B5C2B5}">
      <dgm:prSet/>
      <dgm:spPr/>
      <dgm:t>
        <a:bodyPr/>
        <a:lstStyle/>
        <a:p>
          <a:endParaRPr lang="nl-NL" sz="2400"/>
        </a:p>
      </dgm:t>
    </dgm:pt>
    <dgm:pt modelId="{4DADF293-3BD0-4310-9161-04488FADA7BD}" type="sibTrans" cxnId="{30B7E838-9B7D-4D9C-AF84-FB3D80B5C2B5}">
      <dgm:prSet/>
      <dgm:spPr/>
      <dgm:t>
        <a:bodyPr/>
        <a:lstStyle/>
        <a:p>
          <a:endParaRPr lang="nl-NL" sz="2400"/>
        </a:p>
      </dgm:t>
    </dgm:pt>
    <dgm:pt modelId="{464CADB2-5C0A-499E-880D-27B3B06B5A3D}">
      <dgm:prSet phldrT="[Tekst]" custT="1"/>
      <dgm:spPr/>
      <dgm:t>
        <a:bodyPr/>
        <a:lstStyle/>
        <a:p>
          <a:r>
            <a:rPr lang="nl-NL" sz="900"/>
            <a:t>Overtuigen &amp; beinvloeden</a:t>
          </a:r>
        </a:p>
      </dgm:t>
    </dgm:pt>
    <dgm:pt modelId="{8119D722-6BA9-4785-8A53-4105DEEDF657}" type="parTrans" cxnId="{16961D73-ACEE-46B1-941F-230149DA61A6}">
      <dgm:prSet/>
      <dgm:spPr/>
      <dgm:t>
        <a:bodyPr/>
        <a:lstStyle/>
        <a:p>
          <a:endParaRPr lang="nl-NL" sz="2400"/>
        </a:p>
      </dgm:t>
    </dgm:pt>
    <dgm:pt modelId="{B913E8EF-34C5-40F3-B6EB-CE64043368BA}" type="sibTrans" cxnId="{16961D73-ACEE-46B1-941F-230149DA61A6}">
      <dgm:prSet/>
      <dgm:spPr/>
      <dgm:t>
        <a:bodyPr/>
        <a:lstStyle/>
        <a:p>
          <a:endParaRPr lang="nl-NL" sz="2400"/>
        </a:p>
      </dgm:t>
    </dgm:pt>
    <dgm:pt modelId="{A7DDA4F1-B40B-46B4-B746-EA89906A2FB4}">
      <dgm:prSet phldrT="[Tekst]" custT="1"/>
      <dgm:spPr/>
      <dgm:t>
        <a:bodyPr/>
        <a:lstStyle/>
        <a:p>
          <a:r>
            <a:rPr lang="nl-NL" sz="900"/>
            <a:t>Opbouwende feedback &amp; slecht nieuws gesprekken</a:t>
          </a:r>
        </a:p>
      </dgm:t>
    </dgm:pt>
    <dgm:pt modelId="{27302846-3F4E-4890-8FD2-653D02ED08C4}" type="parTrans" cxnId="{1A1ED718-5287-4C05-9F2C-9C591CDAFBB1}">
      <dgm:prSet/>
      <dgm:spPr/>
      <dgm:t>
        <a:bodyPr/>
        <a:lstStyle/>
        <a:p>
          <a:endParaRPr lang="nl-NL" sz="2400"/>
        </a:p>
      </dgm:t>
    </dgm:pt>
    <dgm:pt modelId="{BDDA1F47-37EC-4594-B19B-6BEADC130A10}" type="sibTrans" cxnId="{1A1ED718-5287-4C05-9F2C-9C591CDAFBB1}">
      <dgm:prSet/>
      <dgm:spPr/>
      <dgm:t>
        <a:bodyPr/>
        <a:lstStyle/>
        <a:p>
          <a:endParaRPr lang="nl-NL" sz="2400"/>
        </a:p>
      </dgm:t>
    </dgm:pt>
    <dgm:pt modelId="{35F91573-84CF-4D05-97CE-0E5A3583D4E6}">
      <dgm:prSet phldrT="[Tekst]" custT="1"/>
      <dgm:spPr/>
      <dgm:t>
        <a:bodyPr/>
        <a:lstStyle/>
        <a:p>
          <a:r>
            <a:rPr lang="nl-NL" sz="1800" b="1"/>
            <a:t>Business Skills</a:t>
          </a:r>
        </a:p>
      </dgm:t>
    </dgm:pt>
    <dgm:pt modelId="{C4B92D65-5D5B-4031-AC81-F50BE376D814}" type="parTrans" cxnId="{D99B360E-0CD9-4872-8220-7B7AB6BFD839}">
      <dgm:prSet/>
      <dgm:spPr/>
      <dgm:t>
        <a:bodyPr/>
        <a:lstStyle/>
        <a:p>
          <a:endParaRPr lang="nl-NL"/>
        </a:p>
      </dgm:t>
    </dgm:pt>
    <dgm:pt modelId="{F141414D-6441-49BD-B8D1-7829EEA431E5}" type="sibTrans" cxnId="{D99B360E-0CD9-4872-8220-7B7AB6BFD839}">
      <dgm:prSet/>
      <dgm:spPr/>
      <dgm:t>
        <a:bodyPr/>
        <a:lstStyle/>
        <a:p>
          <a:endParaRPr lang="nl-NL"/>
        </a:p>
      </dgm:t>
    </dgm:pt>
    <dgm:pt modelId="{437562EF-45B9-4108-A430-E90D425350DB}">
      <dgm:prSet phldrT="[Tekst]"/>
      <dgm:spPr/>
      <dgm:t>
        <a:bodyPr/>
        <a:lstStyle/>
        <a:p>
          <a:r>
            <a:rPr lang="nl-NL"/>
            <a:t>Organisatie- en management identificatie</a:t>
          </a:r>
        </a:p>
      </dgm:t>
    </dgm:pt>
    <dgm:pt modelId="{5D122FFE-41EF-4D98-A656-471511B9F739}" type="parTrans" cxnId="{55C2DFF2-EDBE-45FB-8FCB-121AEBAE19AA}">
      <dgm:prSet/>
      <dgm:spPr/>
      <dgm:t>
        <a:bodyPr/>
        <a:lstStyle/>
        <a:p>
          <a:endParaRPr lang="nl-NL"/>
        </a:p>
      </dgm:t>
    </dgm:pt>
    <dgm:pt modelId="{DA5646B2-415F-44CC-B454-6CDE34BFAF76}" type="sibTrans" cxnId="{55C2DFF2-EDBE-45FB-8FCB-121AEBAE19AA}">
      <dgm:prSet/>
      <dgm:spPr/>
      <dgm:t>
        <a:bodyPr/>
        <a:lstStyle/>
        <a:p>
          <a:endParaRPr lang="nl-NL"/>
        </a:p>
      </dgm:t>
    </dgm:pt>
    <dgm:pt modelId="{2B8DCA65-5882-490B-B6E0-1244B42860BD}">
      <dgm:prSet phldrT="[Tekst]"/>
      <dgm:spPr/>
      <dgm:t>
        <a:bodyPr/>
        <a:lstStyle/>
        <a:p>
          <a:r>
            <a:rPr lang="nl-NL"/>
            <a:t>Strategische conceptualisatie</a:t>
          </a:r>
        </a:p>
      </dgm:t>
    </dgm:pt>
    <dgm:pt modelId="{AF4BB2B8-6F57-43A5-998F-8FEB6870A237}" type="parTrans" cxnId="{C6CB4B4E-3CB8-4590-84FC-3F095DABDA92}">
      <dgm:prSet/>
      <dgm:spPr/>
      <dgm:t>
        <a:bodyPr/>
        <a:lstStyle/>
        <a:p>
          <a:endParaRPr lang="nl-NL"/>
        </a:p>
      </dgm:t>
    </dgm:pt>
    <dgm:pt modelId="{DCAF1C21-F262-4AFE-8421-2B398F24486E}" type="sibTrans" cxnId="{C6CB4B4E-3CB8-4590-84FC-3F095DABDA92}">
      <dgm:prSet/>
      <dgm:spPr/>
      <dgm:t>
        <a:bodyPr/>
        <a:lstStyle/>
        <a:p>
          <a:endParaRPr lang="nl-NL"/>
        </a:p>
      </dgm:t>
    </dgm:pt>
    <dgm:pt modelId="{15D775C9-9490-4A8C-8606-292DE6D1D53F}">
      <dgm:prSet phldrT="[Tekst]"/>
      <dgm:spPr/>
      <dgm:t>
        <a:bodyPr/>
        <a:lstStyle/>
        <a:p>
          <a:r>
            <a:rPr lang="nl-NL"/>
            <a:t>Projectmanagement</a:t>
          </a:r>
        </a:p>
      </dgm:t>
    </dgm:pt>
    <dgm:pt modelId="{F8978FD2-D021-43EA-A358-35B52665F96B}" type="parTrans" cxnId="{3DE601D1-0C81-4723-843D-1DD0725735FE}">
      <dgm:prSet/>
      <dgm:spPr/>
      <dgm:t>
        <a:bodyPr/>
        <a:lstStyle/>
        <a:p>
          <a:endParaRPr lang="nl-NL"/>
        </a:p>
      </dgm:t>
    </dgm:pt>
    <dgm:pt modelId="{F54A7DEE-2768-4F69-97DE-957C9B2086DF}" type="sibTrans" cxnId="{3DE601D1-0C81-4723-843D-1DD0725735FE}">
      <dgm:prSet/>
      <dgm:spPr/>
      <dgm:t>
        <a:bodyPr/>
        <a:lstStyle/>
        <a:p>
          <a:endParaRPr lang="nl-NL"/>
        </a:p>
      </dgm:t>
    </dgm:pt>
    <dgm:pt modelId="{23669D9C-1B83-4042-BBDD-E437161DD5D6}">
      <dgm:prSet phldrT="[Tekst]"/>
      <dgm:spPr/>
      <dgm:t>
        <a:bodyPr/>
        <a:lstStyle/>
        <a:p>
          <a:r>
            <a:rPr lang="nl-NL"/>
            <a:t>Verander-management</a:t>
          </a:r>
        </a:p>
      </dgm:t>
    </dgm:pt>
    <dgm:pt modelId="{BC0690C2-1CFB-4558-98BE-D57A2ED56433}" type="parTrans" cxnId="{BC0D9673-3077-4617-B59E-EC25082B159E}">
      <dgm:prSet/>
      <dgm:spPr/>
      <dgm:t>
        <a:bodyPr/>
        <a:lstStyle/>
        <a:p>
          <a:endParaRPr lang="nl-NL"/>
        </a:p>
      </dgm:t>
    </dgm:pt>
    <dgm:pt modelId="{F788100D-E697-41D6-8F56-32F86DF6336D}" type="sibTrans" cxnId="{BC0D9673-3077-4617-B59E-EC25082B159E}">
      <dgm:prSet/>
      <dgm:spPr/>
      <dgm:t>
        <a:bodyPr/>
        <a:lstStyle/>
        <a:p>
          <a:endParaRPr lang="nl-NL"/>
        </a:p>
      </dgm:t>
    </dgm:pt>
    <dgm:pt modelId="{9CC56A7C-11FF-4892-B122-891E65EB1004}">
      <dgm:prSet phldrT="[Tekst]"/>
      <dgm:spPr/>
      <dgm:t>
        <a:bodyPr/>
        <a:lstStyle/>
        <a:p>
          <a:r>
            <a:rPr lang="nl-NL"/>
            <a:t>Leidinggeven</a:t>
          </a:r>
        </a:p>
      </dgm:t>
    </dgm:pt>
    <dgm:pt modelId="{F9FC4AA1-7DA9-455E-8AF2-773670B97011}" type="parTrans" cxnId="{DD5B6D5E-0C04-4034-8CAF-6472FC67D767}">
      <dgm:prSet/>
      <dgm:spPr/>
      <dgm:t>
        <a:bodyPr/>
        <a:lstStyle/>
        <a:p>
          <a:endParaRPr lang="nl-NL"/>
        </a:p>
      </dgm:t>
    </dgm:pt>
    <dgm:pt modelId="{D118C918-C2CF-42EA-A3C1-36E577D91416}" type="sibTrans" cxnId="{DD5B6D5E-0C04-4034-8CAF-6472FC67D767}">
      <dgm:prSet/>
      <dgm:spPr/>
      <dgm:t>
        <a:bodyPr/>
        <a:lstStyle/>
        <a:p>
          <a:endParaRPr lang="nl-NL"/>
        </a:p>
      </dgm:t>
    </dgm:pt>
    <dgm:pt modelId="{142175FC-D925-4743-A65F-E3BE4CE93482}">
      <dgm:prSet phldrT="[Tekst]" custT="1"/>
      <dgm:spPr/>
      <dgm:t>
        <a:bodyPr/>
        <a:lstStyle/>
        <a:p>
          <a:r>
            <a:rPr lang="nl-NL" sz="900"/>
            <a:t>Tag management</a:t>
          </a:r>
        </a:p>
      </dgm:t>
    </dgm:pt>
    <dgm:pt modelId="{3FA5FB17-3DCF-4F2B-B758-E9DEE5EB1962}" type="parTrans" cxnId="{65FAA14E-38CD-404C-950A-F762B2F661D2}">
      <dgm:prSet/>
      <dgm:spPr/>
      <dgm:t>
        <a:bodyPr/>
        <a:lstStyle/>
        <a:p>
          <a:endParaRPr lang="nl-NL"/>
        </a:p>
      </dgm:t>
    </dgm:pt>
    <dgm:pt modelId="{BCC39440-6D9C-40A9-BF31-AD46292F7C99}" type="sibTrans" cxnId="{65FAA14E-38CD-404C-950A-F762B2F661D2}">
      <dgm:prSet/>
      <dgm:spPr/>
      <dgm:t>
        <a:bodyPr/>
        <a:lstStyle/>
        <a:p>
          <a:endParaRPr lang="nl-NL"/>
        </a:p>
      </dgm:t>
    </dgm:pt>
    <dgm:pt modelId="{8B7F9807-F819-4F92-A42F-D1E559B2FD53}">
      <dgm:prSet phldrT="[Tekst]" custT="1"/>
      <dgm:spPr/>
      <dgm:t>
        <a:bodyPr/>
        <a:lstStyle/>
        <a:p>
          <a:r>
            <a:rPr lang="nl-NL" sz="900"/>
            <a:t>Data structures, tagplans, datalayer</a:t>
          </a:r>
        </a:p>
      </dgm:t>
    </dgm:pt>
    <dgm:pt modelId="{5E92501D-E90C-4AA4-BA27-C3436E3BDF67}" type="parTrans" cxnId="{783CA538-8FB1-403A-B0D1-3B523ED66EEE}">
      <dgm:prSet/>
      <dgm:spPr/>
      <dgm:t>
        <a:bodyPr/>
        <a:lstStyle/>
        <a:p>
          <a:endParaRPr lang="nl-NL"/>
        </a:p>
      </dgm:t>
    </dgm:pt>
    <dgm:pt modelId="{EFF7AD93-D1FA-447F-B930-D4EA2D8A3B0F}" type="sibTrans" cxnId="{783CA538-8FB1-403A-B0D1-3B523ED66EEE}">
      <dgm:prSet/>
      <dgm:spPr/>
      <dgm:t>
        <a:bodyPr/>
        <a:lstStyle/>
        <a:p>
          <a:endParaRPr lang="nl-NL"/>
        </a:p>
      </dgm:t>
    </dgm:pt>
    <dgm:pt modelId="{63B20721-F312-4469-9B91-765994301A3A}">
      <dgm:prSet phldrT="[Tekst]" custT="1"/>
      <dgm:spPr/>
      <dgm:t>
        <a:bodyPr/>
        <a:lstStyle/>
        <a:p>
          <a:r>
            <a:rPr lang="nl-NL" sz="900"/>
            <a:t>Tagging trends in domain</a:t>
          </a:r>
        </a:p>
      </dgm:t>
    </dgm:pt>
    <dgm:pt modelId="{FE7C9C80-E997-488F-B028-AB25F0C60E70}" type="parTrans" cxnId="{25D5E091-BCCF-42D9-A142-620561D0902E}">
      <dgm:prSet/>
      <dgm:spPr/>
      <dgm:t>
        <a:bodyPr/>
        <a:lstStyle/>
        <a:p>
          <a:endParaRPr lang="nl-NL"/>
        </a:p>
      </dgm:t>
    </dgm:pt>
    <dgm:pt modelId="{DD71912C-D0E8-402C-ABBE-4158FA781DEE}" type="sibTrans" cxnId="{25D5E091-BCCF-42D9-A142-620561D0902E}">
      <dgm:prSet/>
      <dgm:spPr/>
      <dgm:t>
        <a:bodyPr/>
        <a:lstStyle/>
        <a:p>
          <a:endParaRPr lang="nl-NL"/>
        </a:p>
      </dgm:t>
    </dgm:pt>
    <dgm:pt modelId="{F41F5EF3-2752-4CE6-9583-DFB4FA12F31D}">
      <dgm:prSet phldrT="[Tekst]" custT="1"/>
      <dgm:spPr/>
      <dgm:t>
        <a:bodyPr/>
        <a:lstStyle/>
        <a:p>
          <a:r>
            <a:rPr lang="nl-NL" sz="900"/>
            <a:t>Requirements</a:t>
          </a:r>
        </a:p>
      </dgm:t>
    </dgm:pt>
    <dgm:pt modelId="{385EEA3B-1394-41DA-A43F-24A17FEFB3B2}" type="parTrans" cxnId="{6F93BD73-4263-47E7-94A0-571A55A762C7}">
      <dgm:prSet/>
      <dgm:spPr/>
      <dgm:t>
        <a:bodyPr/>
        <a:lstStyle/>
        <a:p>
          <a:endParaRPr lang="nl-NL"/>
        </a:p>
      </dgm:t>
    </dgm:pt>
    <dgm:pt modelId="{02483115-51F1-442B-8CDD-DEE60CFEA49D}" type="sibTrans" cxnId="{6F93BD73-4263-47E7-94A0-571A55A762C7}">
      <dgm:prSet/>
      <dgm:spPr/>
      <dgm:t>
        <a:bodyPr/>
        <a:lstStyle/>
        <a:p>
          <a:endParaRPr lang="nl-NL"/>
        </a:p>
      </dgm:t>
    </dgm:pt>
    <dgm:pt modelId="{388D3BE7-BB07-4056-B16C-FE7D33D6BD36}">
      <dgm:prSet phldrT="[Tekst]" custT="1"/>
      <dgm:spPr/>
      <dgm:t>
        <a:bodyPr/>
        <a:lstStyle/>
        <a:p>
          <a:r>
            <a:rPr lang="nl-NL" sz="900"/>
            <a:t>Debugging</a:t>
          </a:r>
        </a:p>
      </dgm:t>
    </dgm:pt>
    <dgm:pt modelId="{3635858B-35C0-4468-B5C9-D9FC46059623}" type="parTrans" cxnId="{A6E7CE32-7554-41F6-9C25-95A7B6D33A8D}">
      <dgm:prSet/>
      <dgm:spPr/>
      <dgm:t>
        <a:bodyPr/>
        <a:lstStyle/>
        <a:p>
          <a:endParaRPr lang="nl-NL"/>
        </a:p>
      </dgm:t>
    </dgm:pt>
    <dgm:pt modelId="{C00E6615-BADB-41A3-9F0D-44980A4A6198}" type="sibTrans" cxnId="{A6E7CE32-7554-41F6-9C25-95A7B6D33A8D}">
      <dgm:prSet/>
      <dgm:spPr/>
      <dgm:t>
        <a:bodyPr/>
        <a:lstStyle/>
        <a:p>
          <a:endParaRPr lang="nl-NL"/>
        </a:p>
      </dgm:t>
    </dgm:pt>
    <dgm:pt modelId="{0D2DEA6F-D8C0-4FEB-A933-8C9C6B02B855}">
      <dgm:prSet phldrT="[Tekst]" custT="1"/>
      <dgm:spPr/>
      <dgm:t>
        <a:bodyPr/>
        <a:lstStyle/>
        <a:p>
          <a:r>
            <a:rPr lang="nl-NL" sz="900"/>
            <a:t>Programming</a:t>
          </a:r>
        </a:p>
      </dgm:t>
    </dgm:pt>
    <dgm:pt modelId="{1338C48E-51BB-4AD9-A052-029E069EE8E2}" type="parTrans" cxnId="{EB5F0B77-1588-4912-9274-8563CFAF44EE}">
      <dgm:prSet/>
      <dgm:spPr/>
      <dgm:t>
        <a:bodyPr/>
        <a:lstStyle/>
        <a:p>
          <a:endParaRPr lang="nl-NL"/>
        </a:p>
      </dgm:t>
    </dgm:pt>
    <dgm:pt modelId="{98F0B367-9504-44A7-94E2-F2134D7D10F8}" type="sibTrans" cxnId="{EB5F0B77-1588-4912-9274-8563CFAF44EE}">
      <dgm:prSet/>
      <dgm:spPr/>
      <dgm:t>
        <a:bodyPr/>
        <a:lstStyle/>
        <a:p>
          <a:endParaRPr lang="nl-NL"/>
        </a:p>
      </dgm:t>
    </dgm:pt>
    <dgm:pt modelId="{7D112E5F-5E8D-4BAC-B50E-86C24ABA9E6B}" type="pres">
      <dgm:prSet presAssocID="{3C8EFC9A-BDC9-4CB0-8DCF-FD6F89FD7C78}" presName="theList" presStyleCnt="0">
        <dgm:presLayoutVars>
          <dgm:dir/>
          <dgm:animLvl val="lvl"/>
          <dgm:resizeHandles val="exact"/>
        </dgm:presLayoutVars>
      </dgm:prSet>
      <dgm:spPr/>
    </dgm:pt>
    <dgm:pt modelId="{4301FABA-D3E5-4FCD-BE6A-B0CB16ED0DEF}" type="pres">
      <dgm:prSet presAssocID="{7ED69BD0-5C46-430C-BD11-1675B78445AF}" presName="compNode" presStyleCnt="0"/>
      <dgm:spPr/>
    </dgm:pt>
    <dgm:pt modelId="{4470F352-0887-4B4E-81B9-385C6AD8A1EF}" type="pres">
      <dgm:prSet presAssocID="{7ED69BD0-5C46-430C-BD11-1675B78445AF}" presName="aNode" presStyleLbl="bgShp" presStyleIdx="0" presStyleCnt="6" custLinFactNeighborX="-32702" custLinFactNeighborY="-11298"/>
      <dgm:spPr/>
    </dgm:pt>
    <dgm:pt modelId="{F05B5A65-AC5E-407E-B187-D515ADC27144}" type="pres">
      <dgm:prSet presAssocID="{7ED69BD0-5C46-430C-BD11-1675B78445AF}" presName="textNode" presStyleLbl="bgShp" presStyleIdx="0" presStyleCnt="6"/>
      <dgm:spPr/>
    </dgm:pt>
    <dgm:pt modelId="{A624F00D-DAF2-4670-AA4A-208C7DFEA3B7}" type="pres">
      <dgm:prSet presAssocID="{7ED69BD0-5C46-430C-BD11-1675B78445AF}" presName="compChildNode" presStyleCnt="0"/>
      <dgm:spPr/>
    </dgm:pt>
    <dgm:pt modelId="{533A268E-215C-474A-8A7A-CC045A7FFEC3}" type="pres">
      <dgm:prSet presAssocID="{7ED69BD0-5C46-430C-BD11-1675B78445AF}" presName="theInnerList" presStyleCnt="0"/>
      <dgm:spPr/>
    </dgm:pt>
    <dgm:pt modelId="{D9D4FC23-0730-4C6A-92D3-55905B566BDA}" type="pres">
      <dgm:prSet presAssocID="{E4B92491-EA9A-4D22-9CF8-82866D9BC210}" presName="childNode" presStyleLbl="node1" presStyleIdx="0" presStyleCnt="29">
        <dgm:presLayoutVars>
          <dgm:bulletEnabled val="1"/>
        </dgm:presLayoutVars>
      </dgm:prSet>
      <dgm:spPr/>
    </dgm:pt>
    <dgm:pt modelId="{7CC912D5-C980-4E1E-9C52-57A9CBD43DD8}" type="pres">
      <dgm:prSet presAssocID="{E4B92491-EA9A-4D22-9CF8-82866D9BC210}" presName="aSpace2" presStyleCnt="0"/>
      <dgm:spPr/>
    </dgm:pt>
    <dgm:pt modelId="{B92FF65D-7314-4281-8C61-D2E02ABB453E}" type="pres">
      <dgm:prSet presAssocID="{086678A7-F493-4823-B3B6-57A9657951CF}" presName="childNode" presStyleLbl="node1" presStyleIdx="1" presStyleCnt="29">
        <dgm:presLayoutVars>
          <dgm:bulletEnabled val="1"/>
        </dgm:presLayoutVars>
      </dgm:prSet>
      <dgm:spPr/>
    </dgm:pt>
    <dgm:pt modelId="{73953B14-DABE-4B45-B824-FBE124E351EA}" type="pres">
      <dgm:prSet presAssocID="{086678A7-F493-4823-B3B6-57A9657951CF}" presName="aSpace2" presStyleCnt="0"/>
      <dgm:spPr/>
    </dgm:pt>
    <dgm:pt modelId="{8BA67AC5-5D23-4E1E-BC34-5B51379E48E7}" type="pres">
      <dgm:prSet presAssocID="{1DCEF51C-F50A-4B0B-9902-33B322D5ADEF}" presName="childNode" presStyleLbl="node1" presStyleIdx="2" presStyleCnt="29">
        <dgm:presLayoutVars>
          <dgm:bulletEnabled val="1"/>
        </dgm:presLayoutVars>
      </dgm:prSet>
      <dgm:spPr/>
    </dgm:pt>
    <dgm:pt modelId="{90BBE37B-DDB2-4AAE-AB19-880B559F56DA}" type="pres">
      <dgm:prSet presAssocID="{1DCEF51C-F50A-4B0B-9902-33B322D5ADEF}" presName="aSpace2" presStyleCnt="0"/>
      <dgm:spPr/>
    </dgm:pt>
    <dgm:pt modelId="{EE4F65C3-F61D-4F57-82E6-6248AF681702}" type="pres">
      <dgm:prSet presAssocID="{2E51DF25-B7C0-43DA-ADCE-0B6DAA3E9F7B}" presName="childNode" presStyleLbl="node1" presStyleIdx="3" presStyleCnt="29">
        <dgm:presLayoutVars>
          <dgm:bulletEnabled val="1"/>
        </dgm:presLayoutVars>
      </dgm:prSet>
      <dgm:spPr/>
    </dgm:pt>
    <dgm:pt modelId="{59A96A6C-4DA1-40BF-BF04-0514F78121CF}" type="pres">
      <dgm:prSet presAssocID="{2E51DF25-B7C0-43DA-ADCE-0B6DAA3E9F7B}" presName="aSpace2" presStyleCnt="0"/>
      <dgm:spPr/>
    </dgm:pt>
    <dgm:pt modelId="{4AA2C2D8-38AC-49A4-B325-32683F44EAF4}" type="pres">
      <dgm:prSet presAssocID="{C765EFE1-9587-4BD0-BA1D-81A6425C17DB}" presName="childNode" presStyleLbl="node1" presStyleIdx="4" presStyleCnt="29">
        <dgm:presLayoutVars>
          <dgm:bulletEnabled val="1"/>
        </dgm:presLayoutVars>
      </dgm:prSet>
      <dgm:spPr/>
    </dgm:pt>
    <dgm:pt modelId="{660A3C69-90FE-49F7-90AF-6D0370DB9A7D}" type="pres">
      <dgm:prSet presAssocID="{C765EFE1-9587-4BD0-BA1D-81A6425C17DB}" presName="aSpace2" presStyleCnt="0"/>
      <dgm:spPr/>
    </dgm:pt>
    <dgm:pt modelId="{211DDDCD-7378-4BEA-A98D-65ED33393EC4}" type="pres">
      <dgm:prSet presAssocID="{7C0E973C-743C-470A-8B02-0F4E3FD93FC5}" presName="childNode" presStyleLbl="node1" presStyleIdx="5" presStyleCnt="29">
        <dgm:presLayoutVars>
          <dgm:bulletEnabled val="1"/>
        </dgm:presLayoutVars>
      </dgm:prSet>
      <dgm:spPr/>
    </dgm:pt>
    <dgm:pt modelId="{C16AB182-874D-4807-9AFD-D4E1B87B6A38}" type="pres">
      <dgm:prSet presAssocID="{7ED69BD0-5C46-430C-BD11-1675B78445AF}" presName="aSpace" presStyleCnt="0"/>
      <dgm:spPr/>
    </dgm:pt>
    <dgm:pt modelId="{DDC1624A-B4AF-45C4-96AB-6684F5D040BE}" type="pres">
      <dgm:prSet presAssocID="{71C93146-8DBD-47BA-9B89-8D2FF25B6FDE}" presName="compNode" presStyleCnt="0"/>
      <dgm:spPr/>
    </dgm:pt>
    <dgm:pt modelId="{54671E33-5AC7-4CD0-91C9-A60A47022F3E}" type="pres">
      <dgm:prSet presAssocID="{71C93146-8DBD-47BA-9B89-8D2FF25B6FDE}" presName="aNode" presStyleLbl="bgShp" presStyleIdx="1" presStyleCnt="6"/>
      <dgm:spPr/>
    </dgm:pt>
    <dgm:pt modelId="{6480FF0A-C4CA-4878-B3DC-5C3D2BC5401E}" type="pres">
      <dgm:prSet presAssocID="{71C93146-8DBD-47BA-9B89-8D2FF25B6FDE}" presName="textNode" presStyleLbl="bgShp" presStyleIdx="1" presStyleCnt="6"/>
      <dgm:spPr/>
    </dgm:pt>
    <dgm:pt modelId="{A367C46E-BD57-4EAA-AAC8-349DD5760DC9}" type="pres">
      <dgm:prSet presAssocID="{71C93146-8DBD-47BA-9B89-8D2FF25B6FDE}" presName="compChildNode" presStyleCnt="0"/>
      <dgm:spPr/>
    </dgm:pt>
    <dgm:pt modelId="{10201B17-1614-4D45-8D1F-E89E82CE147B}" type="pres">
      <dgm:prSet presAssocID="{71C93146-8DBD-47BA-9B89-8D2FF25B6FDE}" presName="theInnerList" presStyleCnt="0"/>
      <dgm:spPr/>
    </dgm:pt>
    <dgm:pt modelId="{9B677AB5-8643-43AB-A8BB-D8E12AD5A274}" type="pres">
      <dgm:prSet presAssocID="{6C20051A-C227-4FCE-84B9-13E8355C6FE0}" presName="childNode" presStyleLbl="node1" presStyleIdx="6" presStyleCnt="29">
        <dgm:presLayoutVars>
          <dgm:bulletEnabled val="1"/>
        </dgm:presLayoutVars>
      </dgm:prSet>
      <dgm:spPr/>
    </dgm:pt>
    <dgm:pt modelId="{E08A0542-F05D-4D2B-80EB-8F1029EAB166}" type="pres">
      <dgm:prSet presAssocID="{6C20051A-C227-4FCE-84B9-13E8355C6FE0}" presName="aSpace2" presStyleCnt="0"/>
      <dgm:spPr/>
    </dgm:pt>
    <dgm:pt modelId="{B5D870D0-097B-4398-AB09-A25CBC7E53C9}" type="pres">
      <dgm:prSet presAssocID="{63B20721-F312-4469-9B91-765994301A3A}" presName="childNode" presStyleLbl="node1" presStyleIdx="7" presStyleCnt="29">
        <dgm:presLayoutVars>
          <dgm:bulletEnabled val="1"/>
        </dgm:presLayoutVars>
      </dgm:prSet>
      <dgm:spPr/>
    </dgm:pt>
    <dgm:pt modelId="{66D684AA-86FB-4848-AAFE-13D2A9B89885}" type="pres">
      <dgm:prSet presAssocID="{63B20721-F312-4469-9B91-765994301A3A}" presName="aSpace2" presStyleCnt="0"/>
      <dgm:spPr/>
    </dgm:pt>
    <dgm:pt modelId="{74775DD3-DAF7-431F-8441-2EBCC37BE9A2}" type="pres">
      <dgm:prSet presAssocID="{F41F5EF3-2752-4CE6-9583-DFB4FA12F31D}" presName="childNode" presStyleLbl="node1" presStyleIdx="8" presStyleCnt="29">
        <dgm:presLayoutVars>
          <dgm:bulletEnabled val="1"/>
        </dgm:presLayoutVars>
      </dgm:prSet>
      <dgm:spPr/>
    </dgm:pt>
    <dgm:pt modelId="{E1E0E8BA-EBC3-4F70-B3ED-DB8A17482F28}" type="pres">
      <dgm:prSet presAssocID="{71C93146-8DBD-47BA-9B89-8D2FF25B6FDE}" presName="aSpace" presStyleCnt="0"/>
      <dgm:spPr/>
    </dgm:pt>
    <dgm:pt modelId="{402D373B-B130-4BCE-B754-88E874A8BA2F}" type="pres">
      <dgm:prSet presAssocID="{CB339438-8F81-4836-B0D6-39E445779B2D}" presName="compNode" presStyleCnt="0"/>
      <dgm:spPr/>
    </dgm:pt>
    <dgm:pt modelId="{6D56517E-766B-45C1-B3BA-03A92A9F1628}" type="pres">
      <dgm:prSet presAssocID="{CB339438-8F81-4836-B0D6-39E445779B2D}" presName="aNode" presStyleLbl="bgShp" presStyleIdx="2" presStyleCnt="6" custLinFactNeighborX="1282" custLinFactNeighborY="-546"/>
      <dgm:spPr/>
    </dgm:pt>
    <dgm:pt modelId="{3D88E221-0C0B-49C5-BB85-D37F5241594C}" type="pres">
      <dgm:prSet presAssocID="{CB339438-8F81-4836-B0D6-39E445779B2D}" presName="textNode" presStyleLbl="bgShp" presStyleIdx="2" presStyleCnt="6"/>
      <dgm:spPr/>
    </dgm:pt>
    <dgm:pt modelId="{FC127A81-509B-4C31-A143-B820FFD61064}" type="pres">
      <dgm:prSet presAssocID="{CB339438-8F81-4836-B0D6-39E445779B2D}" presName="compChildNode" presStyleCnt="0"/>
      <dgm:spPr/>
    </dgm:pt>
    <dgm:pt modelId="{E3A1EC06-F8F1-47EA-A4C0-7BCCDF995841}" type="pres">
      <dgm:prSet presAssocID="{CB339438-8F81-4836-B0D6-39E445779B2D}" presName="theInnerList" presStyleCnt="0"/>
      <dgm:spPr/>
    </dgm:pt>
    <dgm:pt modelId="{A239EC8B-8508-4BCF-8FEB-C4B29C102781}" type="pres">
      <dgm:prSet presAssocID="{D38A169C-73FA-404F-BBC1-E58D54FDBE12}" presName="childNode" presStyleLbl="node1" presStyleIdx="9" presStyleCnt="29">
        <dgm:presLayoutVars>
          <dgm:bulletEnabled val="1"/>
        </dgm:presLayoutVars>
      </dgm:prSet>
      <dgm:spPr/>
    </dgm:pt>
    <dgm:pt modelId="{DE9FC021-E5D3-46E0-B2AF-55F27F9D3A13}" type="pres">
      <dgm:prSet presAssocID="{D38A169C-73FA-404F-BBC1-E58D54FDBE12}" presName="aSpace2" presStyleCnt="0"/>
      <dgm:spPr/>
    </dgm:pt>
    <dgm:pt modelId="{6A2DAABB-876A-47FD-BE7B-55DED4AE8D7D}" type="pres">
      <dgm:prSet presAssocID="{142175FC-D925-4743-A65F-E3BE4CE93482}" presName="childNode" presStyleLbl="node1" presStyleIdx="10" presStyleCnt="29">
        <dgm:presLayoutVars>
          <dgm:bulletEnabled val="1"/>
        </dgm:presLayoutVars>
      </dgm:prSet>
      <dgm:spPr/>
    </dgm:pt>
    <dgm:pt modelId="{E23970C8-D920-4BF0-A669-CF40216FEE7B}" type="pres">
      <dgm:prSet presAssocID="{142175FC-D925-4743-A65F-E3BE4CE93482}" presName="aSpace2" presStyleCnt="0"/>
      <dgm:spPr/>
    </dgm:pt>
    <dgm:pt modelId="{BA720AA9-5F7C-42D6-8013-F5034CA8CF9A}" type="pres">
      <dgm:prSet presAssocID="{8B7F9807-F819-4F92-A42F-D1E559B2FD53}" presName="childNode" presStyleLbl="node1" presStyleIdx="11" presStyleCnt="29">
        <dgm:presLayoutVars>
          <dgm:bulletEnabled val="1"/>
        </dgm:presLayoutVars>
      </dgm:prSet>
      <dgm:spPr/>
    </dgm:pt>
    <dgm:pt modelId="{930CB17E-F995-4612-817C-0477E558F88E}" type="pres">
      <dgm:prSet presAssocID="{8B7F9807-F819-4F92-A42F-D1E559B2FD53}" presName="aSpace2" presStyleCnt="0"/>
      <dgm:spPr/>
    </dgm:pt>
    <dgm:pt modelId="{EDE04BA0-5878-419E-8E19-C3EF2AA315AF}" type="pres">
      <dgm:prSet presAssocID="{388D3BE7-BB07-4056-B16C-FE7D33D6BD36}" presName="childNode" presStyleLbl="node1" presStyleIdx="12" presStyleCnt="29">
        <dgm:presLayoutVars>
          <dgm:bulletEnabled val="1"/>
        </dgm:presLayoutVars>
      </dgm:prSet>
      <dgm:spPr/>
    </dgm:pt>
    <dgm:pt modelId="{50B41810-C3B5-432B-A0A1-357D5753AF7A}" type="pres">
      <dgm:prSet presAssocID="{388D3BE7-BB07-4056-B16C-FE7D33D6BD36}" presName="aSpace2" presStyleCnt="0"/>
      <dgm:spPr/>
    </dgm:pt>
    <dgm:pt modelId="{A68845FC-6DDE-4C7E-881F-812E90A866F1}" type="pres">
      <dgm:prSet presAssocID="{0D2DEA6F-D8C0-4FEB-A933-8C9C6B02B855}" presName="childNode" presStyleLbl="node1" presStyleIdx="13" presStyleCnt="29">
        <dgm:presLayoutVars>
          <dgm:bulletEnabled val="1"/>
        </dgm:presLayoutVars>
      </dgm:prSet>
      <dgm:spPr/>
    </dgm:pt>
    <dgm:pt modelId="{3E1558C7-1B44-4DF1-9150-BC01D24B90ED}" type="pres">
      <dgm:prSet presAssocID="{CB339438-8F81-4836-B0D6-39E445779B2D}" presName="aSpace" presStyleCnt="0"/>
      <dgm:spPr/>
    </dgm:pt>
    <dgm:pt modelId="{8A5ABB40-4AF3-4F54-8A23-25AF2440FB8F}" type="pres">
      <dgm:prSet presAssocID="{39F506DE-50F1-49BE-9ED2-88EFDAE6F0E1}" presName="compNode" presStyleCnt="0"/>
      <dgm:spPr/>
    </dgm:pt>
    <dgm:pt modelId="{D3D71071-A754-4C0E-9FFD-064FC19C1E19}" type="pres">
      <dgm:prSet presAssocID="{39F506DE-50F1-49BE-9ED2-88EFDAE6F0E1}" presName="aNode" presStyleLbl="bgShp" presStyleIdx="3" presStyleCnt="6"/>
      <dgm:spPr/>
    </dgm:pt>
    <dgm:pt modelId="{7B18AFFD-E121-412C-9D04-2A61C280EF92}" type="pres">
      <dgm:prSet presAssocID="{39F506DE-50F1-49BE-9ED2-88EFDAE6F0E1}" presName="textNode" presStyleLbl="bgShp" presStyleIdx="3" presStyleCnt="6"/>
      <dgm:spPr/>
    </dgm:pt>
    <dgm:pt modelId="{6464E99A-573D-4147-88DF-98BE15D9D1B3}" type="pres">
      <dgm:prSet presAssocID="{39F506DE-50F1-49BE-9ED2-88EFDAE6F0E1}" presName="compChildNode" presStyleCnt="0"/>
      <dgm:spPr/>
    </dgm:pt>
    <dgm:pt modelId="{9429677E-75CB-407F-90AA-2397BCA125A9}" type="pres">
      <dgm:prSet presAssocID="{39F506DE-50F1-49BE-9ED2-88EFDAE6F0E1}" presName="theInnerList" presStyleCnt="0"/>
      <dgm:spPr/>
    </dgm:pt>
    <dgm:pt modelId="{5FFDAE0D-01DD-4F48-856B-01906FDFAC4D}" type="pres">
      <dgm:prSet presAssocID="{5689EC68-4989-4E1E-96FD-3A6DB0CAD78C}" presName="childNode" presStyleLbl="node1" presStyleIdx="14" presStyleCnt="29">
        <dgm:presLayoutVars>
          <dgm:bulletEnabled val="1"/>
        </dgm:presLayoutVars>
      </dgm:prSet>
      <dgm:spPr/>
    </dgm:pt>
    <dgm:pt modelId="{60D1828E-3849-4FD2-B0B7-E09590FEA5A9}" type="pres">
      <dgm:prSet presAssocID="{5689EC68-4989-4E1E-96FD-3A6DB0CAD78C}" presName="aSpace2" presStyleCnt="0"/>
      <dgm:spPr/>
    </dgm:pt>
    <dgm:pt modelId="{7BE6FBB6-2C7F-4090-924E-AD3A157FFABE}" type="pres">
      <dgm:prSet presAssocID="{C134F88E-4C4C-4F83-B22D-C129B7E3477A}" presName="childNode" presStyleLbl="node1" presStyleIdx="15" presStyleCnt="29">
        <dgm:presLayoutVars>
          <dgm:bulletEnabled val="1"/>
        </dgm:presLayoutVars>
      </dgm:prSet>
      <dgm:spPr/>
    </dgm:pt>
    <dgm:pt modelId="{EB50AF21-1867-4AFD-9D93-5104C82232E5}" type="pres">
      <dgm:prSet presAssocID="{C134F88E-4C4C-4F83-B22D-C129B7E3477A}" presName="aSpace2" presStyleCnt="0"/>
      <dgm:spPr/>
    </dgm:pt>
    <dgm:pt modelId="{1BF27B21-0FAC-4F32-B691-48071D34A960}" type="pres">
      <dgm:prSet presAssocID="{5788F799-C613-40C5-8761-BEA82B1C90FC}" presName="childNode" presStyleLbl="node1" presStyleIdx="16" presStyleCnt="29">
        <dgm:presLayoutVars>
          <dgm:bulletEnabled val="1"/>
        </dgm:presLayoutVars>
      </dgm:prSet>
      <dgm:spPr/>
    </dgm:pt>
    <dgm:pt modelId="{E10D0A9F-4D55-40F0-920D-07936253DA14}" type="pres">
      <dgm:prSet presAssocID="{5788F799-C613-40C5-8761-BEA82B1C90FC}" presName="aSpace2" presStyleCnt="0"/>
      <dgm:spPr/>
    </dgm:pt>
    <dgm:pt modelId="{9821E4E8-E247-4525-A9DD-43D8B524714D}" type="pres">
      <dgm:prSet presAssocID="{451149D5-FEDA-4765-B600-5039ABB58E53}" presName="childNode" presStyleLbl="node1" presStyleIdx="17" presStyleCnt="29">
        <dgm:presLayoutVars>
          <dgm:bulletEnabled val="1"/>
        </dgm:presLayoutVars>
      </dgm:prSet>
      <dgm:spPr/>
    </dgm:pt>
    <dgm:pt modelId="{01482FE3-B603-4D03-A6E2-136BA9F2BD0C}" type="pres">
      <dgm:prSet presAssocID="{451149D5-FEDA-4765-B600-5039ABB58E53}" presName="aSpace2" presStyleCnt="0"/>
      <dgm:spPr/>
    </dgm:pt>
    <dgm:pt modelId="{6081A0E7-3270-44D0-B4CD-B69CEEB69F68}" type="pres">
      <dgm:prSet presAssocID="{C73CB937-E35C-46A7-A528-03AE78F9430B}" presName="childNode" presStyleLbl="node1" presStyleIdx="18" presStyleCnt="29">
        <dgm:presLayoutVars>
          <dgm:bulletEnabled val="1"/>
        </dgm:presLayoutVars>
      </dgm:prSet>
      <dgm:spPr/>
    </dgm:pt>
    <dgm:pt modelId="{2F25DA26-E475-4DCC-81D7-E51A03860FE1}" type="pres">
      <dgm:prSet presAssocID="{39F506DE-50F1-49BE-9ED2-88EFDAE6F0E1}" presName="aSpace" presStyleCnt="0"/>
      <dgm:spPr/>
    </dgm:pt>
    <dgm:pt modelId="{7945454D-625D-4AB2-B97D-5B3833EB7F93}" type="pres">
      <dgm:prSet presAssocID="{35F91573-84CF-4D05-97CE-0E5A3583D4E6}" presName="compNode" presStyleCnt="0"/>
      <dgm:spPr/>
    </dgm:pt>
    <dgm:pt modelId="{8387A50E-865C-4F7E-BAF7-78F89B5F3C88}" type="pres">
      <dgm:prSet presAssocID="{35F91573-84CF-4D05-97CE-0E5A3583D4E6}" presName="aNode" presStyleLbl="bgShp" presStyleIdx="4" presStyleCnt="6"/>
      <dgm:spPr/>
    </dgm:pt>
    <dgm:pt modelId="{639BD1C7-0242-4D12-913E-B2E949B465C2}" type="pres">
      <dgm:prSet presAssocID="{35F91573-84CF-4D05-97CE-0E5A3583D4E6}" presName="textNode" presStyleLbl="bgShp" presStyleIdx="4" presStyleCnt="6"/>
      <dgm:spPr/>
    </dgm:pt>
    <dgm:pt modelId="{CEC341EC-BD97-4257-ACDD-A06B55818C2D}" type="pres">
      <dgm:prSet presAssocID="{35F91573-84CF-4D05-97CE-0E5A3583D4E6}" presName="compChildNode" presStyleCnt="0"/>
      <dgm:spPr/>
    </dgm:pt>
    <dgm:pt modelId="{AEC892E2-6604-443A-A67F-53AE05637B15}" type="pres">
      <dgm:prSet presAssocID="{35F91573-84CF-4D05-97CE-0E5A3583D4E6}" presName="theInnerList" presStyleCnt="0"/>
      <dgm:spPr/>
    </dgm:pt>
    <dgm:pt modelId="{45ED17EB-782D-462A-9CC1-E53FA40A33C7}" type="pres">
      <dgm:prSet presAssocID="{437562EF-45B9-4108-A430-E90D425350DB}" presName="childNode" presStyleLbl="node1" presStyleIdx="19" presStyleCnt="29">
        <dgm:presLayoutVars>
          <dgm:bulletEnabled val="1"/>
        </dgm:presLayoutVars>
      </dgm:prSet>
      <dgm:spPr/>
    </dgm:pt>
    <dgm:pt modelId="{16E19EC9-ED01-4DAC-B0F1-F8A96C2B51C5}" type="pres">
      <dgm:prSet presAssocID="{437562EF-45B9-4108-A430-E90D425350DB}" presName="aSpace2" presStyleCnt="0"/>
      <dgm:spPr/>
    </dgm:pt>
    <dgm:pt modelId="{0482D866-2B3F-412E-9D66-E84151969353}" type="pres">
      <dgm:prSet presAssocID="{2B8DCA65-5882-490B-B6E0-1244B42860BD}" presName="childNode" presStyleLbl="node1" presStyleIdx="20" presStyleCnt="29">
        <dgm:presLayoutVars>
          <dgm:bulletEnabled val="1"/>
        </dgm:presLayoutVars>
      </dgm:prSet>
      <dgm:spPr/>
    </dgm:pt>
    <dgm:pt modelId="{7093F947-1EB5-42F2-8171-F0AB740A3D09}" type="pres">
      <dgm:prSet presAssocID="{2B8DCA65-5882-490B-B6E0-1244B42860BD}" presName="aSpace2" presStyleCnt="0"/>
      <dgm:spPr/>
    </dgm:pt>
    <dgm:pt modelId="{07A918F0-62D9-46AE-9F9F-62DB5B328CB3}" type="pres">
      <dgm:prSet presAssocID="{15D775C9-9490-4A8C-8606-292DE6D1D53F}" presName="childNode" presStyleLbl="node1" presStyleIdx="21" presStyleCnt="29">
        <dgm:presLayoutVars>
          <dgm:bulletEnabled val="1"/>
        </dgm:presLayoutVars>
      </dgm:prSet>
      <dgm:spPr/>
    </dgm:pt>
    <dgm:pt modelId="{D02C7D20-3486-4424-8131-95B71FAD3264}" type="pres">
      <dgm:prSet presAssocID="{15D775C9-9490-4A8C-8606-292DE6D1D53F}" presName="aSpace2" presStyleCnt="0"/>
      <dgm:spPr/>
    </dgm:pt>
    <dgm:pt modelId="{DED3F222-26E6-4809-AA91-F07F244295C3}" type="pres">
      <dgm:prSet presAssocID="{23669D9C-1B83-4042-BBDD-E437161DD5D6}" presName="childNode" presStyleLbl="node1" presStyleIdx="22" presStyleCnt="29">
        <dgm:presLayoutVars>
          <dgm:bulletEnabled val="1"/>
        </dgm:presLayoutVars>
      </dgm:prSet>
      <dgm:spPr/>
    </dgm:pt>
    <dgm:pt modelId="{6CA8B92D-366A-4BEA-A92A-6679C45DAB15}" type="pres">
      <dgm:prSet presAssocID="{23669D9C-1B83-4042-BBDD-E437161DD5D6}" presName="aSpace2" presStyleCnt="0"/>
      <dgm:spPr/>
    </dgm:pt>
    <dgm:pt modelId="{AAF2ACE6-5E38-4636-B080-BC2D37E74DD8}" type="pres">
      <dgm:prSet presAssocID="{9CC56A7C-11FF-4892-B122-891E65EB1004}" presName="childNode" presStyleLbl="node1" presStyleIdx="23" presStyleCnt="29">
        <dgm:presLayoutVars>
          <dgm:bulletEnabled val="1"/>
        </dgm:presLayoutVars>
      </dgm:prSet>
      <dgm:spPr/>
    </dgm:pt>
    <dgm:pt modelId="{0CBD8366-63C9-47EF-B087-7561B6477CB6}" type="pres">
      <dgm:prSet presAssocID="{35F91573-84CF-4D05-97CE-0E5A3583D4E6}" presName="aSpace" presStyleCnt="0"/>
      <dgm:spPr/>
    </dgm:pt>
    <dgm:pt modelId="{C76F0AA8-C3B8-424D-828B-9F3AEB3DDD02}" type="pres">
      <dgm:prSet presAssocID="{731B959C-F05A-4425-AA8A-A0CC576E0CD6}" presName="compNode" presStyleCnt="0"/>
      <dgm:spPr/>
    </dgm:pt>
    <dgm:pt modelId="{788DE979-FF1A-4219-BF84-8A28593CCB94}" type="pres">
      <dgm:prSet presAssocID="{731B959C-F05A-4425-AA8A-A0CC576E0CD6}" presName="aNode" presStyleLbl="bgShp" presStyleIdx="5" presStyleCnt="6"/>
      <dgm:spPr/>
    </dgm:pt>
    <dgm:pt modelId="{71B56B25-BAF1-420C-B037-BB4722F02D90}" type="pres">
      <dgm:prSet presAssocID="{731B959C-F05A-4425-AA8A-A0CC576E0CD6}" presName="textNode" presStyleLbl="bgShp" presStyleIdx="5" presStyleCnt="6"/>
      <dgm:spPr/>
    </dgm:pt>
    <dgm:pt modelId="{3F1D360B-481D-4C5E-90CF-3EAB36CBAFB2}" type="pres">
      <dgm:prSet presAssocID="{731B959C-F05A-4425-AA8A-A0CC576E0CD6}" presName="compChildNode" presStyleCnt="0"/>
      <dgm:spPr/>
    </dgm:pt>
    <dgm:pt modelId="{E1A254AC-78C7-4655-ACAE-FADF2CEC1676}" type="pres">
      <dgm:prSet presAssocID="{731B959C-F05A-4425-AA8A-A0CC576E0CD6}" presName="theInnerList" presStyleCnt="0"/>
      <dgm:spPr/>
    </dgm:pt>
    <dgm:pt modelId="{F1F16BAE-86C3-4B1E-85EA-E74B55A21462}" type="pres">
      <dgm:prSet presAssocID="{E4529BFC-7FBA-401E-83DC-ED21706EC71E}" presName="childNode" presStyleLbl="node1" presStyleIdx="24" presStyleCnt="29">
        <dgm:presLayoutVars>
          <dgm:bulletEnabled val="1"/>
        </dgm:presLayoutVars>
      </dgm:prSet>
      <dgm:spPr/>
    </dgm:pt>
    <dgm:pt modelId="{C398DBA4-3F4A-45C5-A3D1-F3F64D633C42}" type="pres">
      <dgm:prSet presAssocID="{E4529BFC-7FBA-401E-83DC-ED21706EC71E}" presName="aSpace2" presStyleCnt="0"/>
      <dgm:spPr/>
    </dgm:pt>
    <dgm:pt modelId="{2EA20561-6CFD-4954-A64B-AB91B0668E80}" type="pres">
      <dgm:prSet presAssocID="{00C5AD74-BB5E-4C37-87ED-5C005FAF2322}" presName="childNode" presStyleLbl="node1" presStyleIdx="25" presStyleCnt="29">
        <dgm:presLayoutVars>
          <dgm:bulletEnabled val="1"/>
        </dgm:presLayoutVars>
      </dgm:prSet>
      <dgm:spPr/>
    </dgm:pt>
    <dgm:pt modelId="{D0826BCA-BC11-48B7-B01F-89A295A6B808}" type="pres">
      <dgm:prSet presAssocID="{00C5AD74-BB5E-4C37-87ED-5C005FAF2322}" presName="aSpace2" presStyleCnt="0"/>
      <dgm:spPr/>
    </dgm:pt>
    <dgm:pt modelId="{23C873A2-9912-4FE4-BDE7-C88BA9B2ECB3}" type="pres">
      <dgm:prSet presAssocID="{33D15CE1-2AE0-443F-9467-251AED4D49CA}" presName="childNode" presStyleLbl="node1" presStyleIdx="26" presStyleCnt="29">
        <dgm:presLayoutVars>
          <dgm:bulletEnabled val="1"/>
        </dgm:presLayoutVars>
      </dgm:prSet>
      <dgm:spPr/>
    </dgm:pt>
    <dgm:pt modelId="{ED34EE53-D035-4AEC-9CC5-068CFCF668D1}" type="pres">
      <dgm:prSet presAssocID="{33D15CE1-2AE0-443F-9467-251AED4D49CA}" presName="aSpace2" presStyleCnt="0"/>
      <dgm:spPr/>
    </dgm:pt>
    <dgm:pt modelId="{95E7D6F0-32A9-4AB9-8051-93F3945D429B}" type="pres">
      <dgm:prSet presAssocID="{464CADB2-5C0A-499E-880D-27B3B06B5A3D}" presName="childNode" presStyleLbl="node1" presStyleIdx="27" presStyleCnt="29">
        <dgm:presLayoutVars>
          <dgm:bulletEnabled val="1"/>
        </dgm:presLayoutVars>
      </dgm:prSet>
      <dgm:spPr/>
    </dgm:pt>
    <dgm:pt modelId="{A3398A3F-042E-4757-B783-3A417B74E948}" type="pres">
      <dgm:prSet presAssocID="{464CADB2-5C0A-499E-880D-27B3B06B5A3D}" presName="aSpace2" presStyleCnt="0"/>
      <dgm:spPr/>
    </dgm:pt>
    <dgm:pt modelId="{66D2E35F-6AA8-4674-9525-32D6D3B769C9}" type="pres">
      <dgm:prSet presAssocID="{A7DDA4F1-B40B-46B4-B746-EA89906A2FB4}" presName="childNode" presStyleLbl="node1" presStyleIdx="28" presStyleCnt="29">
        <dgm:presLayoutVars>
          <dgm:bulletEnabled val="1"/>
        </dgm:presLayoutVars>
      </dgm:prSet>
      <dgm:spPr/>
    </dgm:pt>
  </dgm:ptLst>
  <dgm:cxnLst>
    <dgm:cxn modelId="{9AA6C102-B33A-45C3-AE7D-4BCB09515111}" srcId="{7ED69BD0-5C46-430C-BD11-1675B78445AF}" destId="{2E51DF25-B7C0-43DA-ADCE-0B6DAA3E9F7B}" srcOrd="3" destOrd="0" parTransId="{060E53C2-706B-40E2-B6B1-DC5694082B1A}" sibTransId="{54C986C0-7254-4D77-8EF8-B2E27153E9C6}"/>
    <dgm:cxn modelId="{D99B360E-0CD9-4872-8220-7B7AB6BFD839}" srcId="{3C8EFC9A-BDC9-4CB0-8DCF-FD6F89FD7C78}" destId="{35F91573-84CF-4D05-97CE-0E5A3583D4E6}" srcOrd="4" destOrd="0" parTransId="{C4B92D65-5D5B-4031-AC81-F50BE376D814}" sibTransId="{F141414D-6441-49BD-B8D1-7829EEA431E5}"/>
    <dgm:cxn modelId="{B60D540F-CFA6-412D-9DCA-BF4FB473BD58}" srcId="{7ED69BD0-5C46-430C-BD11-1675B78445AF}" destId="{C765EFE1-9587-4BD0-BA1D-81A6425C17DB}" srcOrd="4" destOrd="0" parTransId="{9666F175-7D96-457C-A175-023DEBE6F969}" sibTransId="{F6867B9E-C732-4845-A91D-352DB38C5B50}"/>
    <dgm:cxn modelId="{4BE64F11-975A-44CD-AF03-F9379E492A67}" type="presOf" srcId="{142175FC-D925-4743-A65F-E3BE4CE93482}" destId="{6A2DAABB-876A-47FD-BE7B-55DED4AE8D7D}" srcOrd="0" destOrd="0" presId="urn:microsoft.com/office/officeart/2005/8/layout/lProcess2"/>
    <dgm:cxn modelId="{87E5DC14-D8F4-4FF6-967E-E898B4A4AAFC}" type="presOf" srcId="{C134F88E-4C4C-4F83-B22D-C129B7E3477A}" destId="{7BE6FBB6-2C7F-4090-924E-AD3A157FFABE}" srcOrd="0" destOrd="0" presId="urn:microsoft.com/office/officeart/2005/8/layout/lProcess2"/>
    <dgm:cxn modelId="{3D5ED217-C440-4DAD-B796-925F57CAEF8C}" type="presOf" srcId="{2B8DCA65-5882-490B-B6E0-1244B42860BD}" destId="{0482D866-2B3F-412E-9D66-E84151969353}" srcOrd="0" destOrd="0" presId="urn:microsoft.com/office/officeart/2005/8/layout/lProcess2"/>
    <dgm:cxn modelId="{82B99418-45F1-46F6-B0FF-42D4FB4A43A8}" type="presOf" srcId="{63B20721-F312-4469-9B91-765994301A3A}" destId="{B5D870D0-097B-4398-AB09-A25CBC7E53C9}" srcOrd="0" destOrd="0" presId="urn:microsoft.com/office/officeart/2005/8/layout/lProcess2"/>
    <dgm:cxn modelId="{1A1ED718-5287-4C05-9F2C-9C591CDAFBB1}" srcId="{731B959C-F05A-4425-AA8A-A0CC576E0CD6}" destId="{A7DDA4F1-B40B-46B4-B746-EA89906A2FB4}" srcOrd="4" destOrd="0" parTransId="{27302846-3F4E-4890-8FD2-653D02ED08C4}" sibTransId="{BDDA1F47-37EC-4594-B19B-6BEADC130A10}"/>
    <dgm:cxn modelId="{3898561C-AE03-4718-AE3E-8110DF2975AE}" srcId="{3C8EFC9A-BDC9-4CB0-8DCF-FD6F89FD7C78}" destId="{731B959C-F05A-4425-AA8A-A0CC576E0CD6}" srcOrd="5" destOrd="0" parTransId="{4DAF3717-69D8-4024-BC2D-22D2476AC76E}" sibTransId="{4B9E5D53-0B42-48F6-AA2B-6F5F833B01D8}"/>
    <dgm:cxn modelId="{B6AAD51F-543F-4E8D-AAD7-E61B73866953}" type="presOf" srcId="{D38A169C-73FA-404F-BBC1-E58D54FDBE12}" destId="{A239EC8B-8508-4BCF-8FEB-C4B29C102781}" srcOrd="0" destOrd="0" presId="urn:microsoft.com/office/officeart/2005/8/layout/lProcess2"/>
    <dgm:cxn modelId="{501AF81F-EDA7-4634-BE2F-4461AC162427}" srcId="{731B959C-F05A-4425-AA8A-A0CC576E0CD6}" destId="{00C5AD74-BB5E-4C37-87ED-5C005FAF2322}" srcOrd="1" destOrd="0" parTransId="{404B7502-7D11-4D22-9D7C-06E3E9EF975E}" sibTransId="{3EDD23AB-CD9C-43D5-A813-69B24A88F265}"/>
    <dgm:cxn modelId="{9780FA21-45DF-4540-B5A2-9882D8B9DA62}" type="presOf" srcId="{CB339438-8F81-4836-B0D6-39E445779B2D}" destId="{6D56517E-766B-45C1-B3BA-03A92A9F1628}" srcOrd="0" destOrd="0" presId="urn:microsoft.com/office/officeart/2005/8/layout/lProcess2"/>
    <dgm:cxn modelId="{B513EC22-4735-44F9-AB8B-990B8C83BB17}" type="presOf" srcId="{086678A7-F493-4823-B3B6-57A9657951CF}" destId="{B92FF65D-7314-4281-8C61-D2E02ABB453E}" srcOrd="0" destOrd="0" presId="urn:microsoft.com/office/officeart/2005/8/layout/lProcess2"/>
    <dgm:cxn modelId="{85CA7328-C88E-4CCA-A503-4BBF9E60CB5E}" srcId="{3C8EFC9A-BDC9-4CB0-8DCF-FD6F89FD7C78}" destId="{71C93146-8DBD-47BA-9B89-8D2FF25B6FDE}" srcOrd="1" destOrd="0" parTransId="{A4EFA77B-9971-480B-8CDC-B60EE2909B0A}" sibTransId="{8213C114-C822-4D1A-8481-C09CD83DA145}"/>
    <dgm:cxn modelId="{6317B032-9E2D-4C09-BFCB-DEE7F6FB19EC}" srcId="{39F506DE-50F1-49BE-9ED2-88EFDAE6F0E1}" destId="{C134F88E-4C4C-4F83-B22D-C129B7E3477A}" srcOrd="1" destOrd="0" parTransId="{3A9BCE9D-421C-4EAB-A25F-50ADA7668B4B}" sibTransId="{4236607B-8CE8-427B-A6C7-9C4FA5BC3E95}"/>
    <dgm:cxn modelId="{A6E7CE32-7554-41F6-9C25-95A7B6D33A8D}" srcId="{CB339438-8F81-4836-B0D6-39E445779B2D}" destId="{388D3BE7-BB07-4056-B16C-FE7D33D6BD36}" srcOrd="3" destOrd="0" parTransId="{3635858B-35C0-4468-B5C9-D9FC46059623}" sibTransId="{C00E6615-BADB-41A3-9F0D-44980A4A6198}"/>
    <dgm:cxn modelId="{B3794135-D6F8-4259-9889-4CFE23B573EA}" type="presOf" srcId="{5689EC68-4989-4E1E-96FD-3A6DB0CAD78C}" destId="{5FFDAE0D-01DD-4F48-856B-01906FDFAC4D}" srcOrd="0" destOrd="0" presId="urn:microsoft.com/office/officeart/2005/8/layout/lProcess2"/>
    <dgm:cxn modelId="{783CA538-8FB1-403A-B0D1-3B523ED66EEE}" srcId="{CB339438-8F81-4836-B0D6-39E445779B2D}" destId="{8B7F9807-F819-4F92-A42F-D1E559B2FD53}" srcOrd="2" destOrd="0" parTransId="{5E92501D-E90C-4AA4-BA27-C3436E3BDF67}" sibTransId="{EFF7AD93-D1FA-447F-B930-D4EA2D8A3B0F}"/>
    <dgm:cxn modelId="{30B7E838-9B7D-4D9C-AF84-FB3D80B5C2B5}" srcId="{731B959C-F05A-4425-AA8A-A0CC576E0CD6}" destId="{33D15CE1-2AE0-443F-9467-251AED4D49CA}" srcOrd="2" destOrd="0" parTransId="{8DBE2E30-A162-48E8-A94C-52C937E1A99A}" sibTransId="{4DADF293-3BD0-4310-9161-04488FADA7BD}"/>
    <dgm:cxn modelId="{A91C153A-AAE1-478B-8F28-DD6597A354F0}" srcId="{39F506DE-50F1-49BE-9ED2-88EFDAE6F0E1}" destId="{451149D5-FEDA-4765-B600-5039ABB58E53}" srcOrd="3" destOrd="0" parTransId="{4E2281CA-A78E-45B2-B336-A5EC6E0D7E46}" sibTransId="{9902A7BB-1925-42EB-BB58-87F6AD6E80B5}"/>
    <dgm:cxn modelId="{12BC693D-0B61-4DD5-9951-D069F37E2097}" type="presOf" srcId="{451149D5-FEDA-4765-B600-5039ABB58E53}" destId="{9821E4E8-E247-4525-A9DD-43D8B524714D}" srcOrd="0" destOrd="0" presId="urn:microsoft.com/office/officeart/2005/8/layout/lProcess2"/>
    <dgm:cxn modelId="{EE06583E-1D7B-4600-9D41-C238521BACA8}" type="presOf" srcId="{6C20051A-C227-4FCE-84B9-13E8355C6FE0}" destId="{9B677AB5-8643-43AB-A8BB-D8E12AD5A274}" srcOrd="0" destOrd="0" presId="urn:microsoft.com/office/officeart/2005/8/layout/lProcess2"/>
    <dgm:cxn modelId="{B9B84F3F-92DA-48E6-A3BB-B7C952E21BD3}" srcId="{7ED69BD0-5C46-430C-BD11-1675B78445AF}" destId="{E4B92491-EA9A-4D22-9CF8-82866D9BC210}" srcOrd="0" destOrd="0" parTransId="{AAD8A640-0904-42B2-8737-4F819FCC663F}" sibTransId="{6A795A40-8887-4AB1-8E50-2A17E97000C7}"/>
    <dgm:cxn modelId="{797C7740-3B4D-4E3F-93C7-6B97DEBA0EF6}" type="presOf" srcId="{00C5AD74-BB5E-4C37-87ED-5C005FAF2322}" destId="{2EA20561-6CFD-4954-A64B-AB91B0668E80}" srcOrd="0" destOrd="0" presId="urn:microsoft.com/office/officeart/2005/8/layout/lProcess2"/>
    <dgm:cxn modelId="{C29DF05B-63D1-42E6-B9B5-44A8CDB3529E}" type="presOf" srcId="{39F506DE-50F1-49BE-9ED2-88EFDAE6F0E1}" destId="{7B18AFFD-E121-412C-9D04-2A61C280EF92}" srcOrd="1" destOrd="0" presId="urn:microsoft.com/office/officeart/2005/8/layout/lProcess2"/>
    <dgm:cxn modelId="{DD5B6D5E-0C04-4034-8CAF-6472FC67D767}" srcId="{35F91573-84CF-4D05-97CE-0E5A3583D4E6}" destId="{9CC56A7C-11FF-4892-B122-891E65EB1004}" srcOrd="4" destOrd="0" parTransId="{F9FC4AA1-7DA9-455E-8AF2-773670B97011}" sibTransId="{D118C918-C2CF-42EA-A3C1-36E577D91416}"/>
    <dgm:cxn modelId="{5712085F-5B9C-44ED-88D8-AD409E3C3FE7}" type="presOf" srcId="{C73CB937-E35C-46A7-A528-03AE78F9430B}" destId="{6081A0E7-3270-44D0-B4CD-B69CEEB69F68}" srcOrd="0" destOrd="0" presId="urn:microsoft.com/office/officeart/2005/8/layout/lProcess2"/>
    <dgm:cxn modelId="{ED7DF260-3958-4453-94DC-9FE9FCA20AB2}" type="presOf" srcId="{A7DDA4F1-B40B-46B4-B746-EA89906A2FB4}" destId="{66D2E35F-6AA8-4674-9525-32D6D3B769C9}" srcOrd="0" destOrd="0" presId="urn:microsoft.com/office/officeart/2005/8/layout/lProcess2"/>
    <dgm:cxn modelId="{3C0AD464-02F9-447E-A6D3-18CA9A9E3E97}" type="presOf" srcId="{E4B92491-EA9A-4D22-9CF8-82866D9BC210}" destId="{D9D4FC23-0730-4C6A-92D3-55905B566BDA}" srcOrd="0" destOrd="0" presId="urn:microsoft.com/office/officeart/2005/8/layout/lProcess2"/>
    <dgm:cxn modelId="{58C72467-DF9F-4CB4-858D-2E57F85622DE}" srcId="{7ED69BD0-5C46-430C-BD11-1675B78445AF}" destId="{086678A7-F493-4823-B3B6-57A9657951CF}" srcOrd="1" destOrd="0" parTransId="{D26FD918-8E0C-41E9-A734-59F853D9C88E}" sibTransId="{BEC88BC7-710D-498D-B073-44C36555D78A}"/>
    <dgm:cxn modelId="{E5F02B68-97E5-4639-8043-C8F4C8193752}" type="presOf" srcId="{C765EFE1-9587-4BD0-BA1D-81A6425C17DB}" destId="{4AA2C2D8-38AC-49A4-B325-32683F44EAF4}" srcOrd="0" destOrd="0" presId="urn:microsoft.com/office/officeart/2005/8/layout/lProcess2"/>
    <dgm:cxn modelId="{9969786C-264F-4F62-BB97-56DA74150D18}" type="presOf" srcId="{464CADB2-5C0A-499E-880D-27B3B06B5A3D}" destId="{95E7D6F0-32A9-4AB9-8051-93F3945D429B}" srcOrd="0" destOrd="0" presId="urn:microsoft.com/office/officeart/2005/8/layout/lProcess2"/>
    <dgm:cxn modelId="{4D3BDD4D-4325-42D8-8823-D4F547B79AB4}" srcId="{7ED69BD0-5C46-430C-BD11-1675B78445AF}" destId="{7C0E973C-743C-470A-8B02-0F4E3FD93FC5}" srcOrd="5" destOrd="0" parTransId="{6D16B90E-7EB1-4EB7-A35C-49E2D6F9539C}" sibTransId="{CC84AF64-DE57-4A04-8A0F-424FADB77927}"/>
    <dgm:cxn modelId="{C6CB4B4E-3CB8-4590-84FC-3F095DABDA92}" srcId="{35F91573-84CF-4D05-97CE-0E5A3583D4E6}" destId="{2B8DCA65-5882-490B-B6E0-1244B42860BD}" srcOrd="1" destOrd="0" parTransId="{AF4BB2B8-6F57-43A5-998F-8FEB6870A237}" sibTransId="{DCAF1C21-F262-4AFE-8421-2B398F24486E}"/>
    <dgm:cxn modelId="{65FAA14E-38CD-404C-950A-F762B2F661D2}" srcId="{CB339438-8F81-4836-B0D6-39E445779B2D}" destId="{142175FC-D925-4743-A65F-E3BE4CE93482}" srcOrd="1" destOrd="0" parTransId="{3FA5FB17-3DCF-4F2B-B758-E9DEE5EB1962}" sibTransId="{BCC39440-6D9C-40A9-BF31-AD46292F7C99}"/>
    <dgm:cxn modelId="{EA6FDD51-17DC-45DD-94EB-D04872699E7D}" type="presOf" srcId="{731B959C-F05A-4425-AA8A-A0CC576E0CD6}" destId="{788DE979-FF1A-4219-BF84-8A28593CCB94}" srcOrd="0" destOrd="0" presId="urn:microsoft.com/office/officeart/2005/8/layout/lProcess2"/>
    <dgm:cxn modelId="{16961D73-ACEE-46B1-941F-230149DA61A6}" srcId="{731B959C-F05A-4425-AA8A-A0CC576E0CD6}" destId="{464CADB2-5C0A-499E-880D-27B3B06B5A3D}" srcOrd="3" destOrd="0" parTransId="{8119D722-6BA9-4785-8A53-4105DEEDF657}" sibTransId="{B913E8EF-34C5-40F3-B6EB-CE64043368BA}"/>
    <dgm:cxn modelId="{BC0D9673-3077-4617-B59E-EC25082B159E}" srcId="{35F91573-84CF-4D05-97CE-0E5A3583D4E6}" destId="{23669D9C-1B83-4042-BBDD-E437161DD5D6}" srcOrd="3" destOrd="0" parTransId="{BC0690C2-1CFB-4558-98BE-D57A2ED56433}" sibTransId="{F788100D-E697-41D6-8F56-32F86DF6336D}"/>
    <dgm:cxn modelId="{6F93BD73-4263-47E7-94A0-571A55A762C7}" srcId="{71C93146-8DBD-47BA-9B89-8D2FF25B6FDE}" destId="{F41F5EF3-2752-4CE6-9583-DFB4FA12F31D}" srcOrd="2" destOrd="0" parTransId="{385EEA3B-1394-41DA-A43F-24A17FEFB3B2}" sibTransId="{02483115-51F1-442B-8CDD-DEE60CFEA49D}"/>
    <dgm:cxn modelId="{3C39BA76-36BD-45C8-9B8C-C56D6FC2B6E2}" type="presOf" srcId="{23669D9C-1B83-4042-BBDD-E437161DD5D6}" destId="{DED3F222-26E6-4809-AA91-F07F244295C3}" srcOrd="0" destOrd="0" presId="urn:microsoft.com/office/officeart/2005/8/layout/lProcess2"/>
    <dgm:cxn modelId="{EB5F0B77-1588-4912-9274-8563CFAF44EE}" srcId="{CB339438-8F81-4836-B0D6-39E445779B2D}" destId="{0D2DEA6F-D8C0-4FEB-A933-8C9C6B02B855}" srcOrd="4" destOrd="0" parTransId="{1338C48E-51BB-4AD9-A052-029E069EE8E2}" sibTransId="{98F0B367-9504-44A7-94E2-F2134D7D10F8}"/>
    <dgm:cxn modelId="{FF4B5158-2282-42EF-8818-48BE7EC54C4F}" type="presOf" srcId="{9CC56A7C-11FF-4892-B122-891E65EB1004}" destId="{AAF2ACE6-5E38-4636-B080-BC2D37E74DD8}" srcOrd="0" destOrd="0" presId="urn:microsoft.com/office/officeart/2005/8/layout/lProcess2"/>
    <dgm:cxn modelId="{8FE2367D-ADE8-4FEA-BE5D-EA5106E541C9}" type="presOf" srcId="{3C8EFC9A-BDC9-4CB0-8DCF-FD6F89FD7C78}" destId="{7D112E5F-5E8D-4BAC-B50E-86C24ABA9E6B}" srcOrd="0" destOrd="0" presId="urn:microsoft.com/office/officeart/2005/8/layout/lProcess2"/>
    <dgm:cxn modelId="{3EC95584-F64E-4F01-9306-D20FA216FBEC}" srcId="{7ED69BD0-5C46-430C-BD11-1675B78445AF}" destId="{1DCEF51C-F50A-4B0B-9902-33B322D5ADEF}" srcOrd="2" destOrd="0" parTransId="{2C60948B-205E-4F80-82A1-F8B8D3A331F9}" sibTransId="{54A7321B-FDE2-4C58-BFBF-737A8982D7C8}"/>
    <dgm:cxn modelId="{58469884-803F-439B-9785-08C6FAF8746C}" type="presOf" srcId="{731B959C-F05A-4425-AA8A-A0CC576E0CD6}" destId="{71B56B25-BAF1-420C-B037-BB4722F02D90}" srcOrd="1" destOrd="0" presId="urn:microsoft.com/office/officeart/2005/8/layout/lProcess2"/>
    <dgm:cxn modelId="{9E5B2586-4117-46D2-A77F-55BE96C0CD18}" srcId="{39F506DE-50F1-49BE-9ED2-88EFDAE6F0E1}" destId="{5689EC68-4989-4E1E-96FD-3A6DB0CAD78C}" srcOrd="0" destOrd="0" parTransId="{5E002F54-8A10-472E-96C2-6347E5C62ABE}" sibTransId="{A783D2D8-9AA5-4B37-B664-80F0625BDE23}"/>
    <dgm:cxn modelId="{28396088-9F13-41F4-B6CB-6A5C0B3DD9F0}" type="presOf" srcId="{35F91573-84CF-4D05-97CE-0E5A3583D4E6}" destId="{8387A50E-865C-4F7E-BAF7-78F89B5F3C88}" srcOrd="0" destOrd="0" presId="urn:microsoft.com/office/officeart/2005/8/layout/lProcess2"/>
    <dgm:cxn modelId="{FA676D8E-DD10-4206-946E-A18DBBC548C9}" srcId="{3C8EFC9A-BDC9-4CB0-8DCF-FD6F89FD7C78}" destId="{CB339438-8F81-4836-B0D6-39E445779B2D}" srcOrd="2" destOrd="0" parTransId="{81844B2A-8DE3-4EEB-9E0E-031ED26B43F7}" sibTransId="{217513DC-7E70-4D8D-9CA4-5D4693EB7292}"/>
    <dgm:cxn modelId="{B2882690-5A70-4ECB-A90D-9F881A8595C0}" type="presOf" srcId="{F41F5EF3-2752-4CE6-9583-DFB4FA12F31D}" destId="{74775DD3-DAF7-431F-8441-2EBCC37BE9A2}" srcOrd="0" destOrd="0" presId="urn:microsoft.com/office/officeart/2005/8/layout/lProcess2"/>
    <dgm:cxn modelId="{25D5E091-BCCF-42D9-A142-620561D0902E}" srcId="{71C93146-8DBD-47BA-9B89-8D2FF25B6FDE}" destId="{63B20721-F312-4469-9B91-765994301A3A}" srcOrd="1" destOrd="0" parTransId="{FE7C9C80-E997-488F-B028-AB25F0C60E70}" sibTransId="{DD71912C-D0E8-402C-ABBE-4158FA781DEE}"/>
    <dgm:cxn modelId="{CC0B9192-6ADB-42ED-A62D-0C2A56F3FA4F}" type="presOf" srcId="{71C93146-8DBD-47BA-9B89-8D2FF25B6FDE}" destId="{54671E33-5AC7-4CD0-91C9-A60A47022F3E}" srcOrd="0" destOrd="0" presId="urn:microsoft.com/office/officeart/2005/8/layout/lProcess2"/>
    <dgm:cxn modelId="{3FCEE895-271C-4136-B426-FE7F1582CEF1}" srcId="{CB339438-8F81-4836-B0D6-39E445779B2D}" destId="{D38A169C-73FA-404F-BBC1-E58D54FDBE12}" srcOrd="0" destOrd="0" parTransId="{972BF931-FB6A-47EF-8701-10AC9CDA14F0}" sibTransId="{A99A1C84-B8AD-4CE4-944A-AF6FBA84AD6E}"/>
    <dgm:cxn modelId="{1646CD98-FB6D-4976-8B21-A121456BD744}" type="presOf" srcId="{7ED69BD0-5C46-430C-BD11-1675B78445AF}" destId="{F05B5A65-AC5E-407E-B187-D515ADC27144}" srcOrd="1" destOrd="0" presId="urn:microsoft.com/office/officeart/2005/8/layout/lProcess2"/>
    <dgm:cxn modelId="{6E3EB49A-F9C7-49B8-A048-579421865614}" srcId="{3C8EFC9A-BDC9-4CB0-8DCF-FD6F89FD7C78}" destId="{7ED69BD0-5C46-430C-BD11-1675B78445AF}" srcOrd="0" destOrd="0" parTransId="{E750908F-6048-4121-9824-44DEE38A9550}" sibTransId="{218C9A6D-6F68-45C1-B697-BBF6B4D44B14}"/>
    <dgm:cxn modelId="{086606A1-EFCF-480C-BAE3-93E070795E3A}" type="presOf" srcId="{35F91573-84CF-4D05-97CE-0E5A3583D4E6}" destId="{639BD1C7-0242-4D12-913E-B2E949B465C2}" srcOrd="1" destOrd="0" presId="urn:microsoft.com/office/officeart/2005/8/layout/lProcess2"/>
    <dgm:cxn modelId="{D67B36A2-AF53-4234-BC4C-3A7AE32157F3}" type="presOf" srcId="{7ED69BD0-5C46-430C-BD11-1675B78445AF}" destId="{4470F352-0887-4B4E-81B9-385C6AD8A1EF}" srcOrd="0" destOrd="0" presId="urn:microsoft.com/office/officeart/2005/8/layout/lProcess2"/>
    <dgm:cxn modelId="{B6A2B7A2-FF80-4270-BE4E-2808830EFFFC}" srcId="{71C93146-8DBD-47BA-9B89-8D2FF25B6FDE}" destId="{6C20051A-C227-4FCE-84B9-13E8355C6FE0}" srcOrd="0" destOrd="0" parTransId="{31AEE7A3-A8AC-425D-8431-C8B66249CB15}" sibTransId="{70525940-7440-4C0F-AFCA-45BB15C67DD9}"/>
    <dgm:cxn modelId="{DFD1EAA7-E9B7-4782-A476-14CE33073947}" srcId="{39F506DE-50F1-49BE-9ED2-88EFDAE6F0E1}" destId="{5788F799-C613-40C5-8761-BEA82B1C90FC}" srcOrd="2" destOrd="0" parTransId="{B1600F06-2268-4E93-8025-6213C861BF03}" sibTransId="{34DDA67C-48F2-49AC-B592-522587E58066}"/>
    <dgm:cxn modelId="{D091B5AA-06F2-4212-88E3-8A0B0FC112E2}" type="presOf" srcId="{15D775C9-9490-4A8C-8606-292DE6D1D53F}" destId="{07A918F0-62D9-46AE-9F9F-62DB5B328CB3}" srcOrd="0" destOrd="0" presId="urn:microsoft.com/office/officeart/2005/8/layout/lProcess2"/>
    <dgm:cxn modelId="{E920E3AA-97E6-4BAF-919F-76150C3B3DF5}" type="presOf" srcId="{71C93146-8DBD-47BA-9B89-8D2FF25B6FDE}" destId="{6480FF0A-C4CA-4878-B3DC-5C3D2BC5401E}" srcOrd="1" destOrd="0" presId="urn:microsoft.com/office/officeart/2005/8/layout/lProcess2"/>
    <dgm:cxn modelId="{816512B8-B791-4083-B49A-F17B35A4A282}" type="presOf" srcId="{33D15CE1-2AE0-443F-9467-251AED4D49CA}" destId="{23C873A2-9912-4FE4-BDE7-C88BA9B2ECB3}" srcOrd="0" destOrd="0" presId="urn:microsoft.com/office/officeart/2005/8/layout/lProcess2"/>
    <dgm:cxn modelId="{70C240BD-A947-494F-854E-E0EA692EFD0B}" type="presOf" srcId="{CB339438-8F81-4836-B0D6-39E445779B2D}" destId="{3D88E221-0C0B-49C5-BB85-D37F5241594C}" srcOrd="1" destOrd="0" presId="urn:microsoft.com/office/officeart/2005/8/layout/lProcess2"/>
    <dgm:cxn modelId="{852A1DC0-679A-4E54-9831-EBD2510F81C6}" type="presOf" srcId="{8B7F9807-F819-4F92-A42F-D1E559B2FD53}" destId="{BA720AA9-5F7C-42D6-8013-F5034CA8CF9A}" srcOrd="0" destOrd="0" presId="urn:microsoft.com/office/officeart/2005/8/layout/lProcess2"/>
    <dgm:cxn modelId="{12D52EC1-9057-4336-9228-A28D8FE64A47}" type="presOf" srcId="{437562EF-45B9-4108-A430-E90D425350DB}" destId="{45ED17EB-782D-462A-9CC1-E53FA40A33C7}" srcOrd="0" destOrd="0" presId="urn:microsoft.com/office/officeart/2005/8/layout/lProcess2"/>
    <dgm:cxn modelId="{433CDCC2-514D-4568-8FDD-01E055559F50}" type="presOf" srcId="{2E51DF25-B7C0-43DA-ADCE-0B6DAA3E9F7B}" destId="{EE4F65C3-F61D-4F57-82E6-6248AF681702}" srcOrd="0" destOrd="0" presId="urn:microsoft.com/office/officeart/2005/8/layout/lProcess2"/>
    <dgm:cxn modelId="{E8230BC9-5D2F-41DC-B14F-B53E64BF6D3B}" type="presOf" srcId="{388D3BE7-BB07-4056-B16C-FE7D33D6BD36}" destId="{EDE04BA0-5878-419E-8E19-C3EF2AA315AF}" srcOrd="0" destOrd="0" presId="urn:microsoft.com/office/officeart/2005/8/layout/lProcess2"/>
    <dgm:cxn modelId="{3DE601D1-0C81-4723-843D-1DD0725735FE}" srcId="{35F91573-84CF-4D05-97CE-0E5A3583D4E6}" destId="{15D775C9-9490-4A8C-8606-292DE6D1D53F}" srcOrd="2" destOrd="0" parTransId="{F8978FD2-D021-43EA-A358-35B52665F96B}" sibTransId="{F54A7DEE-2768-4F69-97DE-957C9B2086DF}"/>
    <dgm:cxn modelId="{81471AD1-0069-4A55-AFA7-7230934509D8}" srcId="{3C8EFC9A-BDC9-4CB0-8DCF-FD6F89FD7C78}" destId="{39F506DE-50F1-49BE-9ED2-88EFDAE6F0E1}" srcOrd="3" destOrd="0" parTransId="{7F60D346-2BA8-4279-8596-2765F26B3192}" sibTransId="{7C66CED6-4EF2-4379-89C4-7E1B0D2D3641}"/>
    <dgm:cxn modelId="{B9770FDA-37FF-43F8-A310-12FA30D16BC1}" srcId="{731B959C-F05A-4425-AA8A-A0CC576E0CD6}" destId="{E4529BFC-7FBA-401E-83DC-ED21706EC71E}" srcOrd="0" destOrd="0" parTransId="{75EC726F-0F1A-4A9A-AAA4-BA5A62E7EF13}" sibTransId="{2694060A-8504-46CC-B366-F826D32B0115}"/>
    <dgm:cxn modelId="{F308BAE7-1FBD-4455-84CE-6A223E953B08}" type="presOf" srcId="{7C0E973C-743C-470A-8B02-0F4E3FD93FC5}" destId="{211DDDCD-7378-4BEA-A98D-65ED33393EC4}" srcOrd="0" destOrd="0" presId="urn:microsoft.com/office/officeart/2005/8/layout/lProcess2"/>
    <dgm:cxn modelId="{98F8C8E7-1E09-4995-A193-68D1DB8F5229}" type="presOf" srcId="{1DCEF51C-F50A-4B0B-9902-33B322D5ADEF}" destId="{8BA67AC5-5D23-4E1E-BC34-5B51379E48E7}" srcOrd="0" destOrd="0" presId="urn:microsoft.com/office/officeart/2005/8/layout/lProcess2"/>
    <dgm:cxn modelId="{31858EE9-F261-41B5-A294-FE3B79DCA3B5}" type="presOf" srcId="{E4529BFC-7FBA-401E-83DC-ED21706EC71E}" destId="{F1F16BAE-86C3-4B1E-85EA-E74B55A21462}" srcOrd="0" destOrd="0" presId="urn:microsoft.com/office/officeart/2005/8/layout/lProcess2"/>
    <dgm:cxn modelId="{A2284DEA-3E3A-4830-89E4-1322DB7044F3}" type="presOf" srcId="{5788F799-C613-40C5-8761-BEA82B1C90FC}" destId="{1BF27B21-0FAC-4F32-B691-48071D34A960}" srcOrd="0" destOrd="0" presId="urn:microsoft.com/office/officeart/2005/8/layout/lProcess2"/>
    <dgm:cxn modelId="{31AD6CED-D4AF-43F4-824A-277B720C111A}" type="presOf" srcId="{39F506DE-50F1-49BE-9ED2-88EFDAE6F0E1}" destId="{D3D71071-A754-4C0E-9FFD-064FC19C1E19}" srcOrd="0" destOrd="0" presId="urn:microsoft.com/office/officeart/2005/8/layout/lProcess2"/>
    <dgm:cxn modelId="{DF4930EE-E080-4A33-A5A2-D0A164B70308}" srcId="{39F506DE-50F1-49BE-9ED2-88EFDAE6F0E1}" destId="{C73CB937-E35C-46A7-A528-03AE78F9430B}" srcOrd="4" destOrd="0" parTransId="{4C4481EF-620D-4181-8F00-31DC7C846A66}" sibTransId="{CF0C6F57-028A-4F8B-9B40-15B58322102D}"/>
    <dgm:cxn modelId="{1E3663F2-CDF7-427B-B325-353EC2EFB496}" type="presOf" srcId="{0D2DEA6F-D8C0-4FEB-A933-8C9C6B02B855}" destId="{A68845FC-6DDE-4C7E-881F-812E90A866F1}" srcOrd="0" destOrd="0" presId="urn:microsoft.com/office/officeart/2005/8/layout/lProcess2"/>
    <dgm:cxn modelId="{55C2DFF2-EDBE-45FB-8FCB-121AEBAE19AA}" srcId="{35F91573-84CF-4D05-97CE-0E5A3583D4E6}" destId="{437562EF-45B9-4108-A430-E90D425350DB}" srcOrd="0" destOrd="0" parTransId="{5D122FFE-41EF-4D98-A656-471511B9F739}" sibTransId="{DA5646B2-415F-44CC-B454-6CDE34BFAF76}"/>
    <dgm:cxn modelId="{A056049E-86FE-43ED-9099-2C4CAD749607}" type="presParOf" srcId="{7D112E5F-5E8D-4BAC-B50E-86C24ABA9E6B}" destId="{4301FABA-D3E5-4FCD-BE6A-B0CB16ED0DEF}" srcOrd="0" destOrd="0" presId="urn:microsoft.com/office/officeart/2005/8/layout/lProcess2"/>
    <dgm:cxn modelId="{9710DC8F-A5A1-4A41-93C5-EA85A8B4D188}" type="presParOf" srcId="{4301FABA-D3E5-4FCD-BE6A-B0CB16ED0DEF}" destId="{4470F352-0887-4B4E-81B9-385C6AD8A1EF}" srcOrd="0" destOrd="0" presId="urn:microsoft.com/office/officeart/2005/8/layout/lProcess2"/>
    <dgm:cxn modelId="{279D81FD-8D40-42F4-81DB-F1CF196C4F81}" type="presParOf" srcId="{4301FABA-D3E5-4FCD-BE6A-B0CB16ED0DEF}" destId="{F05B5A65-AC5E-407E-B187-D515ADC27144}" srcOrd="1" destOrd="0" presId="urn:microsoft.com/office/officeart/2005/8/layout/lProcess2"/>
    <dgm:cxn modelId="{E7D0C837-2334-4C52-8527-CB3D48AD8BDF}" type="presParOf" srcId="{4301FABA-D3E5-4FCD-BE6A-B0CB16ED0DEF}" destId="{A624F00D-DAF2-4670-AA4A-208C7DFEA3B7}" srcOrd="2" destOrd="0" presId="urn:microsoft.com/office/officeart/2005/8/layout/lProcess2"/>
    <dgm:cxn modelId="{9BD7A6B7-DE8C-4A03-B765-9729003F4BF2}" type="presParOf" srcId="{A624F00D-DAF2-4670-AA4A-208C7DFEA3B7}" destId="{533A268E-215C-474A-8A7A-CC045A7FFEC3}" srcOrd="0" destOrd="0" presId="urn:microsoft.com/office/officeart/2005/8/layout/lProcess2"/>
    <dgm:cxn modelId="{7324FF2D-26D8-4571-8B0E-ECB986A64C0C}" type="presParOf" srcId="{533A268E-215C-474A-8A7A-CC045A7FFEC3}" destId="{D9D4FC23-0730-4C6A-92D3-55905B566BDA}" srcOrd="0" destOrd="0" presId="urn:microsoft.com/office/officeart/2005/8/layout/lProcess2"/>
    <dgm:cxn modelId="{BA76495D-6FBA-4905-9F98-7DEDAC294293}" type="presParOf" srcId="{533A268E-215C-474A-8A7A-CC045A7FFEC3}" destId="{7CC912D5-C980-4E1E-9C52-57A9CBD43DD8}" srcOrd="1" destOrd="0" presId="urn:microsoft.com/office/officeart/2005/8/layout/lProcess2"/>
    <dgm:cxn modelId="{BAE869BE-CF87-4841-89B3-B743F6E26BFD}" type="presParOf" srcId="{533A268E-215C-474A-8A7A-CC045A7FFEC3}" destId="{B92FF65D-7314-4281-8C61-D2E02ABB453E}" srcOrd="2" destOrd="0" presId="urn:microsoft.com/office/officeart/2005/8/layout/lProcess2"/>
    <dgm:cxn modelId="{A4C56D76-F2CC-4AB3-A280-833535A82A01}" type="presParOf" srcId="{533A268E-215C-474A-8A7A-CC045A7FFEC3}" destId="{73953B14-DABE-4B45-B824-FBE124E351EA}" srcOrd="3" destOrd="0" presId="urn:microsoft.com/office/officeart/2005/8/layout/lProcess2"/>
    <dgm:cxn modelId="{FED760C4-E4C7-44F5-A29C-348CCD3D2269}" type="presParOf" srcId="{533A268E-215C-474A-8A7A-CC045A7FFEC3}" destId="{8BA67AC5-5D23-4E1E-BC34-5B51379E48E7}" srcOrd="4" destOrd="0" presId="urn:microsoft.com/office/officeart/2005/8/layout/lProcess2"/>
    <dgm:cxn modelId="{379D47EA-1A3E-483B-A77E-BF8632C09DDB}" type="presParOf" srcId="{533A268E-215C-474A-8A7A-CC045A7FFEC3}" destId="{90BBE37B-DDB2-4AAE-AB19-880B559F56DA}" srcOrd="5" destOrd="0" presId="urn:microsoft.com/office/officeart/2005/8/layout/lProcess2"/>
    <dgm:cxn modelId="{454A79F9-BB7B-4EFA-BF2D-5045174A9C19}" type="presParOf" srcId="{533A268E-215C-474A-8A7A-CC045A7FFEC3}" destId="{EE4F65C3-F61D-4F57-82E6-6248AF681702}" srcOrd="6" destOrd="0" presId="urn:microsoft.com/office/officeart/2005/8/layout/lProcess2"/>
    <dgm:cxn modelId="{3B719333-B040-4E1C-904F-1887631B316A}" type="presParOf" srcId="{533A268E-215C-474A-8A7A-CC045A7FFEC3}" destId="{59A96A6C-4DA1-40BF-BF04-0514F78121CF}" srcOrd="7" destOrd="0" presId="urn:microsoft.com/office/officeart/2005/8/layout/lProcess2"/>
    <dgm:cxn modelId="{79BAC0C6-5822-4545-A904-A28FE855EAA1}" type="presParOf" srcId="{533A268E-215C-474A-8A7A-CC045A7FFEC3}" destId="{4AA2C2D8-38AC-49A4-B325-32683F44EAF4}" srcOrd="8" destOrd="0" presId="urn:microsoft.com/office/officeart/2005/8/layout/lProcess2"/>
    <dgm:cxn modelId="{0AD70405-EF2F-4ABC-8222-4472616F97A7}" type="presParOf" srcId="{533A268E-215C-474A-8A7A-CC045A7FFEC3}" destId="{660A3C69-90FE-49F7-90AF-6D0370DB9A7D}" srcOrd="9" destOrd="0" presId="urn:microsoft.com/office/officeart/2005/8/layout/lProcess2"/>
    <dgm:cxn modelId="{D1558DD3-7A05-4534-8EE9-D9366F325865}" type="presParOf" srcId="{533A268E-215C-474A-8A7A-CC045A7FFEC3}" destId="{211DDDCD-7378-4BEA-A98D-65ED33393EC4}" srcOrd="10" destOrd="0" presId="urn:microsoft.com/office/officeart/2005/8/layout/lProcess2"/>
    <dgm:cxn modelId="{EC334A76-5583-4F2A-973A-E9AD86B4709D}" type="presParOf" srcId="{7D112E5F-5E8D-4BAC-B50E-86C24ABA9E6B}" destId="{C16AB182-874D-4807-9AFD-D4E1B87B6A38}" srcOrd="1" destOrd="0" presId="urn:microsoft.com/office/officeart/2005/8/layout/lProcess2"/>
    <dgm:cxn modelId="{74F1208B-3AF7-4357-B024-6D1FB2CECDE9}" type="presParOf" srcId="{7D112E5F-5E8D-4BAC-B50E-86C24ABA9E6B}" destId="{DDC1624A-B4AF-45C4-96AB-6684F5D040BE}" srcOrd="2" destOrd="0" presId="urn:microsoft.com/office/officeart/2005/8/layout/lProcess2"/>
    <dgm:cxn modelId="{727F27BE-AE0D-4B68-B42B-596CF09531AD}" type="presParOf" srcId="{DDC1624A-B4AF-45C4-96AB-6684F5D040BE}" destId="{54671E33-5AC7-4CD0-91C9-A60A47022F3E}" srcOrd="0" destOrd="0" presId="urn:microsoft.com/office/officeart/2005/8/layout/lProcess2"/>
    <dgm:cxn modelId="{793EEAE4-420B-4D3B-A88A-F2136FA1A235}" type="presParOf" srcId="{DDC1624A-B4AF-45C4-96AB-6684F5D040BE}" destId="{6480FF0A-C4CA-4878-B3DC-5C3D2BC5401E}" srcOrd="1" destOrd="0" presId="urn:microsoft.com/office/officeart/2005/8/layout/lProcess2"/>
    <dgm:cxn modelId="{94B84977-A4F6-4448-9D58-685A72097A15}" type="presParOf" srcId="{DDC1624A-B4AF-45C4-96AB-6684F5D040BE}" destId="{A367C46E-BD57-4EAA-AAC8-349DD5760DC9}" srcOrd="2" destOrd="0" presId="urn:microsoft.com/office/officeart/2005/8/layout/lProcess2"/>
    <dgm:cxn modelId="{9DE71FA0-C308-4A6D-A79A-627AB6B9ABD9}" type="presParOf" srcId="{A367C46E-BD57-4EAA-AAC8-349DD5760DC9}" destId="{10201B17-1614-4D45-8D1F-E89E82CE147B}" srcOrd="0" destOrd="0" presId="urn:microsoft.com/office/officeart/2005/8/layout/lProcess2"/>
    <dgm:cxn modelId="{B69C4A38-A460-44E4-B339-D89F99E0A4ED}" type="presParOf" srcId="{10201B17-1614-4D45-8D1F-E89E82CE147B}" destId="{9B677AB5-8643-43AB-A8BB-D8E12AD5A274}" srcOrd="0" destOrd="0" presId="urn:microsoft.com/office/officeart/2005/8/layout/lProcess2"/>
    <dgm:cxn modelId="{876ED38A-43C3-469B-B13C-01CF90ECA7CB}" type="presParOf" srcId="{10201B17-1614-4D45-8D1F-E89E82CE147B}" destId="{E08A0542-F05D-4D2B-80EB-8F1029EAB166}" srcOrd="1" destOrd="0" presId="urn:microsoft.com/office/officeart/2005/8/layout/lProcess2"/>
    <dgm:cxn modelId="{41A63CB4-A278-45C5-A8E9-48C8B4C42C65}" type="presParOf" srcId="{10201B17-1614-4D45-8D1F-E89E82CE147B}" destId="{B5D870D0-097B-4398-AB09-A25CBC7E53C9}" srcOrd="2" destOrd="0" presId="urn:microsoft.com/office/officeart/2005/8/layout/lProcess2"/>
    <dgm:cxn modelId="{31B6EA66-BA5A-4916-B3DD-E4C25144DE04}" type="presParOf" srcId="{10201B17-1614-4D45-8D1F-E89E82CE147B}" destId="{66D684AA-86FB-4848-AAFE-13D2A9B89885}" srcOrd="3" destOrd="0" presId="urn:microsoft.com/office/officeart/2005/8/layout/lProcess2"/>
    <dgm:cxn modelId="{093A00E3-8893-4624-B45E-7AB80C2D73FB}" type="presParOf" srcId="{10201B17-1614-4D45-8D1F-E89E82CE147B}" destId="{74775DD3-DAF7-431F-8441-2EBCC37BE9A2}" srcOrd="4" destOrd="0" presId="urn:microsoft.com/office/officeart/2005/8/layout/lProcess2"/>
    <dgm:cxn modelId="{19FA7A70-1A7B-405C-8C9F-A0EB42071384}" type="presParOf" srcId="{7D112E5F-5E8D-4BAC-B50E-86C24ABA9E6B}" destId="{E1E0E8BA-EBC3-4F70-B3ED-DB8A17482F28}" srcOrd="3" destOrd="0" presId="urn:microsoft.com/office/officeart/2005/8/layout/lProcess2"/>
    <dgm:cxn modelId="{29349B50-153A-43D1-AA95-E2633D2BAA0F}" type="presParOf" srcId="{7D112E5F-5E8D-4BAC-B50E-86C24ABA9E6B}" destId="{402D373B-B130-4BCE-B754-88E874A8BA2F}" srcOrd="4" destOrd="0" presId="urn:microsoft.com/office/officeart/2005/8/layout/lProcess2"/>
    <dgm:cxn modelId="{4C4DF165-B39C-42F3-BF0D-8F2721C8088F}" type="presParOf" srcId="{402D373B-B130-4BCE-B754-88E874A8BA2F}" destId="{6D56517E-766B-45C1-B3BA-03A92A9F1628}" srcOrd="0" destOrd="0" presId="urn:microsoft.com/office/officeart/2005/8/layout/lProcess2"/>
    <dgm:cxn modelId="{B6F48FD7-59C7-4558-A446-40E4A21E2FE9}" type="presParOf" srcId="{402D373B-B130-4BCE-B754-88E874A8BA2F}" destId="{3D88E221-0C0B-49C5-BB85-D37F5241594C}" srcOrd="1" destOrd="0" presId="urn:microsoft.com/office/officeart/2005/8/layout/lProcess2"/>
    <dgm:cxn modelId="{B2540334-EEF1-4C03-A15D-E38BC4D2BFDE}" type="presParOf" srcId="{402D373B-B130-4BCE-B754-88E874A8BA2F}" destId="{FC127A81-509B-4C31-A143-B820FFD61064}" srcOrd="2" destOrd="0" presId="urn:microsoft.com/office/officeart/2005/8/layout/lProcess2"/>
    <dgm:cxn modelId="{30B8A702-3504-4149-B1D6-B5E2C309E86A}" type="presParOf" srcId="{FC127A81-509B-4C31-A143-B820FFD61064}" destId="{E3A1EC06-F8F1-47EA-A4C0-7BCCDF995841}" srcOrd="0" destOrd="0" presId="urn:microsoft.com/office/officeart/2005/8/layout/lProcess2"/>
    <dgm:cxn modelId="{1F598639-395E-4A74-8D46-D6194C90E113}" type="presParOf" srcId="{E3A1EC06-F8F1-47EA-A4C0-7BCCDF995841}" destId="{A239EC8B-8508-4BCF-8FEB-C4B29C102781}" srcOrd="0" destOrd="0" presId="urn:microsoft.com/office/officeart/2005/8/layout/lProcess2"/>
    <dgm:cxn modelId="{09F8D730-983D-492E-8D06-1F91DDBB18AB}" type="presParOf" srcId="{E3A1EC06-F8F1-47EA-A4C0-7BCCDF995841}" destId="{DE9FC021-E5D3-46E0-B2AF-55F27F9D3A13}" srcOrd="1" destOrd="0" presId="urn:microsoft.com/office/officeart/2005/8/layout/lProcess2"/>
    <dgm:cxn modelId="{F5492AA8-DFB4-43F0-80DE-ECD5239B5118}" type="presParOf" srcId="{E3A1EC06-F8F1-47EA-A4C0-7BCCDF995841}" destId="{6A2DAABB-876A-47FD-BE7B-55DED4AE8D7D}" srcOrd="2" destOrd="0" presId="urn:microsoft.com/office/officeart/2005/8/layout/lProcess2"/>
    <dgm:cxn modelId="{29533B5E-2330-40DC-9906-FF4814F39757}" type="presParOf" srcId="{E3A1EC06-F8F1-47EA-A4C0-7BCCDF995841}" destId="{E23970C8-D920-4BF0-A669-CF40216FEE7B}" srcOrd="3" destOrd="0" presId="urn:microsoft.com/office/officeart/2005/8/layout/lProcess2"/>
    <dgm:cxn modelId="{68987DDF-79A2-45DA-A3DC-FEEDE00C1135}" type="presParOf" srcId="{E3A1EC06-F8F1-47EA-A4C0-7BCCDF995841}" destId="{BA720AA9-5F7C-42D6-8013-F5034CA8CF9A}" srcOrd="4" destOrd="0" presId="urn:microsoft.com/office/officeart/2005/8/layout/lProcess2"/>
    <dgm:cxn modelId="{7E7F878C-65B6-4AA9-8461-2D5DBA9915DD}" type="presParOf" srcId="{E3A1EC06-F8F1-47EA-A4C0-7BCCDF995841}" destId="{930CB17E-F995-4612-817C-0477E558F88E}" srcOrd="5" destOrd="0" presId="urn:microsoft.com/office/officeart/2005/8/layout/lProcess2"/>
    <dgm:cxn modelId="{9683B2A9-8997-49CC-A4D1-ED4D3976BAFF}" type="presParOf" srcId="{E3A1EC06-F8F1-47EA-A4C0-7BCCDF995841}" destId="{EDE04BA0-5878-419E-8E19-C3EF2AA315AF}" srcOrd="6" destOrd="0" presId="urn:microsoft.com/office/officeart/2005/8/layout/lProcess2"/>
    <dgm:cxn modelId="{4B12AE15-03CE-42EF-9267-5E65BCC75734}" type="presParOf" srcId="{E3A1EC06-F8F1-47EA-A4C0-7BCCDF995841}" destId="{50B41810-C3B5-432B-A0A1-357D5753AF7A}" srcOrd="7" destOrd="0" presId="urn:microsoft.com/office/officeart/2005/8/layout/lProcess2"/>
    <dgm:cxn modelId="{2AE62FDB-E272-4FC6-8F75-BB7695C1A45C}" type="presParOf" srcId="{E3A1EC06-F8F1-47EA-A4C0-7BCCDF995841}" destId="{A68845FC-6DDE-4C7E-881F-812E90A866F1}" srcOrd="8" destOrd="0" presId="urn:microsoft.com/office/officeart/2005/8/layout/lProcess2"/>
    <dgm:cxn modelId="{0AC80DD8-3BEC-4952-B6DE-AF90259CE7B2}" type="presParOf" srcId="{7D112E5F-5E8D-4BAC-B50E-86C24ABA9E6B}" destId="{3E1558C7-1B44-4DF1-9150-BC01D24B90ED}" srcOrd="5" destOrd="0" presId="urn:microsoft.com/office/officeart/2005/8/layout/lProcess2"/>
    <dgm:cxn modelId="{3C952C8B-3A52-403F-A6F3-5561A9C3464D}" type="presParOf" srcId="{7D112E5F-5E8D-4BAC-B50E-86C24ABA9E6B}" destId="{8A5ABB40-4AF3-4F54-8A23-25AF2440FB8F}" srcOrd="6" destOrd="0" presId="urn:microsoft.com/office/officeart/2005/8/layout/lProcess2"/>
    <dgm:cxn modelId="{EFFFF2BB-0F41-494E-ADC2-859E75BC9C74}" type="presParOf" srcId="{8A5ABB40-4AF3-4F54-8A23-25AF2440FB8F}" destId="{D3D71071-A754-4C0E-9FFD-064FC19C1E19}" srcOrd="0" destOrd="0" presId="urn:microsoft.com/office/officeart/2005/8/layout/lProcess2"/>
    <dgm:cxn modelId="{C80A7A74-C622-42E3-86FF-235E26E77346}" type="presParOf" srcId="{8A5ABB40-4AF3-4F54-8A23-25AF2440FB8F}" destId="{7B18AFFD-E121-412C-9D04-2A61C280EF92}" srcOrd="1" destOrd="0" presId="urn:microsoft.com/office/officeart/2005/8/layout/lProcess2"/>
    <dgm:cxn modelId="{6EDD2137-29B6-432F-8A7C-C8E99A15BBF3}" type="presParOf" srcId="{8A5ABB40-4AF3-4F54-8A23-25AF2440FB8F}" destId="{6464E99A-573D-4147-88DF-98BE15D9D1B3}" srcOrd="2" destOrd="0" presId="urn:microsoft.com/office/officeart/2005/8/layout/lProcess2"/>
    <dgm:cxn modelId="{3971B6C4-FAF4-4BBD-85C1-C230D1137D55}" type="presParOf" srcId="{6464E99A-573D-4147-88DF-98BE15D9D1B3}" destId="{9429677E-75CB-407F-90AA-2397BCA125A9}" srcOrd="0" destOrd="0" presId="urn:microsoft.com/office/officeart/2005/8/layout/lProcess2"/>
    <dgm:cxn modelId="{339FB0A5-324F-40B8-8252-74F01619B08E}" type="presParOf" srcId="{9429677E-75CB-407F-90AA-2397BCA125A9}" destId="{5FFDAE0D-01DD-4F48-856B-01906FDFAC4D}" srcOrd="0" destOrd="0" presId="urn:microsoft.com/office/officeart/2005/8/layout/lProcess2"/>
    <dgm:cxn modelId="{4EFDAB99-74E6-497F-B539-B12513908C99}" type="presParOf" srcId="{9429677E-75CB-407F-90AA-2397BCA125A9}" destId="{60D1828E-3849-4FD2-B0B7-E09590FEA5A9}" srcOrd="1" destOrd="0" presId="urn:microsoft.com/office/officeart/2005/8/layout/lProcess2"/>
    <dgm:cxn modelId="{7DFFD8BC-4D0D-4055-92DF-64AED45DB561}" type="presParOf" srcId="{9429677E-75CB-407F-90AA-2397BCA125A9}" destId="{7BE6FBB6-2C7F-4090-924E-AD3A157FFABE}" srcOrd="2" destOrd="0" presId="urn:microsoft.com/office/officeart/2005/8/layout/lProcess2"/>
    <dgm:cxn modelId="{476A1405-CCDB-4DEA-94B4-04705F09949A}" type="presParOf" srcId="{9429677E-75CB-407F-90AA-2397BCA125A9}" destId="{EB50AF21-1867-4AFD-9D93-5104C82232E5}" srcOrd="3" destOrd="0" presId="urn:microsoft.com/office/officeart/2005/8/layout/lProcess2"/>
    <dgm:cxn modelId="{1AA3931C-C6CA-4123-8B71-201AC9573086}" type="presParOf" srcId="{9429677E-75CB-407F-90AA-2397BCA125A9}" destId="{1BF27B21-0FAC-4F32-B691-48071D34A960}" srcOrd="4" destOrd="0" presId="urn:microsoft.com/office/officeart/2005/8/layout/lProcess2"/>
    <dgm:cxn modelId="{48F04CA5-9E03-463D-914D-04A3FB584A8B}" type="presParOf" srcId="{9429677E-75CB-407F-90AA-2397BCA125A9}" destId="{E10D0A9F-4D55-40F0-920D-07936253DA14}" srcOrd="5" destOrd="0" presId="urn:microsoft.com/office/officeart/2005/8/layout/lProcess2"/>
    <dgm:cxn modelId="{1390E960-1F36-451B-A5E2-D73DDABA1B25}" type="presParOf" srcId="{9429677E-75CB-407F-90AA-2397BCA125A9}" destId="{9821E4E8-E247-4525-A9DD-43D8B524714D}" srcOrd="6" destOrd="0" presId="urn:microsoft.com/office/officeart/2005/8/layout/lProcess2"/>
    <dgm:cxn modelId="{E74D2205-B9B3-4F3A-9F3E-EADDDDCE4864}" type="presParOf" srcId="{9429677E-75CB-407F-90AA-2397BCA125A9}" destId="{01482FE3-B603-4D03-A6E2-136BA9F2BD0C}" srcOrd="7" destOrd="0" presId="urn:microsoft.com/office/officeart/2005/8/layout/lProcess2"/>
    <dgm:cxn modelId="{6098A5D6-09B8-4439-B5F7-B9F97617A3B4}" type="presParOf" srcId="{9429677E-75CB-407F-90AA-2397BCA125A9}" destId="{6081A0E7-3270-44D0-B4CD-B69CEEB69F68}" srcOrd="8" destOrd="0" presId="urn:microsoft.com/office/officeart/2005/8/layout/lProcess2"/>
    <dgm:cxn modelId="{B58F1AC7-5271-4B2D-86CE-2CEA1F7582C7}" type="presParOf" srcId="{7D112E5F-5E8D-4BAC-B50E-86C24ABA9E6B}" destId="{2F25DA26-E475-4DCC-81D7-E51A03860FE1}" srcOrd="7" destOrd="0" presId="urn:microsoft.com/office/officeart/2005/8/layout/lProcess2"/>
    <dgm:cxn modelId="{92572A93-D97B-428F-B729-08CA10B5C713}" type="presParOf" srcId="{7D112E5F-5E8D-4BAC-B50E-86C24ABA9E6B}" destId="{7945454D-625D-4AB2-B97D-5B3833EB7F93}" srcOrd="8" destOrd="0" presId="urn:microsoft.com/office/officeart/2005/8/layout/lProcess2"/>
    <dgm:cxn modelId="{E8011017-626A-476A-9012-08B6A5593BBC}" type="presParOf" srcId="{7945454D-625D-4AB2-B97D-5B3833EB7F93}" destId="{8387A50E-865C-4F7E-BAF7-78F89B5F3C88}" srcOrd="0" destOrd="0" presId="urn:microsoft.com/office/officeart/2005/8/layout/lProcess2"/>
    <dgm:cxn modelId="{F88250FA-C354-46E5-BFB3-7652F26A4928}" type="presParOf" srcId="{7945454D-625D-4AB2-B97D-5B3833EB7F93}" destId="{639BD1C7-0242-4D12-913E-B2E949B465C2}" srcOrd="1" destOrd="0" presId="urn:microsoft.com/office/officeart/2005/8/layout/lProcess2"/>
    <dgm:cxn modelId="{E90E3D55-052A-4957-83C5-A692D1735657}" type="presParOf" srcId="{7945454D-625D-4AB2-B97D-5B3833EB7F93}" destId="{CEC341EC-BD97-4257-ACDD-A06B55818C2D}" srcOrd="2" destOrd="0" presId="urn:microsoft.com/office/officeart/2005/8/layout/lProcess2"/>
    <dgm:cxn modelId="{D7913AEA-BDEB-48B0-A9DD-A233B47DFEDE}" type="presParOf" srcId="{CEC341EC-BD97-4257-ACDD-A06B55818C2D}" destId="{AEC892E2-6604-443A-A67F-53AE05637B15}" srcOrd="0" destOrd="0" presId="urn:microsoft.com/office/officeart/2005/8/layout/lProcess2"/>
    <dgm:cxn modelId="{6EAAA6FF-DF37-4587-9849-AB37A71481B1}" type="presParOf" srcId="{AEC892E2-6604-443A-A67F-53AE05637B15}" destId="{45ED17EB-782D-462A-9CC1-E53FA40A33C7}" srcOrd="0" destOrd="0" presId="urn:microsoft.com/office/officeart/2005/8/layout/lProcess2"/>
    <dgm:cxn modelId="{7FFBA2FF-DC70-4E95-BC8E-D238EC5E2114}" type="presParOf" srcId="{AEC892E2-6604-443A-A67F-53AE05637B15}" destId="{16E19EC9-ED01-4DAC-B0F1-F8A96C2B51C5}" srcOrd="1" destOrd="0" presId="urn:microsoft.com/office/officeart/2005/8/layout/lProcess2"/>
    <dgm:cxn modelId="{60EA8CE6-DBA3-46DD-95DB-AB304FA16B39}" type="presParOf" srcId="{AEC892E2-6604-443A-A67F-53AE05637B15}" destId="{0482D866-2B3F-412E-9D66-E84151969353}" srcOrd="2" destOrd="0" presId="urn:microsoft.com/office/officeart/2005/8/layout/lProcess2"/>
    <dgm:cxn modelId="{03A85D16-8B75-4E16-A986-451F9C971CCF}" type="presParOf" srcId="{AEC892E2-6604-443A-A67F-53AE05637B15}" destId="{7093F947-1EB5-42F2-8171-F0AB740A3D09}" srcOrd="3" destOrd="0" presId="urn:microsoft.com/office/officeart/2005/8/layout/lProcess2"/>
    <dgm:cxn modelId="{0A1F46A3-3195-4A2D-91B8-237F45AA3E69}" type="presParOf" srcId="{AEC892E2-6604-443A-A67F-53AE05637B15}" destId="{07A918F0-62D9-46AE-9F9F-62DB5B328CB3}" srcOrd="4" destOrd="0" presId="urn:microsoft.com/office/officeart/2005/8/layout/lProcess2"/>
    <dgm:cxn modelId="{175EDDAC-611C-49B5-8934-EE6B8A97170B}" type="presParOf" srcId="{AEC892E2-6604-443A-A67F-53AE05637B15}" destId="{D02C7D20-3486-4424-8131-95B71FAD3264}" srcOrd="5" destOrd="0" presId="urn:microsoft.com/office/officeart/2005/8/layout/lProcess2"/>
    <dgm:cxn modelId="{35285825-F0D3-4204-8E24-C435CFCE23D4}" type="presParOf" srcId="{AEC892E2-6604-443A-A67F-53AE05637B15}" destId="{DED3F222-26E6-4809-AA91-F07F244295C3}" srcOrd="6" destOrd="0" presId="urn:microsoft.com/office/officeart/2005/8/layout/lProcess2"/>
    <dgm:cxn modelId="{E3BA7ABB-5306-455F-8300-DD676516D827}" type="presParOf" srcId="{AEC892E2-6604-443A-A67F-53AE05637B15}" destId="{6CA8B92D-366A-4BEA-A92A-6679C45DAB15}" srcOrd="7" destOrd="0" presId="urn:microsoft.com/office/officeart/2005/8/layout/lProcess2"/>
    <dgm:cxn modelId="{5F53D0CB-9DF7-4043-AB2B-594E1E68A130}" type="presParOf" srcId="{AEC892E2-6604-443A-A67F-53AE05637B15}" destId="{AAF2ACE6-5E38-4636-B080-BC2D37E74DD8}" srcOrd="8" destOrd="0" presId="urn:microsoft.com/office/officeart/2005/8/layout/lProcess2"/>
    <dgm:cxn modelId="{8C1E96BA-18C3-44A7-B448-22C4B68F8889}" type="presParOf" srcId="{7D112E5F-5E8D-4BAC-B50E-86C24ABA9E6B}" destId="{0CBD8366-63C9-47EF-B087-7561B6477CB6}" srcOrd="9" destOrd="0" presId="urn:microsoft.com/office/officeart/2005/8/layout/lProcess2"/>
    <dgm:cxn modelId="{6184E2D8-F98E-47BE-B96E-42B3DF6B9D2A}" type="presParOf" srcId="{7D112E5F-5E8D-4BAC-B50E-86C24ABA9E6B}" destId="{C76F0AA8-C3B8-424D-828B-9F3AEB3DDD02}" srcOrd="10" destOrd="0" presId="urn:microsoft.com/office/officeart/2005/8/layout/lProcess2"/>
    <dgm:cxn modelId="{9E1DC7B1-EA05-4AF1-BE47-559D583CB911}" type="presParOf" srcId="{C76F0AA8-C3B8-424D-828B-9F3AEB3DDD02}" destId="{788DE979-FF1A-4219-BF84-8A28593CCB94}" srcOrd="0" destOrd="0" presId="urn:microsoft.com/office/officeart/2005/8/layout/lProcess2"/>
    <dgm:cxn modelId="{246380CE-FBE9-477C-B217-EC5BB476AFD0}" type="presParOf" srcId="{C76F0AA8-C3B8-424D-828B-9F3AEB3DDD02}" destId="{71B56B25-BAF1-420C-B037-BB4722F02D90}" srcOrd="1" destOrd="0" presId="urn:microsoft.com/office/officeart/2005/8/layout/lProcess2"/>
    <dgm:cxn modelId="{C9638C92-1290-4616-AAF0-4F00A6203D52}" type="presParOf" srcId="{C76F0AA8-C3B8-424D-828B-9F3AEB3DDD02}" destId="{3F1D360B-481D-4C5E-90CF-3EAB36CBAFB2}" srcOrd="2" destOrd="0" presId="urn:microsoft.com/office/officeart/2005/8/layout/lProcess2"/>
    <dgm:cxn modelId="{44F227BE-82A8-4959-AF1C-19BB2D299232}" type="presParOf" srcId="{3F1D360B-481D-4C5E-90CF-3EAB36CBAFB2}" destId="{E1A254AC-78C7-4655-ACAE-FADF2CEC1676}" srcOrd="0" destOrd="0" presId="urn:microsoft.com/office/officeart/2005/8/layout/lProcess2"/>
    <dgm:cxn modelId="{728948CE-5026-4D66-8C75-A858F05555C3}" type="presParOf" srcId="{E1A254AC-78C7-4655-ACAE-FADF2CEC1676}" destId="{F1F16BAE-86C3-4B1E-85EA-E74B55A21462}" srcOrd="0" destOrd="0" presId="urn:microsoft.com/office/officeart/2005/8/layout/lProcess2"/>
    <dgm:cxn modelId="{8D7B1AC6-942A-4DF2-B181-FCB78F24DD4C}" type="presParOf" srcId="{E1A254AC-78C7-4655-ACAE-FADF2CEC1676}" destId="{C398DBA4-3F4A-45C5-A3D1-F3F64D633C42}" srcOrd="1" destOrd="0" presId="urn:microsoft.com/office/officeart/2005/8/layout/lProcess2"/>
    <dgm:cxn modelId="{DBF8A06D-FE53-43B0-B09F-70E62EE8312D}" type="presParOf" srcId="{E1A254AC-78C7-4655-ACAE-FADF2CEC1676}" destId="{2EA20561-6CFD-4954-A64B-AB91B0668E80}" srcOrd="2" destOrd="0" presId="urn:microsoft.com/office/officeart/2005/8/layout/lProcess2"/>
    <dgm:cxn modelId="{382AFC1B-8E1A-4750-8EAB-5F29799134D0}" type="presParOf" srcId="{E1A254AC-78C7-4655-ACAE-FADF2CEC1676}" destId="{D0826BCA-BC11-48B7-B01F-89A295A6B808}" srcOrd="3" destOrd="0" presId="urn:microsoft.com/office/officeart/2005/8/layout/lProcess2"/>
    <dgm:cxn modelId="{9016D371-354C-4A65-B282-DCC1751E81EA}" type="presParOf" srcId="{E1A254AC-78C7-4655-ACAE-FADF2CEC1676}" destId="{23C873A2-9912-4FE4-BDE7-C88BA9B2ECB3}" srcOrd="4" destOrd="0" presId="urn:microsoft.com/office/officeart/2005/8/layout/lProcess2"/>
    <dgm:cxn modelId="{231E8D50-C85E-44F7-B53B-CFA644377AAD}" type="presParOf" srcId="{E1A254AC-78C7-4655-ACAE-FADF2CEC1676}" destId="{ED34EE53-D035-4AEC-9CC5-068CFCF668D1}" srcOrd="5" destOrd="0" presId="urn:microsoft.com/office/officeart/2005/8/layout/lProcess2"/>
    <dgm:cxn modelId="{B233CE19-05A3-48B0-AFBC-03B43F5280C3}" type="presParOf" srcId="{E1A254AC-78C7-4655-ACAE-FADF2CEC1676}" destId="{95E7D6F0-32A9-4AB9-8051-93F3945D429B}" srcOrd="6" destOrd="0" presId="urn:microsoft.com/office/officeart/2005/8/layout/lProcess2"/>
    <dgm:cxn modelId="{431E756B-41B3-47C8-B891-1EEDF42A3349}" type="presParOf" srcId="{E1A254AC-78C7-4655-ACAE-FADF2CEC1676}" destId="{A3398A3F-042E-4757-B783-3A417B74E948}" srcOrd="7" destOrd="0" presId="urn:microsoft.com/office/officeart/2005/8/layout/lProcess2"/>
    <dgm:cxn modelId="{44F7E31F-A761-4336-A460-112F8BA476CB}" type="presParOf" srcId="{E1A254AC-78C7-4655-ACAE-FADF2CEC1676}" destId="{66D2E35F-6AA8-4674-9525-32D6D3B769C9}" srcOrd="8" destOrd="0" presId="urn:microsoft.com/office/officeart/2005/8/layout/lProcess2"/>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470F352-0887-4B4E-81B9-385C6AD8A1EF}">
      <dsp:nvSpPr>
        <dsp:cNvPr id="0" name=""/>
        <dsp:cNvSpPr/>
      </dsp:nvSpPr>
      <dsp:spPr>
        <a:xfrm>
          <a:off x="0" y="0"/>
          <a:ext cx="1344302" cy="4685454"/>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Digital Power Basic Skills</a:t>
          </a:r>
        </a:p>
      </dsp:txBody>
      <dsp:txXfrm>
        <a:off x="0" y="0"/>
        <a:ext cx="1344302" cy="1405636"/>
      </dsp:txXfrm>
    </dsp:sp>
    <dsp:sp modelId="{D9D4FC23-0730-4C6A-92D3-55905B566BDA}">
      <dsp:nvSpPr>
        <dsp:cNvPr id="0" name=""/>
        <dsp:cNvSpPr/>
      </dsp:nvSpPr>
      <dsp:spPr>
        <a:xfrm>
          <a:off x="137832" y="1405864"/>
          <a:ext cx="1075441" cy="449842"/>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Leren &amp; reflecteren</a:t>
          </a:r>
        </a:p>
      </dsp:txBody>
      <dsp:txXfrm>
        <a:off x="151007" y="1419039"/>
        <a:ext cx="1049091" cy="423492"/>
      </dsp:txXfrm>
    </dsp:sp>
    <dsp:sp modelId="{B92FF65D-7314-4281-8C61-D2E02ABB453E}">
      <dsp:nvSpPr>
        <dsp:cNvPr id="0" name=""/>
        <dsp:cNvSpPr/>
      </dsp:nvSpPr>
      <dsp:spPr>
        <a:xfrm>
          <a:off x="137832" y="1924913"/>
          <a:ext cx="1075441" cy="449842"/>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Ondersteunen &amp; samenwerken</a:t>
          </a:r>
        </a:p>
      </dsp:txBody>
      <dsp:txXfrm>
        <a:off x="151007" y="1938088"/>
        <a:ext cx="1049091" cy="423492"/>
      </dsp:txXfrm>
    </dsp:sp>
    <dsp:sp modelId="{8BA67AC5-5D23-4E1E-BC34-5B51379E48E7}">
      <dsp:nvSpPr>
        <dsp:cNvPr id="0" name=""/>
        <dsp:cNvSpPr/>
      </dsp:nvSpPr>
      <dsp:spPr>
        <a:xfrm>
          <a:off x="137832" y="2443963"/>
          <a:ext cx="1075441" cy="449842"/>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Ondernemen &amp; resultaatgericht</a:t>
          </a:r>
        </a:p>
      </dsp:txBody>
      <dsp:txXfrm>
        <a:off x="151007" y="2457138"/>
        <a:ext cx="1049091" cy="423492"/>
      </dsp:txXfrm>
    </dsp:sp>
    <dsp:sp modelId="{EE4F65C3-F61D-4F57-82E6-6248AF681702}">
      <dsp:nvSpPr>
        <dsp:cNvPr id="0" name=""/>
        <dsp:cNvSpPr/>
      </dsp:nvSpPr>
      <dsp:spPr>
        <a:xfrm>
          <a:off x="137832" y="2963012"/>
          <a:ext cx="1075441" cy="449842"/>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Klantgericht</a:t>
          </a:r>
        </a:p>
      </dsp:txBody>
      <dsp:txXfrm>
        <a:off x="151007" y="2976187"/>
        <a:ext cx="1049091" cy="423492"/>
      </dsp:txXfrm>
    </dsp:sp>
    <dsp:sp modelId="{4AA2C2D8-38AC-49A4-B325-32683F44EAF4}">
      <dsp:nvSpPr>
        <dsp:cNvPr id="0" name=""/>
        <dsp:cNvSpPr/>
      </dsp:nvSpPr>
      <dsp:spPr>
        <a:xfrm>
          <a:off x="137832" y="3482061"/>
          <a:ext cx="1075441" cy="449842"/>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Kennisdeling</a:t>
          </a:r>
        </a:p>
      </dsp:txBody>
      <dsp:txXfrm>
        <a:off x="151007" y="3495236"/>
        <a:ext cx="1049091" cy="423492"/>
      </dsp:txXfrm>
    </dsp:sp>
    <dsp:sp modelId="{211DDDCD-7378-4BEA-A98D-65ED33393EC4}">
      <dsp:nvSpPr>
        <dsp:cNvPr id="0" name=""/>
        <dsp:cNvSpPr/>
      </dsp:nvSpPr>
      <dsp:spPr>
        <a:xfrm>
          <a:off x="137832" y="4001110"/>
          <a:ext cx="1075441" cy="449842"/>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Coaching &amp; begeleiding</a:t>
          </a:r>
        </a:p>
      </dsp:txBody>
      <dsp:txXfrm>
        <a:off x="151007" y="4014285"/>
        <a:ext cx="1049091" cy="423492"/>
      </dsp:txXfrm>
    </dsp:sp>
    <dsp:sp modelId="{54671E33-5AC7-4CD0-91C9-A60A47022F3E}">
      <dsp:nvSpPr>
        <dsp:cNvPr id="0" name=""/>
        <dsp:cNvSpPr/>
      </dsp:nvSpPr>
      <dsp:spPr>
        <a:xfrm>
          <a:off x="1448527" y="0"/>
          <a:ext cx="1344302" cy="4685454"/>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Domein skills</a:t>
          </a:r>
        </a:p>
      </dsp:txBody>
      <dsp:txXfrm>
        <a:off x="1448527" y="0"/>
        <a:ext cx="1344302" cy="1405636"/>
      </dsp:txXfrm>
    </dsp:sp>
    <dsp:sp modelId="{9B677AB5-8643-43AB-A8BB-D8E12AD5A274}">
      <dsp:nvSpPr>
        <dsp:cNvPr id="0" name=""/>
        <dsp:cNvSpPr/>
      </dsp:nvSpPr>
      <dsp:spPr>
        <a:xfrm>
          <a:off x="1582957" y="1406036"/>
          <a:ext cx="1075441" cy="92050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Communication developers/ analysts</a:t>
          </a:r>
        </a:p>
      </dsp:txBody>
      <dsp:txXfrm>
        <a:off x="1609918" y="1432997"/>
        <a:ext cx="1021519" cy="866582"/>
      </dsp:txXfrm>
    </dsp:sp>
    <dsp:sp modelId="{B5D870D0-097B-4398-AB09-A25CBC7E53C9}">
      <dsp:nvSpPr>
        <dsp:cNvPr id="0" name=""/>
        <dsp:cNvSpPr/>
      </dsp:nvSpPr>
      <dsp:spPr>
        <a:xfrm>
          <a:off x="1582957" y="2468156"/>
          <a:ext cx="1075441" cy="92050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Tagging trends in domain</a:t>
          </a:r>
        </a:p>
      </dsp:txBody>
      <dsp:txXfrm>
        <a:off x="1609918" y="2495117"/>
        <a:ext cx="1021519" cy="866582"/>
      </dsp:txXfrm>
    </dsp:sp>
    <dsp:sp modelId="{74775DD3-DAF7-431F-8441-2EBCC37BE9A2}">
      <dsp:nvSpPr>
        <dsp:cNvPr id="0" name=""/>
        <dsp:cNvSpPr/>
      </dsp:nvSpPr>
      <dsp:spPr>
        <a:xfrm>
          <a:off x="1582957" y="3530276"/>
          <a:ext cx="1075441" cy="92050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Requirements</a:t>
          </a:r>
        </a:p>
      </dsp:txBody>
      <dsp:txXfrm>
        <a:off x="1609918" y="3557237"/>
        <a:ext cx="1021519" cy="866582"/>
      </dsp:txXfrm>
    </dsp:sp>
    <dsp:sp modelId="{6D56517E-766B-45C1-B3BA-03A92A9F1628}">
      <dsp:nvSpPr>
        <dsp:cNvPr id="0" name=""/>
        <dsp:cNvSpPr/>
      </dsp:nvSpPr>
      <dsp:spPr>
        <a:xfrm>
          <a:off x="2910886" y="0"/>
          <a:ext cx="1344302" cy="4685454"/>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Hardskills</a:t>
          </a:r>
        </a:p>
      </dsp:txBody>
      <dsp:txXfrm>
        <a:off x="2910886" y="0"/>
        <a:ext cx="1344302" cy="1405636"/>
      </dsp:txXfrm>
    </dsp:sp>
    <dsp:sp modelId="{A239EC8B-8508-4BCF-8FEB-C4B29C102781}">
      <dsp:nvSpPr>
        <dsp:cNvPr id="0" name=""/>
        <dsp:cNvSpPr/>
      </dsp:nvSpPr>
      <dsp:spPr>
        <a:xfrm>
          <a:off x="3028083" y="1406522"/>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Analytics (management/ admin) kennis</a:t>
          </a:r>
        </a:p>
      </dsp:txBody>
      <dsp:txXfrm>
        <a:off x="3043959" y="1422398"/>
        <a:ext cx="1043689" cy="510289"/>
      </dsp:txXfrm>
    </dsp:sp>
    <dsp:sp modelId="{6A2DAABB-876A-47FD-BE7B-55DED4AE8D7D}">
      <dsp:nvSpPr>
        <dsp:cNvPr id="0" name=""/>
        <dsp:cNvSpPr/>
      </dsp:nvSpPr>
      <dsp:spPr>
        <a:xfrm>
          <a:off x="3028083" y="2031955"/>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Tag management</a:t>
          </a:r>
        </a:p>
      </dsp:txBody>
      <dsp:txXfrm>
        <a:off x="3043959" y="2047831"/>
        <a:ext cx="1043689" cy="510289"/>
      </dsp:txXfrm>
    </dsp:sp>
    <dsp:sp modelId="{BA720AA9-5F7C-42D6-8013-F5034CA8CF9A}">
      <dsp:nvSpPr>
        <dsp:cNvPr id="0" name=""/>
        <dsp:cNvSpPr/>
      </dsp:nvSpPr>
      <dsp:spPr>
        <a:xfrm>
          <a:off x="3028083" y="2657387"/>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structures, tagplans, datalayer</a:t>
          </a:r>
        </a:p>
      </dsp:txBody>
      <dsp:txXfrm>
        <a:off x="3043959" y="2673263"/>
        <a:ext cx="1043689" cy="510289"/>
      </dsp:txXfrm>
    </dsp:sp>
    <dsp:sp modelId="{EDE04BA0-5878-419E-8E19-C3EF2AA315AF}">
      <dsp:nvSpPr>
        <dsp:cNvPr id="0" name=""/>
        <dsp:cNvSpPr/>
      </dsp:nvSpPr>
      <dsp:spPr>
        <a:xfrm>
          <a:off x="3028083" y="3282820"/>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Debugging</a:t>
          </a:r>
        </a:p>
      </dsp:txBody>
      <dsp:txXfrm>
        <a:off x="3043959" y="3298696"/>
        <a:ext cx="1043689" cy="510289"/>
      </dsp:txXfrm>
    </dsp:sp>
    <dsp:sp modelId="{A68845FC-6DDE-4C7E-881F-812E90A866F1}">
      <dsp:nvSpPr>
        <dsp:cNvPr id="0" name=""/>
        <dsp:cNvSpPr/>
      </dsp:nvSpPr>
      <dsp:spPr>
        <a:xfrm>
          <a:off x="3028083" y="3908253"/>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Programming</a:t>
          </a:r>
        </a:p>
      </dsp:txBody>
      <dsp:txXfrm>
        <a:off x="3043959" y="3924129"/>
        <a:ext cx="1043689" cy="510289"/>
      </dsp:txXfrm>
    </dsp:sp>
    <dsp:sp modelId="{D3D71071-A754-4C0E-9FFD-064FC19C1E19}">
      <dsp:nvSpPr>
        <dsp:cNvPr id="0" name=""/>
        <dsp:cNvSpPr/>
      </dsp:nvSpPr>
      <dsp:spPr>
        <a:xfrm>
          <a:off x="4338777" y="0"/>
          <a:ext cx="1344302" cy="4685454"/>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Basic Consultancy Skills</a:t>
          </a:r>
        </a:p>
      </dsp:txBody>
      <dsp:txXfrm>
        <a:off x="4338777" y="0"/>
        <a:ext cx="1344302" cy="1405636"/>
      </dsp:txXfrm>
    </dsp:sp>
    <dsp:sp modelId="{5FFDAE0D-01DD-4F48-856B-01906FDFAC4D}">
      <dsp:nvSpPr>
        <dsp:cNvPr id="0" name=""/>
        <dsp:cNvSpPr/>
      </dsp:nvSpPr>
      <dsp:spPr>
        <a:xfrm>
          <a:off x="4473208" y="1406522"/>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Adviseren</a:t>
          </a:r>
        </a:p>
      </dsp:txBody>
      <dsp:txXfrm>
        <a:off x="4489084" y="1422398"/>
        <a:ext cx="1043689" cy="510289"/>
      </dsp:txXfrm>
    </dsp:sp>
    <dsp:sp modelId="{7BE6FBB6-2C7F-4090-924E-AD3A157FFABE}">
      <dsp:nvSpPr>
        <dsp:cNvPr id="0" name=""/>
        <dsp:cNvSpPr/>
      </dsp:nvSpPr>
      <dsp:spPr>
        <a:xfrm>
          <a:off x="4473208" y="2031955"/>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Doortastend &amp; probleemoplossend</a:t>
          </a:r>
        </a:p>
      </dsp:txBody>
      <dsp:txXfrm>
        <a:off x="4489084" y="2047831"/>
        <a:ext cx="1043689" cy="510289"/>
      </dsp:txXfrm>
    </dsp:sp>
    <dsp:sp modelId="{1BF27B21-0FAC-4F32-B691-48071D34A960}">
      <dsp:nvSpPr>
        <dsp:cNvPr id="0" name=""/>
        <dsp:cNvSpPr/>
      </dsp:nvSpPr>
      <dsp:spPr>
        <a:xfrm>
          <a:off x="4473208" y="2657387"/>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Interpersoonlijke communicatie</a:t>
          </a:r>
        </a:p>
      </dsp:txBody>
      <dsp:txXfrm>
        <a:off x="4489084" y="2673263"/>
        <a:ext cx="1043689" cy="510289"/>
      </dsp:txXfrm>
    </dsp:sp>
    <dsp:sp modelId="{9821E4E8-E247-4525-A9DD-43D8B524714D}">
      <dsp:nvSpPr>
        <dsp:cNvPr id="0" name=""/>
        <dsp:cNvSpPr/>
      </dsp:nvSpPr>
      <dsp:spPr>
        <a:xfrm>
          <a:off x="4473208" y="3282820"/>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Verwachtings-management</a:t>
          </a:r>
        </a:p>
      </dsp:txBody>
      <dsp:txXfrm>
        <a:off x="4489084" y="3298696"/>
        <a:ext cx="1043689" cy="510289"/>
      </dsp:txXfrm>
    </dsp:sp>
    <dsp:sp modelId="{6081A0E7-3270-44D0-B4CD-B69CEEB69F68}">
      <dsp:nvSpPr>
        <dsp:cNvPr id="0" name=""/>
        <dsp:cNvSpPr/>
      </dsp:nvSpPr>
      <dsp:spPr>
        <a:xfrm>
          <a:off x="4473208" y="3908253"/>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Schriftelijke en mondelinge communicatie</a:t>
          </a:r>
        </a:p>
      </dsp:txBody>
      <dsp:txXfrm>
        <a:off x="4489084" y="3924129"/>
        <a:ext cx="1043689" cy="510289"/>
      </dsp:txXfrm>
    </dsp:sp>
    <dsp:sp modelId="{8387A50E-865C-4F7E-BAF7-78F89B5F3C88}">
      <dsp:nvSpPr>
        <dsp:cNvPr id="0" name=""/>
        <dsp:cNvSpPr/>
      </dsp:nvSpPr>
      <dsp:spPr>
        <a:xfrm>
          <a:off x="5783902" y="0"/>
          <a:ext cx="1344302" cy="4685454"/>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Business Skills</a:t>
          </a:r>
        </a:p>
      </dsp:txBody>
      <dsp:txXfrm>
        <a:off x="5783902" y="0"/>
        <a:ext cx="1344302" cy="1405636"/>
      </dsp:txXfrm>
    </dsp:sp>
    <dsp:sp modelId="{45ED17EB-782D-462A-9CC1-E53FA40A33C7}">
      <dsp:nvSpPr>
        <dsp:cNvPr id="0" name=""/>
        <dsp:cNvSpPr/>
      </dsp:nvSpPr>
      <dsp:spPr>
        <a:xfrm>
          <a:off x="5918333" y="1406522"/>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Organisatie- en management identificatie</a:t>
          </a:r>
        </a:p>
      </dsp:txBody>
      <dsp:txXfrm>
        <a:off x="5934209" y="1422398"/>
        <a:ext cx="1043689" cy="510289"/>
      </dsp:txXfrm>
    </dsp:sp>
    <dsp:sp modelId="{0482D866-2B3F-412E-9D66-E84151969353}">
      <dsp:nvSpPr>
        <dsp:cNvPr id="0" name=""/>
        <dsp:cNvSpPr/>
      </dsp:nvSpPr>
      <dsp:spPr>
        <a:xfrm>
          <a:off x="5918333" y="2031955"/>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Strategische conceptualisatie</a:t>
          </a:r>
        </a:p>
      </dsp:txBody>
      <dsp:txXfrm>
        <a:off x="5934209" y="2047831"/>
        <a:ext cx="1043689" cy="510289"/>
      </dsp:txXfrm>
    </dsp:sp>
    <dsp:sp modelId="{07A918F0-62D9-46AE-9F9F-62DB5B328CB3}">
      <dsp:nvSpPr>
        <dsp:cNvPr id="0" name=""/>
        <dsp:cNvSpPr/>
      </dsp:nvSpPr>
      <dsp:spPr>
        <a:xfrm>
          <a:off x="5918333" y="2657387"/>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Projectmanagement</a:t>
          </a:r>
        </a:p>
      </dsp:txBody>
      <dsp:txXfrm>
        <a:off x="5934209" y="2673263"/>
        <a:ext cx="1043689" cy="510289"/>
      </dsp:txXfrm>
    </dsp:sp>
    <dsp:sp modelId="{DED3F222-26E6-4809-AA91-F07F244295C3}">
      <dsp:nvSpPr>
        <dsp:cNvPr id="0" name=""/>
        <dsp:cNvSpPr/>
      </dsp:nvSpPr>
      <dsp:spPr>
        <a:xfrm>
          <a:off x="5918333" y="3282820"/>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Verander-management</a:t>
          </a:r>
        </a:p>
      </dsp:txBody>
      <dsp:txXfrm>
        <a:off x="5934209" y="3298696"/>
        <a:ext cx="1043689" cy="510289"/>
      </dsp:txXfrm>
    </dsp:sp>
    <dsp:sp modelId="{AAF2ACE6-5E38-4636-B080-BC2D37E74DD8}">
      <dsp:nvSpPr>
        <dsp:cNvPr id="0" name=""/>
        <dsp:cNvSpPr/>
      </dsp:nvSpPr>
      <dsp:spPr>
        <a:xfrm>
          <a:off x="5918333" y="3908253"/>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Leidinggeven</a:t>
          </a:r>
        </a:p>
      </dsp:txBody>
      <dsp:txXfrm>
        <a:off x="5934209" y="3924129"/>
        <a:ext cx="1043689" cy="510289"/>
      </dsp:txXfrm>
    </dsp:sp>
    <dsp:sp modelId="{788DE979-FF1A-4219-BF84-8A28593CCB94}">
      <dsp:nvSpPr>
        <dsp:cNvPr id="0" name=""/>
        <dsp:cNvSpPr/>
      </dsp:nvSpPr>
      <dsp:spPr>
        <a:xfrm>
          <a:off x="7229027" y="0"/>
          <a:ext cx="1344302" cy="4685454"/>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Expert Consultancy Skills</a:t>
          </a:r>
        </a:p>
      </dsp:txBody>
      <dsp:txXfrm>
        <a:off x="7229027" y="0"/>
        <a:ext cx="1344302" cy="1405636"/>
      </dsp:txXfrm>
    </dsp:sp>
    <dsp:sp modelId="{F1F16BAE-86C3-4B1E-85EA-E74B55A21462}">
      <dsp:nvSpPr>
        <dsp:cNvPr id="0" name=""/>
        <dsp:cNvSpPr/>
      </dsp:nvSpPr>
      <dsp:spPr>
        <a:xfrm>
          <a:off x="7363458" y="1406522"/>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Situationele communicatie</a:t>
          </a:r>
        </a:p>
      </dsp:txBody>
      <dsp:txXfrm>
        <a:off x="7379334" y="1422398"/>
        <a:ext cx="1043689" cy="510289"/>
      </dsp:txXfrm>
    </dsp:sp>
    <dsp:sp modelId="{2EA20561-6CFD-4954-A64B-AB91B0668E80}">
      <dsp:nvSpPr>
        <dsp:cNvPr id="0" name=""/>
        <dsp:cNvSpPr/>
      </dsp:nvSpPr>
      <dsp:spPr>
        <a:xfrm>
          <a:off x="7363458" y="2031955"/>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Doelgerichte &amp; effectieve communicatie</a:t>
          </a:r>
        </a:p>
      </dsp:txBody>
      <dsp:txXfrm>
        <a:off x="7379334" y="2047831"/>
        <a:ext cx="1043689" cy="510289"/>
      </dsp:txXfrm>
    </dsp:sp>
    <dsp:sp modelId="{23C873A2-9912-4FE4-BDE7-C88BA9B2ECB3}">
      <dsp:nvSpPr>
        <dsp:cNvPr id="0" name=""/>
        <dsp:cNvSpPr/>
      </dsp:nvSpPr>
      <dsp:spPr>
        <a:xfrm>
          <a:off x="7363458" y="2657387"/>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Besluitvaardigheid</a:t>
          </a:r>
        </a:p>
      </dsp:txBody>
      <dsp:txXfrm>
        <a:off x="7379334" y="2673263"/>
        <a:ext cx="1043689" cy="510289"/>
      </dsp:txXfrm>
    </dsp:sp>
    <dsp:sp modelId="{95E7D6F0-32A9-4AB9-8051-93F3945D429B}">
      <dsp:nvSpPr>
        <dsp:cNvPr id="0" name=""/>
        <dsp:cNvSpPr/>
      </dsp:nvSpPr>
      <dsp:spPr>
        <a:xfrm>
          <a:off x="7363458" y="3282820"/>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Overtuigen &amp; beinvloeden</a:t>
          </a:r>
        </a:p>
      </dsp:txBody>
      <dsp:txXfrm>
        <a:off x="7379334" y="3298696"/>
        <a:ext cx="1043689" cy="510289"/>
      </dsp:txXfrm>
    </dsp:sp>
    <dsp:sp modelId="{66D2E35F-6AA8-4674-9525-32D6D3B769C9}">
      <dsp:nvSpPr>
        <dsp:cNvPr id="0" name=""/>
        <dsp:cNvSpPr/>
      </dsp:nvSpPr>
      <dsp:spPr>
        <a:xfrm>
          <a:off x="7363458" y="3908253"/>
          <a:ext cx="1075441" cy="54204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Opbouwende feedback &amp; slecht nieuws gesprekken</a:t>
          </a:r>
        </a:p>
      </dsp:txBody>
      <dsp:txXfrm>
        <a:off x="7379334" y="3924129"/>
        <a:ext cx="1043689" cy="510289"/>
      </dsp:txXfrm>
    </dsp:sp>
  </dsp:spTree>
</dsp:drawing>
</file>

<file path=xl/diagrams/layout1.xml><?xml version="1.0" encoding="utf-8"?>
<dgm:layoutDef xmlns:dgm="http://schemas.openxmlformats.org/drawingml/2006/diagram" xmlns:a="http://schemas.openxmlformats.org/drawingml/2006/main" uniqueId="urn:microsoft.com/office/officeart/2005/8/layout/lProcess2">
  <dgm:title val=""/>
  <dgm:desc val=""/>
  <dgm:catLst>
    <dgm:cat type="list" pri="10000"/>
    <dgm:cat type="relationship" pri="13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 modelId="33" srcId="3" destId="31" srcOrd="0" destOrd="0"/>
        <dgm:cxn modelId="34" srcId="3" destId="32" srcOrd="0" destOrd="0"/>
      </dgm:cxnLst>
      <dgm:bg/>
      <dgm:whole/>
    </dgm:dataModel>
  </dgm:sampData>
  <dgm:styleData useDef="1">
    <dgm:dataModel>
      <dgm:ptLst/>
      <dgm:bg/>
      <dgm:whole/>
    </dgm:dataModel>
  </dgm:styleData>
  <dgm:clrData useDef="1">
    <dgm:dataModel>
      <dgm:ptLst/>
      <dgm:bg/>
      <dgm:whole/>
    </dgm:dataModel>
  </dgm:clrData>
  <dgm:layoutNode name="theList">
    <dgm:varLst>
      <dgm:dir/>
      <dgm:animLvl val="lvl"/>
      <dgm:resizeHandles val="exact"/>
    </dgm:varLst>
    <dgm:choose name="Name0">
      <dgm:if name="Name1" func="var" arg="dir" op="equ" val="norm">
        <dgm:alg type="lin"/>
      </dgm:if>
      <dgm:else name="Name2">
        <dgm:alg type="lin">
          <dgm:param type="linDir" val="fromR"/>
        </dgm:alg>
      </dgm:else>
    </dgm:choose>
    <dgm:shape xmlns:r="http://schemas.openxmlformats.org/officeDocument/2006/relationships" r:blip="">
      <dgm:adjLst/>
    </dgm:shape>
    <dgm:presOf/>
    <dgm:constrLst>
      <dgm:constr type="w" for="ch" forName="compNode" refType="w"/>
      <dgm:constr type="h" for="ch" forName="compNode" refType="h"/>
      <dgm:constr type="w" for="ch" forName="aSpace" refType="w" fact="0.075"/>
      <dgm:constr type="h" for="des" forName="aSpace2" refType="h" fact="0.1"/>
      <dgm:constr type="primFontSz" for="des" forName="textNode" op="equ"/>
      <dgm:constr type="primFontSz" for="des" forName="childNode" op="equ"/>
    </dgm:constrLst>
    <dgm:ruleLst/>
    <dgm:forEach name="aNodeForEach" axis="ch" ptType="node">
      <dgm:layoutNode name="compNode">
        <dgm:alg type="composite"/>
        <dgm:shape xmlns:r="http://schemas.openxmlformats.org/officeDocument/2006/relationships" r:blip="">
          <dgm:adjLst/>
        </dgm:shape>
        <dgm:presOf/>
        <dgm:constrLst>
          <dgm:constr type="w" for="ch" forName="aNode" refType="w"/>
          <dgm:constr type="h" for="ch" forName="aNode" refType="h"/>
          <dgm:constr type="w" for="ch" forName="textNode" refType="w"/>
          <dgm:constr type="h" for="ch" forName="textNode" refType="h" fact="0.3"/>
          <dgm:constr type="ctrX" for="ch" forName="textNode" refType="w" fact="0.5"/>
          <dgm:constr type="w" for="ch" forName="compChildNode" refType="w" fact="0.8"/>
          <dgm:constr type="h" for="ch" forName="compChildNode" refType="h" fact="0.65"/>
          <dgm:constr type="t" for="ch" forName="compChildNode" refType="h" fact="0.3"/>
          <dgm:constr type="ctrX" for="ch" forName="compChildNode" refType="w" fact="0.5"/>
        </dgm:constrLst>
        <dgm:ruleLst/>
        <dgm:layoutNode name="aNode" styleLbl="bgShp">
          <dgm:alg type="sp"/>
          <dgm:shape xmlns:r="http://schemas.openxmlformats.org/officeDocument/2006/relationships" type="roundRect" r:blip="">
            <dgm:adjLst>
              <dgm:adj idx="1" val="0.1"/>
            </dgm:adjLst>
          </dgm:shape>
          <dgm:presOf axis="self"/>
          <dgm:constrLst/>
          <dgm:ruleLst/>
        </dgm:layoutNode>
        <dgm:layoutNode name="textNode" styleLbl="bgShp">
          <dgm:alg type="tx"/>
          <dgm:shape xmlns:r="http://schemas.openxmlformats.org/officeDocument/2006/relationships" type="rect" r:blip="" hideGeom="1">
            <dgm:adjLst>
              <dgm:adj idx="1" val="0.1"/>
            </dgm:adjLst>
          </dgm:shape>
          <dgm:presOf axis="self"/>
          <dgm:constrLst>
            <dgm:constr type="primFontSz" val="65"/>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compChildNode">
          <dgm:alg type="composite"/>
          <dgm:shape xmlns:r="http://schemas.openxmlformats.org/officeDocument/2006/relationships" r:blip="">
            <dgm:adjLst/>
          </dgm:shape>
          <dgm:presOf/>
          <dgm:constrLst>
            <dgm:constr type="w" for="des" forName="childNode" refType="w"/>
            <dgm:constr type="h" for="des" forName="childNode" refType="h"/>
          </dgm:constrLst>
          <dgm:ruleLst/>
          <dgm:layoutNode name="theInnerList">
            <dgm:alg type="lin">
              <dgm:param type="linDir" val="fromT"/>
            </dgm:alg>
            <dgm:shape xmlns:r="http://schemas.openxmlformats.org/officeDocument/2006/relationships" r:blip="">
              <dgm:adjLst/>
            </dgm:shape>
            <dgm:presOf/>
            <dgm:constrLst/>
            <dgm:ruleLst/>
            <dgm:forEach name="childNodeForEach" axis="ch" ptType="node">
              <dgm:layoutNode name="childNode" styleLbl="node1">
                <dgm:varLst>
                  <dgm:bulletEnabled val="1"/>
                </dgm:varLst>
                <dgm:alg type="tx"/>
                <dgm:shape xmlns:r="http://schemas.openxmlformats.org/officeDocument/2006/relationships" type="roundRect" r:blip="">
                  <dgm:adjLst>
                    <dgm:adj idx="1" val="0.1"/>
                  </dgm:adjLst>
                </dgm:shape>
                <dgm:presOf axis="desOrSelf" ptType="node"/>
                <dgm:constrLst>
                  <dgm:constr type="primFontSz" val="65"/>
                  <dgm:constr type="tMarg" refType="primFontSz" fact="0.15"/>
                  <dgm:constr type="bMarg" refType="primFontSz" fact="0.15"/>
                  <dgm:constr type="lMarg" refType="primFontSz" fact="0.2"/>
                  <dgm:constr type="rMarg" refType="primFontSz" fact="0.2"/>
                </dgm:constrLst>
                <dgm:ruleLst>
                  <dgm:rule type="primFontSz" val="5" fact="NaN" max="NaN"/>
                </dgm:ruleLst>
              </dgm:layoutNode>
              <dgm:choose name="Name3">
                <dgm:if name="Name4" axis="self" ptType="node" func="revPos" op="equ" val="1"/>
                <dgm:else name="Name5">
                  <dgm:layoutNode name="aSpace2">
                    <dgm:alg type="sp"/>
                    <dgm:shape xmlns:r="http://schemas.openxmlformats.org/officeDocument/2006/relationships" r:blip="">
                      <dgm:adjLst/>
                    </dgm:shape>
                    <dgm:presOf/>
                    <dgm:constrLst/>
                    <dgm:ruleLst/>
                  </dgm:layoutNode>
                </dgm:else>
              </dgm:choose>
            </dgm:forEach>
          </dgm:layoutNode>
        </dgm:layoutNode>
      </dgm:layoutNode>
      <dgm:choose name="Name6">
        <dgm:if name="Name7" axis="self" ptType="node" func="revPos" op="equ" val="1"/>
        <dgm:else name="Name8">
          <dgm:layoutNode name="aSpace">
            <dgm:alg type="sp"/>
            <dgm:shape xmlns:r="http://schemas.openxmlformats.org/officeDocument/2006/relationships" r:blip="">
              <dgm:adjLst/>
            </dgm:shape>
            <dgm:presOf/>
            <dgm:constrLst/>
            <dgm:ruleLst/>
          </dgm:layoutNod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Layout" Target="../diagrams/layout1.xml"/><Relationship Id="rId2" Type="http://schemas.openxmlformats.org/officeDocument/2006/relationships/diagramData" Target="../diagrams/data1.xml"/><Relationship Id="rId1" Type="http://schemas.openxmlformats.org/officeDocument/2006/relationships/image" Target="../media/image1.png"/><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335679</xdr:colOff>
      <xdr:row>24</xdr:row>
      <xdr:rowOff>60610</xdr:rowOff>
    </xdr:to>
    <xdr:pic>
      <xdr:nvPicPr>
        <xdr:cNvPr id="23" name="Afbeelding 22">
          <a:extLst>
            <a:ext uri="{FF2B5EF4-FFF2-40B4-BE49-F238E27FC236}">
              <a16:creationId xmlns:a16="http://schemas.microsoft.com/office/drawing/2014/main" id="{FFBA8916-7AB3-45D4-AB3F-C1B4FEEED8F8}"/>
            </a:ext>
          </a:extLst>
        </xdr:cNvPr>
        <xdr:cNvPicPr>
          <a:picLocks noChangeAspect="1"/>
        </xdr:cNvPicPr>
      </xdr:nvPicPr>
      <xdr:blipFill>
        <a:blip xmlns:r="http://schemas.openxmlformats.org/officeDocument/2006/relationships" r:embed="rId1"/>
        <a:stretch>
          <a:fillRect/>
        </a:stretch>
      </xdr:blipFill>
      <xdr:spPr>
        <a:xfrm>
          <a:off x="609600" y="829733"/>
          <a:ext cx="4602879" cy="3785944"/>
        </a:xfrm>
        <a:prstGeom prst="rect">
          <a:avLst/>
        </a:prstGeom>
      </xdr:spPr>
    </xdr:pic>
    <xdr:clientData/>
  </xdr:twoCellAnchor>
  <xdr:twoCellAnchor>
    <xdr:from>
      <xdr:col>9</xdr:col>
      <xdr:colOff>0</xdr:colOff>
      <xdr:row>4</xdr:row>
      <xdr:rowOff>0</xdr:rowOff>
    </xdr:from>
    <xdr:to>
      <xdr:col>15</xdr:col>
      <xdr:colOff>423333</xdr:colOff>
      <xdr:row>29</xdr:row>
      <xdr:rowOff>81704</xdr:rowOff>
    </xdr:to>
    <xdr:graphicFrame macro="">
      <xdr:nvGraphicFramePr>
        <xdr:cNvPr id="4" name="Diagram 3">
          <a:extLst>
            <a:ext uri="{FF2B5EF4-FFF2-40B4-BE49-F238E27FC236}">
              <a16:creationId xmlns:a16="http://schemas.microsoft.com/office/drawing/2014/main" id="{2184C21C-2349-467C-B9AB-812D5EC831C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372666</xdr:colOff>
      <xdr:row>23</xdr:row>
      <xdr:rowOff>175021</xdr:rowOff>
    </xdr:from>
    <xdr:to>
      <xdr:col>33</xdr:col>
      <xdr:colOff>104776</xdr:colOff>
      <xdr:row>38</xdr:row>
      <xdr:rowOff>70246</xdr:rowOff>
    </xdr:to>
    <xdr:graphicFrame macro="">
      <xdr:nvGraphicFramePr>
        <xdr:cNvPr id="2" name="Grafiek 1">
          <a:extLst>
            <a:ext uri="{FF2B5EF4-FFF2-40B4-BE49-F238E27FC236}">
              <a16:creationId xmlns:a16="http://schemas.microsoft.com/office/drawing/2014/main" id="{8BC94068-89F0-422E-A08D-0D55168B5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xdr:colOff>
      <xdr:row>38</xdr:row>
      <xdr:rowOff>161925</xdr:rowOff>
    </xdr:from>
    <xdr:to>
      <xdr:col>8</xdr:col>
      <xdr:colOff>19050</xdr:colOff>
      <xdr:row>53</xdr:row>
      <xdr:rowOff>57150</xdr:rowOff>
    </xdr:to>
    <xdr:graphicFrame macro="">
      <xdr:nvGraphicFramePr>
        <xdr:cNvPr id="8" name="Grafiek 7">
          <a:extLst>
            <a:ext uri="{FF2B5EF4-FFF2-40B4-BE49-F238E27FC236}">
              <a16:creationId xmlns:a16="http://schemas.microsoft.com/office/drawing/2014/main" id="{2C06592C-C7FE-4F7F-A7CC-5864C8CD5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133350</xdr:colOff>
      <xdr:row>38</xdr:row>
      <xdr:rowOff>152400</xdr:rowOff>
    </xdr:from>
    <xdr:to>
      <xdr:col>22</xdr:col>
      <xdr:colOff>266700</xdr:colOff>
      <xdr:row>53</xdr:row>
      <xdr:rowOff>47625</xdr:rowOff>
    </xdr:to>
    <xdr:graphicFrame macro="">
      <xdr:nvGraphicFramePr>
        <xdr:cNvPr id="9" name="Grafiek 8">
          <a:extLst>
            <a:ext uri="{FF2B5EF4-FFF2-40B4-BE49-F238E27FC236}">
              <a16:creationId xmlns:a16="http://schemas.microsoft.com/office/drawing/2014/main" id="{F3FC2585-D2A6-46CB-A1D2-356F154BB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369095</xdr:colOff>
      <xdr:row>38</xdr:row>
      <xdr:rowOff>133350</xdr:rowOff>
    </xdr:from>
    <xdr:to>
      <xdr:col>33</xdr:col>
      <xdr:colOff>104775</xdr:colOff>
      <xdr:row>53</xdr:row>
      <xdr:rowOff>28575</xdr:rowOff>
    </xdr:to>
    <xdr:graphicFrame macro="">
      <xdr:nvGraphicFramePr>
        <xdr:cNvPr id="10" name="Grafiek 9">
          <a:extLst>
            <a:ext uri="{FF2B5EF4-FFF2-40B4-BE49-F238E27FC236}">
              <a16:creationId xmlns:a16="http://schemas.microsoft.com/office/drawing/2014/main" id="{B5CA9B28-7B21-4472-BFF3-0B5CF3E4F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57150</xdr:colOff>
      <xdr:row>53</xdr:row>
      <xdr:rowOff>152400</xdr:rowOff>
    </xdr:from>
    <xdr:to>
      <xdr:col>8</xdr:col>
      <xdr:colOff>19050</xdr:colOff>
      <xdr:row>68</xdr:row>
      <xdr:rowOff>47625</xdr:rowOff>
    </xdr:to>
    <xdr:graphicFrame macro="">
      <xdr:nvGraphicFramePr>
        <xdr:cNvPr id="11" name="Grafiek 10">
          <a:extLst>
            <a:ext uri="{FF2B5EF4-FFF2-40B4-BE49-F238E27FC236}">
              <a16:creationId xmlns:a16="http://schemas.microsoft.com/office/drawing/2014/main" id="{60441FA0-E444-4A52-AA01-716A96B58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47626</xdr:colOff>
      <xdr:row>9</xdr:row>
      <xdr:rowOff>19050</xdr:rowOff>
    </xdr:from>
    <xdr:to>
      <xdr:col>22</xdr:col>
      <xdr:colOff>283368</xdr:colOff>
      <xdr:row>38</xdr:row>
      <xdr:rowOff>57150</xdr:rowOff>
    </xdr:to>
    <xdr:graphicFrame macro="">
      <xdr:nvGraphicFramePr>
        <xdr:cNvPr id="13" name="Grafiek 12">
          <a:extLst>
            <a:ext uri="{FF2B5EF4-FFF2-40B4-BE49-F238E27FC236}">
              <a16:creationId xmlns:a16="http://schemas.microsoft.com/office/drawing/2014/main" id="{6D5DAD57-B223-4292-9225-77E20D3E8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123824</xdr:colOff>
      <xdr:row>53</xdr:row>
      <xdr:rowOff>142875</xdr:rowOff>
    </xdr:from>
    <xdr:to>
      <xdr:col>22</xdr:col>
      <xdr:colOff>285749</xdr:colOff>
      <xdr:row>68</xdr:row>
      <xdr:rowOff>38100</xdr:rowOff>
    </xdr:to>
    <xdr:graphicFrame macro="">
      <xdr:nvGraphicFramePr>
        <xdr:cNvPr id="14" name="Grafiek 13">
          <a:extLst>
            <a:ext uri="{FF2B5EF4-FFF2-40B4-BE49-F238E27FC236}">
              <a16:creationId xmlns:a16="http://schemas.microsoft.com/office/drawing/2014/main" id="{411B7777-4200-495E-AA19-8871A37BD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370284</xdr:colOff>
      <xdr:row>9</xdr:row>
      <xdr:rowOff>25003</xdr:rowOff>
    </xdr:from>
    <xdr:to>
      <xdr:col>33</xdr:col>
      <xdr:colOff>114300</xdr:colOff>
      <xdr:row>23</xdr:row>
      <xdr:rowOff>101203</xdr:rowOff>
    </xdr:to>
    <xdr:graphicFrame macro="">
      <xdr:nvGraphicFramePr>
        <xdr:cNvPr id="3" name="Grafiek 2">
          <a:extLst>
            <a:ext uri="{FF2B5EF4-FFF2-40B4-BE49-F238E27FC236}">
              <a16:creationId xmlns:a16="http://schemas.microsoft.com/office/drawing/2014/main" id="{7885E01C-CEA6-43D1-9C48-4F8189248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380999</xdr:colOff>
      <xdr:row>53</xdr:row>
      <xdr:rowOff>133350</xdr:rowOff>
    </xdr:from>
    <xdr:to>
      <xdr:col>33</xdr:col>
      <xdr:colOff>123824</xdr:colOff>
      <xdr:row>68</xdr:row>
      <xdr:rowOff>28575</xdr:rowOff>
    </xdr:to>
    <xdr:graphicFrame macro="">
      <xdr:nvGraphicFramePr>
        <xdr:cNvPr id="12" name="Grafiek 11">
          <a:extLst>
            <a:ext uri="{FF2B5EF4-FFF2-40B4-BE49-F238E27FC236}">
              <a16:creationId xmlns:a16="http://schemas.microsoft.com/office/drawing/2014/main" id="{4BBE5C71-09B1-486E-A48A-926591820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89429-DB0B-4382-A6DD-ABAFA63F9653}">
  <sheetPr>
    <pageSetUpPr fitToPage="1"/>
  </sheetPr>
  <dimension ref="A1:M246"/>
  <sheetViews>
    <sheetView showGridLines="0" tabSelected="1" zoomScale="80" zoomScaleNormal="80" workbookViewId="0">
      <selection activeCell="J25" sqref="J25"/>
    </sheetView>
  </sheetViews>
  <sheetFormatPr defaultColWidth="8.7265625" defaultRowHeight="14.5" x14ac:dyDescent="0.35"/>
  <cols>
    <col min="1" max="1" width="128.26953125" style="83" customWidth="1"/>
    <col min="2" max="2" width="20.7265625" style="84" customWidth="1"/>
    <col min="3" max="3" width="17.81640625" style="84" customWidth="1"/>
    <col min="4" max="4" width="13.81640625" style="93" customWidth="1"/>
    <col min="5" max="16384" width="8.7265625" style="83"/>
  </cols>
  <sheetData>
    <row r="1" spans="1:13" ht="26" x14ac:dyDescent="0.35">
      <c r="A1" s="101" t="s">
        <v>0</v>
      </c>
    </row>
    <row r="2" spans="1:13" ht="14.5" customHeight="1" x14ac:dyDescent="0.35"/>
    <row r="3" spans="1:13" ht="29.5" customHeight="1" x14ac:dyDescent="0.35">
      <c r="A3" s="110" t="s">
        <v>1</v>
      </c>
      <c r="B3" s="138" t="s">
        <v>2</v>
      </c>
      <c r="C3" s="139"/>
      <c r="D3" s="140"/>
      <c r="F3" s="135" t="s">
        <v>3</v>
      </c>
      <c r="G3" s="136"/>
      <c r="H3" s="136"/>
      <c r="I3" s="136"/>
      <c r="J3" s="136"/>
      <c r="K3" s="136"/>
      <c r="L3" s="136"/>
      <c r="M3" s="137"/>
    </row>
    <row r="4" spans="1:13" ht="28.9" customHeight="1" x14ac:dyDescent="0.35">
      <c r="A4" s="99" t="s">
        <v>4</v>
      </c>
      <c r="B4" s="86" t="s">
        <v>5</v>
      </c>
      <c r="C4" s="86" t="s">
        <v>6</v>
      </c>
      <c r="D4" s="86" t="s">
        <v>7</v>
      </c>
      <c r="F4" s="141" t="s">
        <v>8</v>
      </c>
      <c r="G4" s="142"/>
      <c r="H4" s="142"/>
      <c r="I4" s="142"/>
      <c r="J4" s="142"/>
      <c r="K4" s="142"/>
      <c r="L4" s="142"/>
      <c r="M4" s="143"/>
    </row>
    <row r="5" spans="1:13" ht="14.5" customHeight="1" x14ac:dyDescent="0.35">
      <c r="A5" s="82" t="s">
        <v>9</v>
      </c>
      <c r="B5" s="91"/>
      <c r="C5" s="91"/>
      <c r="D5" s="87">
        <v>1</v>
      </c>
      <c r="F5" s="144"/>
      <c r="G5" s="145"/>
      <c r="H5" s="145"/>
      <c r="I5" s="145"/>
      <c r="J5" s="145"/>
      <c r="K5" s="145"/>
      <c r="L5" s="145"/>
      <c r="M5" s="146"/>
    </row>
    <row r="6" spans="1:13" ht="14.5" customHeight="1" x14ac:dyDescent="0.35">
      <c r="A6" s="82" t="s">
        <v>10</v>
      </c>
      <c r="B6" s="133">
        <v>3</v>
      </c>
      <c r="C6" s="91"/>
      <c r="D6" s="87">
        <v>2</v>
      </c>
      <c r="F6" s="144"/>
      <c r="G6" s="145"/>
      <c r="H6" s="145"/>
      <c r="I6" s="145"/>
      <c r="J6" s="145"/>
      <c r="K6" s="145"/>
      <c r="L6" s="145"/>
      <c r="M6" s="146"/>
    </row>
    <row r="7" spans="1:13" ht="14.5" customHeight="1" x14ac:dyDescent="0.35">
      <c r="A7" s="82" t="s">
        <v>11</v>
      </c>
      <c r="B7" s="91">
        <v>3</v>
      </c>
      <c r="C7" s="133">
        <v>5</v>
      </c>
      <c r="D7" s="87">
        <v>3</v>
      </c>
      <c r="F7" s="144"/>
      <c r="G7" s="145"/>
      <c r="H7" s="145"/>
      <c r="I7" s="145"/>
      <c r="J7" s="145"/>
      <c r="K7" s="145"/>
      <c r="L7" s="145"/>
      <c r="M7" s="146"/>
    </row>
    <row r="8" spans="1:13" ht="14.5" customHeight="1" x14ac:dyDescent="0.35">
      <c r="A8" s="82" t="s">
        <v>12</v>
      </c>
      <c r="B8" s="91"/>
      <c r="C8" s="91">
        <v>4</v>
      </c>
      <c r="D8" s="87">
        <v>4</v>
      </c>
      <c r="F8" s="144"/>
      <c r="G8" s="145"/>
      <c r="H8" s="145"/>
      <c r="I8" s="145"/>
      <c r="J8" s="145"/>
      <c r="K8" s="145"/>
      <c r="L8" s="145"/>
      <c r="M8" s="146"/>
    </row>
    <row r="9" spans="1:13" x14ac:dyDescent="0.35">
      <c r="A9" s="82" t="s">
        <v>13</v>
      </c>
      <c r="B9" s="91"/>
      <c r="C9" s="91"/>
      <c r="D9" s="87">
        <v>5</v>
      </c>
      <c r="F9" s="144"/>
      <c r="G9" s="145"/>
      <c r="H9" s="145"/>
      <c r="I9" s="145"/>
      <c r="J9" s="145"/>
      <c r="K9" s="145"/>
      <c r="L9" s="145"/>
      <c r="M9" s="146"/>
    </row>
    <row r="10" spans="1:13" x14ac:dyDescent="0.35">
      <c r="A10" s="85"/>
      <c r="F10" s="144"/>
      <c r="G10" s="145"/>
      <c r="H10" s="145"/>
      <c r="I10" s="145"/>
      <c r="J10" s="145"/>
      <c r="K10" s="145"/>
      <c r="L10" s="145"/>
      <c r="M10" s="146"/>
    </row>
    <row r="11" spans="1:13" ht="23.5" x14ac:dyDescent="0.35">
      <c r="A11" s="111" t="s">
        <v>14</v>
      </c>
      <c r="F11" s="144"/>
      <c r="G11" s="145"/>
      <c r="H11" s="145"/>
      <c r="I11" s="145"/>
      <c r="J11" s="145"/>
      <c r="K11" s="145"/>
      <c r="L11" s="145"/>
      <c r="M11" s="146"/>
    </row>
    <row r="12" spans="1:13" ht="29" x14ac:dyDescent="0.35">
      <c r="A12" s="98" t="s">
        <v>15</v>
      </c>
      <c r="B12" s="103" t="s">
        <v>5</v>
      </c>
      <c r="C12" s="103" t="s">
        <v>6</v>
      </c>
      <c r="D12" s="86" t="s">
        <v>7</v>
      </c>
      <c r="F12" s="144"/>
      <c r="G12" s="145"/>
      <c r="H12" s="145"/>
      <c r="I12" s="145"/>
      <c r="J12" s="145"/>
      <c r="K12" s="145"/>
      <c r="L12" s="145"/>
      <c r="M12" s="146"/>
    </row>
    <row r="13" spans="1:13" x14ac:dyDescent="0.35">
      <c r="A13" s="88" t="s">
        <v>16</v>
      </c>
      <c r="B13" s="89"/>
      <c r="C13" s="89"/>
      <c r="D13" s="87">
        <v>1</v>
      </c>
      <c r="F13" s="144"/>
      <c r="G13" s="145"/>
      <c r="H13" s="145"/>
      <c r="I13" s="145"/>
      <c r="J13" s="145"/>
      <c r="K13" s="145"/>
      <c r="L13" s="145"/>
      <c r="M13" s="146"/>
    </row>
    <row r="14" spans="1:13" ht="29" x14ac:dyDescent="0.35">
      <c r="A14" s="88" t="s">
        <v>17</v>
      </c>
      <c r="B14" s="89"/>
      <c r="C14" s="89"/>
      <c r="D14" s="87">
        <v>2</v>
      </c>
      <c r="F14" s="144"/>
      <c r="G14" s="145"/>
      <c r="H14" s="145"/>
      <c r="I14" s="145"/>
      <c r="J14" s="145"/>
      <c r="K14" s="145"/>
      <c r="L14" s="145"/>
      <c r="M14" s="146"/>
    </row>
    <row r="15" spans="1:13" ht="29" x14ac:dyDescent="0.35">
      <c r="A15" s="88" t="s">
        <v>18</v>
      </c>
      <c r="B15" s="89"/>
      <c r="C15" s="89"/>
      <c r="D15" s="87">
        <v>3</v>
      </c>
      <c r="F15" s="144"/>
      <c r="G15" s="145"/>
      <c r="H15" s="145"/>
      <c r="I15" s="145"/>
      <c r="J15" s="145"/>
      <c r="K15" s="145"/>
      <c r="L15" s="145"/>
      <c r="M15" s="146"/>
    </row>
    <row r="16" spans="1:13" x14ac:dyDescent="0.35">
      <c r="A16" s="88" t="s">
        <v>19</v>
      </c>
      <c r="B16" s="89"/>
      <c r="C16" s="89"/>
      <c r="D16" s="87">
        <v>4</v>
      </c>
      <c r="F16" s="144"/>
      <c r="G16" s="145"/>
      <c r="H16" s="145"/>
      <c r="I16" s="145"/>
      <c r="J16" s="145"/>
      <c r="K16" s="145"/>
      <c r="L16" s="145"/>
      <c r="M16" s="146"/>
    </row>
    <row r="17" spans="1:13" x14ac:dyDescent="0.35">
      <c r="A17" s="88" t="s">
        <v>20</v>
      </c>
      <c r="B17" s="89"/>
      <c r="C17" s="89"/>
      <c r="D17" s="87">
        <v>5</v>
      </c>
      <c r="F17" s="144"/>
      <c r="G17" s="145"/>
      <c r="H17" s="145"/>
      <c r="I17" s="145"/>
      <c r="J17" s="145"/>
      <c r="K17" s="145"/>
      <c r="L17" s="145"/>
      <c r="M17" s="146"/>
    </row>
    <row r="18" spans="1:13" x14ac:dyDescent="0.35">
      <c r="A18" s="88"/>
      <c r="B18" s="89"/>
      <c r="C18" s="89"/>
      <c r="D18" s="87"/>
      <c r="F18" s="144"/>
      <c r="G18" s="145"/>
      <c r="H18" s="145"/>
      <c r="I18" s="145"/>
      <c r="J18" s="145"/>
      <c r="K18" s="145"/>
      <c r="L18" s="145"/>
      <c r="M18" s="146"/>
    </row>
    <row r="19" spans="1:13" ht="29" x14ac:dyDescent="0.35">
      <c r="A19" s="98" t="s">
        <v>21</v>
      </c>
      <c r="B19" s="103" t="s">
        <v>5</v>
      </c>
      <c r="C19" s="103" t="s">
        <v>6</v>
      </c>
      <c r="D19" s="86" t="s">
        <v>7</v>
      </c>
      <c r="F19" s="144"/>
      <c r="G19" s="145"/>
      <c r="H19" s="145"/>
      <c r="I19" s="145"/>
      <c r="J19" s="145"/>
      <c r="K19" s="145"/>
      <c r="L19" s="145"/>
      <c r="M19" s="146"/>
    </row>
    <row r="20" spans="1:13" x14ac:dyDescent="0.35">
      <c r="A20" s="88" t="s">
        <v>22</v>
      </c>
      <c r="B20" s="89"/>
      <c r="C20" s="89"/>
      <c r="D20" s="87">
        <v>1</v>
      </c>
      <c r="F20" s="144"/>
      <c r="G20" s="145"/>
      <c r="H20" s="145"/>
      <c r="I20" s="145"/>
      <c r="J20" s="145"/>
      <c r="K20" s="145"/>
      <c r="L20" s="145"/>
      <c r="M20" s="146"/>
    </row>
    <row r="21" spans="1:13" x14ac:dyDescent="0.35">
      <c r="A21" s="88" t="s">
        <v>23</v>
      </c>
      <c r="B21" s="89"/>
      <c r="C21" s="89"/>
      <c r="D21" s="87">
        <v>2</v>
      </c>
      <c r="F21" s="144"/>
      <c r="G21" s="145"/>
      <c r="H21" s="145"/>
      <c r="I21" s="145"/>
      <c r="J21" s="145"/>
      <c r="K21" s="145"/>
      <c r="L21" s="145"/>
      <c r="M21" s="146"/>
    </row>
    <row r="22" spans="1:13" x14ac:dyDescent="0.35">
      <c r="A22" s="88" t="s">
        <v>24</v>
      </c>
      <c r="B22" s="89"/>
      <c r="C22" s="89"/>
      <c r="D22" s="87">
        <v>3</v>
      </c>
      <c r="F22" s="147"/>
      <c r="G22" s="148"/>
      <c r="H22" s="148"/>
      <c r="I22" s="148"/>
      <c r="J22" s="148"/>
      <c r="K22" s="148"/>
      <c r="L22" s="148"/>
      <c r="M22" s="149"/>
    </row>
    <row r="23" spans="1:13" ht="29" x14ac:dyDescent="0.35">
      <c r="A23" s="88" t="s">
        <v>25</v>
      </c>
      <c r="B23" s="89"/>
      <c r="C23" s="89"/>
      <c r="D23" s="87">
        <v>4</v>
      </c>
    </row>
    <row r="24" spans="1:13" x14ac:dyDescent="0.35">
      <c r="A24" s="88" t="s">
        <v>26</v>
      </c>
      <c r="B24" s="89"/>
      <c r="C24" s="89"/>
      <c r="D24" s="87">
        <v>5</v>
      </c>
    </row>
    <row r="25" spans="1:13" x14ac:dyDescent="0.35">
      <c r="A25" s="88"/>
      <c r="B25" s="89"/>
      <c r="C25" s="89"/>
      <c r="D25" s="87"/>
    </row>
    <row r="26" spans="1:13" ht="29" x14ac:dyDescent="0.35">
      <c r="A26" s="98" t="s">
        <v>27</v>
      </c>
      <c r="B26" s="103" t="s">
        <v>5</v>
      </c>
      <c r="C26" s="103" t="s">
        <v>6</v>
      </c>
      <c r="D26" s="86" t="s">
        <v>7</v>
      </c>
    </row>
    <row r="27" spans="1:13" x14ac:dyDescent="0.35">
      <c r="A27" s="88" t="s">
        <v>28</v>
      </c>
      <c r="B27" s="89"/>
      <c r="C27" s="89"/>
      <c r="D27" s="87">
        <v>1</v>
      </c>
    </row>
    <row r="28" spans="1:13" x14ac:dyDescent="0.35">
      <c r="A28" s="88" t="s">
        <v>29</v>
      </c>
      <c r="B28" s="89"/>
      <c r="C28" s="89"/>
      <c r="D28" s="87">
        <v>2</v>
      </c>
    </row>
    <row r="29" spans="1:13" ht="29" x14ac:dyDescent="0.35">
      <c r="A29" s="88" t="s">
        <v>30</v>
      </c>
      <c r="B29" s="89"/>
      <c r="C29" s="89"/>
      <c r="D29" s="87">
        <v>3</v>
      </c>
    </row>
    <row r="30" spans="1:13" ht="29" x14ac:dyDescent="0.35">
      <c r="A30" s="88" t="s">
        <v>31</v>
      </c>
      <c r="B30" s="89"/>
      <c r="C30" s="89"/>
      <c r="D30" s="87">
        <v>4</v>
      </c>
    </row>
    <row r="31" spans="1:13" ht="29" x14ac:dyDescent="0.35">
      <c r="A31" s="88" t="s">
        <v>32</v>
      </c>
      <c r="B31" s="89"/>
      <c r="C31" s="89"/>
      <c r="D31" s="87">
        <v>5</v>
      </c>
    </row>
    <row r="32" spans="1:13" x14ac:dyDescent="0.35">
      <c r="A32" s="88"/>
      <c r="B32" s="89"/>
      <c r="C32" s="89"/>
      <c r="D32" s="87"/>
    </row>
    <row r="33" spans="1:4" ht="29" x14ac:dyDescent="0.35">
      <c r="A33" s="98" t="s">
        <v>33</v>
      </c>
      <c r="B33" s="103" t="s">
        <v>5</v>
      </c>
      <c r="C33" s="103" t="s">
        <v>6</v>
      </c>
      <c r="D33" s="86" t="s">
        <v>7</v>
      </c>
    </row>
    <row r="34" spans="1:4" x14ac:dyDescent="0.35">
      <c r="A34" s="88" t="s">
        <v>34</v>
      </c>
      <c r="B34" s="89"/>
      <c r="C34" s="89"/>
      <c r="D34" s="87">
        <v>1</v>
      </c>
    </row>
    <row r="35" spans="1:4" x14ac:dyDescent="0.35">
      <c r="A35" s="88" t="s">
        <v>35</v>
      </c>
      <c r="B35" s="89"/>
      <c r="C35" s="89"/>
      <c r="D35" s="87">
        <v>2</v>
      </c>
    </row>
    <row r="36" spans="1:4" ht="29" x14ac:dyDescent="0.35">
      <c r="A36" s="88" t="s">
        <v>36</v>
      </c>
      <c r="B36" s="89"/>
      <c r="C36" s="89"/>
      <c r="D36" s="87">
        <v>3</v>
      </c>
    </row>
    <row r="37" spans="1:4" ht="29" x14ac:dyDescent="0.35">
      <c r="A37" s="88" t="s">
        <v>37</v>
      </c>
      <c r="B37" s="89"/>
      <c r="C37" s="89"/>
      <c r="D37" s="87">
        <v>4</v>
      </c>
    </row>
    <row r="38" spans="1:4" ht="29" x14ac:dyDescent="0.35">
      <c r="A38" s="88" t="s">
        <v>38</v>
      </c>
      <c r="B38" s="89"/>
      <c r="C38" s="89"/>
      <c r="D38" s="87">
        <v>5</v>
      </c>
    </row>
    <row r="39" spans="1:4" x14ac:dyDescent="0.35">
      <c r="A39" s="88"/>
      <c r="B39" s="89"/>
      <c r="C39" s="89"/>
      <c r="D39" s="87"/>
    </row>
    <row r="40" spans="1:4" ht="29" x14ac:dyDescent="0.35">
      <c r="A40" s="98" t="s">
        <v>39</v>
      </c>
      <c r="B40" s="103" t="s">
        <v>5</v>
      </c>
      <c r="C40" s="103" t="s">
        <v>6</v>
      </c>
      <c r="D40" s="86" t="s">
        <v>7</v>
      </c>
    </row>
    <row r="41" spans="1:4" x14ac:dyDescent="0.35">
      <c r="A41" s="88" t="s">
        <v>40</v>
      </c>
      <c r="B41" s="89"/>
      <c r="C41" s="89"/>
      <c r="D41" s="87">
        <v>1</v>
      </c>
    </row>
    <row r="42" spans="1:4" x14ac:dyDescent="0.35">
      <c r="A42" s="88" t="s">
        <v>41</v>
      </c>
      <c r="B42" s="89"/>
      <c r="C42" s="89"/>
      <c r="D42" s="87">
        <v>2</v>
      </c>
    </row>
    <row r="43" spans="1:4" ht="29" x14ac:dyDescent="0.35">
      <c r="A43" s="88" t="s">
        <v>42</v>
      </c>
      <c r="B43" s="89"/>
      <c r="C43" s="89"/>
      <c r="D43" s="87">
        <v>3</v>
      </c>
    </row>
    <row r="44" spans="1:4" ht="29" x14ac:dyDescent="0.35">
      <c r="A44" s="88" t="s">
        <v>43</v>
      </c>
      <c r="B44" s="89"/>
      <c r="C44" s="89"/>
      <c r="D44" s="87">
        <v>4</v>
      </c>
    </row>
    <row r="45" spans="1:4" ht="29" x14ac:dyDescent="0.35">
      <c r="A45" s="88" t="s">
        <v>44</v>
      </c>
      <c r="B45" s="89"/>
      <c r="C45" s="89"/>
      <c r="D45" s="87">
        <v>5</v>
      </c>
    </row>
    <row r="46" spans="1:4" x14ac:dyDescent="0.35">
      <c r="A46" s="88"/>
      <c r="B46" s="89"/>
      <c r="C46" s="89"/>
      <c r="D46" s="87"/>
    </row>
    <row r="47" spans="1:4" ht="29" x14ac:dyDescent="0.35">
      <c r="A47" s="98" t="s">
        <v>45</v>
      </c>
      <c r="B47" s="103" t="s">
        <v>5</v>
      </c>
      <c r="C47" s="103" t="s">
        <v>6</v>
      </c>
      <c r="D47" s="86" t="s">
        <v>7</v>
      </c>
    </row>
    <row r="48" spans="1:4" x14ac:dyDescent="0.35">
      <c r="A48" s="88" t="s">
        <v>46</v>
      </c>
      <c r="B48" s="89"/>
      <c r="C48" s="89"/>
      <c r="D48" s="87">
        <v>1</v>
      </c>
    </row>
    <row r="49" spans="1:4" x14ac:dyDescent="0.35">
      <c r="A49" s="88" t="s">
        <v>47</v>
      </c>
      <c r="B49" s="89"/>
      <c r="C49" s="89"/>
      <c r="D49" s="87">
        <v>2</v>
      </c>
    </row>
    <row r="50" spans="1:4" x14ac:dyDescent="0.35">
      <c r="A50" s="88" t="s">
        <v>48</v>
      </c>
      <c r="B50" s="89"/>
      <c r="C50" s="89"/>
      <c r="D50" s="87">
        <v>3</v>
      </c>
    </row>
    <row r="51" spans="1:4" x14ac:dyDescent="0.35">
      <c r="A51" s="88" t="s">
        <v>49</v>
      </c>
      <c r="B51" s="89"/>
      <c r="C51" s="89"/>
      <c r="D51" s="87">
        <v>4</v>
      </c>
    </row>
    <row r="52" spans="1:4" x14ac:dyDescent="0.35">
      <c r="A52" s="88" t="s">
        <v>50</v>
      </c>
      <c r="B52" s="89"/>
      <c r="C52" s="89"/>
      <c r="D52" s="87">
        <v>5</v>
      </c>
    </row>
    <row r="54" spans="1:4" ht="23.5" x14ac:dyDescent="0.35">
      <c r="A54" s="112" t="s">
        <v>51</v>
      </c>
    </row>
    <row r="55" spans="1:4" ht="29" x14ac:dyDescent="0.35">
      <c r="A55" s="100" t="s">
        <v>52</v>
      </c>
      <c r="B55" s="104" t="s">
        <v>5</v>
      </c>
      <c r="C55" s="104" t="s">
        <v>6</v>
      </c>
      <c r="D55" s="86" t="s">
        <v>7</v>
      </c>
    </row>
    <row r="56" spans="1:4" x14ac:dyDescent="0.35">
      <c r="A56" s="116" t="s">
        <v>53</v>
      </c>
      <c r="B56" s="89"/>
      <c r="C56" s="89"/>
      <c r="D56" s="87">
        <v>1</v>
      </c>
    </row>
    <row r="57" spans="1:4" x14ac:dyDescent="0.35">
      <c r="A57" s="116" t="s">
        <v>54</v>
      </c>
      <c r="B57" s="89"/>
      <c r="C57" s="89"/>
      <c r="D57" s="87">
        <v>2</v>
      </c>
    </row>
    <row r="58" spans="1:4" x14ac:dyDescent="0.35">
      <c r="A58" s="116" t="s">
        <v>55</v>
      </c>
      <c r="B58" s="89"/>
      <c r="C58" s="89"/>
      <c r="D58" s="87">
        <v>3</v>
      </c>
    </row>
    <row r="59" spans="1:4" x14ac:dyDescent="0.35">
      <c r="A59" s="116" t="s">
        <v>56</v>
      </c>
      <c r="B59" s="89"/>
      <c r="C59" s="89"/>
      <c r="D59" s="87">
        <v>4</v>
      </c>
    </row>
    <row r="60" spans="1:4" ht="29" x14ac:dyDescent="0.35">
      <c r="A60" s="116" t="s">
        <v>57</v>
      </c>
      <c r="B60" s="89"/>
      <c r="C60" s="89"/>
      <c r="D60" s="87">
        <v>5</v>
      </c>
    </row>
    <row r="61" spans="1:4" x14ac:dyDescent="0.35">
      <c r="A61" s="88"/>
      <c r="B61" s="89"/>
      <c r="C61" s="89"/>
      <c r="D61" s="87"/>
    </row>
    <row r="62" spans="1:4" ht="29" x14ac:dyDescent="0.35">
      <c r="A62" s="100" t="s">
        <v>58</v>
      </c>
      <c r="B62" s="104" t="s">
        <v>5</v>
      </c>
      <c r="C62" s="104" t="s">
        <v>6</v>
      </c>
      <c r="D62" s="86" t="s">
        <v>7</v>
      </c>
    </row>
    <row r="63" spans="1:4" x14ac:dyDescent="0.35">
      <c r="A63" s="116" t="s">
        <v>59</v>
      </c>
      <c r="B63" s="89"/>
      <c r="C63" s="89"/>
      <c r="D63" s="87">
        <v>1</v>
      </c>
    </row>
    <row r="64" spans="1:4" ht="29" x14ac:dyDescent="0.35">
      <c r="A64" s="116" t="s">
        <v>60</v>
      </c>
      <c r="B64" s="89"/>
      <c r="C64" s="89"/>
      <c r="D64" s="87">
        <v>2</v>
      </c>
    </row>
    <row r="65" spans="1:4" ht="29" x14ac:dyDescent="0.35">
      <c r="A65" s="116" t="s">
        <v>61</v>
      </c>
      <c r="B65" s="89"/>
      <c r="C65" s="89"/>
      <c r="D65" s="87">
        <v>3</v>
      </c>
    </row>
    <row r="66" spans="1:4" x14ac:dyDescent="0.35">
      <c r="A66" s="116" t="s">
        <v>62</v>
      </c>
      <c r="B66" s="89"/>
      <c r="C66" s="89"/>
      <c r="D66" s="87">
        <v>4</v>
      </c>
    </row>
    <row r="67" spans="1:4" ht="43.5" x14ac:dyDescent="0.35">
      <c r="A67" s="116" t="s">
        <v>63</v>
      </c>
      <c r="B67" s="89"/>
      <c r="C67" s="89"/>
      <c r="D67" s="87">
        <v>5</v>
      </c>
    </row>
    <row r="68" spans="1:4" x14ac:dyDescent="0.35">
      <c r="A68" s="88"/>
      <c r="B68" s="89"/>
      <c r="C68" s="89"/>
      <c r="D68" s="87"/>
    </row>
    <row r="69" spans="1:4" ht="29" x14ac:dyDescent="0.35">
      <c r="A69" s="100" t="s">
        <v>64</v>
      </c>
      <c r="B69" s="104" t="s">
        <v>5</v>
      </c>
      <c r="C69" s="104" t="s">
        <v>6</v>
      </c>
      <c r="D69" s="86" t="s">
        <v>7</v>
      </c>
    </row>
    <row r="70" spans="1:4" x14ac:dyDescent="0.35">
      <c r="A70" s="116" t="s">
        <v>65</v>
      </c>
      <c r="B70" s="89"/>
      <c r="C70" s="89"/>
      <c r="D70" s="87">
        <v>1</v>
      </c>
    </row>
    <row r="71" spans="1:4" ht="29" x14ac:dyDescent="0.35">
      <c r="A71" s="116" t="s">
        <v>66</v>
      </c>
      <c r="B71" s="89"/>
      <c r="C71" s="89"/>
      <c r="D71" s="87">
        <v>2</v>
      </c>
    </row>
    <row r="72" spans="1:4" x14ac:dyDescent="0.35">
      <c r="A72" s="116" t="s">
        <v>67</v>
      </c>
      <c r="B72" s="89"/>
      <c r="C72" s="89"/>
      <c r="D72" s="87">
        <v>3</v>
      </c>
    </row>
    <row r="73" spans="1:4" ht="29" x14ac:dyDescent="0.35">
      <c r="A73" s="116" t="s">
        <v>68</v>
      </c>
      <c r="B73" s="89"/>
      <c r="C73" s="89"/>
      <c r="D73" s="87">
        <v>4</v>
      </c>
    </row>
    <row r="74" spans="1:4" ht="29" x14ac:dyDescent="0.35">
      <c r="A74" s="116" t="s">
        <v>69</v>
      </c>
      <c r="B74" s="89"/>
      <c r="C74" s="89"/>
      <c r="D74" s="87">
        <v>5</v>
      </c>
    </row>
    <row r="75" spans="1:4" hidden="1" x14ac:dyDescent="0.35">
      <c r="A75" s="88"/>
      <c r="B75" s="89"/>
      <c r="C75" s="89"/>
      <c r="D75" s="87"/>
    </row>
    <row r="76" spans="1:4" ht="29" hidden="1" x14ac:dyDescent="0.35">
      <c r="A76" s="100"/>
      <c r="B76" s="104" t="s">
        <v>5</v>
      </c>
      <c r="C76" s="104" t="s">
        <v>6</v>
      </c>
      <c r="D76" s="86" t="s">
        <v>7</v>
      </c>
    </row>
    <row r="77" spans="1:4" hidden="1" x14ac:dyDescent="0.35">
      <c r="A77" s="88"/>
      <c r="B77" s="89"/>
      <c r="C77" s="89"/>
      <c r="D77" s="87">
        <v>1</v>
      </c>
    </row>
    <row r="78" spans="1:4" hidden="1" x14ac:dyDescent="0.35">
      <c r="A78" s="88"/>
      <c r="B78" s="89"/>
      <c r="C78" s="89"/>
      <c r="D78" s="87">
        <v>2</v>
      </c>
    </row>
    <row r="79" spans="1:4" hidden="1" x14ac:dyDescent="0.35">
      <c r="A79" s="88"/>
      <c r="B79" s="89"/>
      <c r="C79" s="89"/>
      <c r="D79" s="87">
        <v>3</v>
      </c>
    </row>
    <row r="80" spans="1:4" hidden="1" x14ac:dyDescent="0.35">
      <c r="A80" s="88"/>
      <c r="B80" s="89"/>
      <c r="C80" s="89"/>
      <c r="D80" s="87">
        <v>4</v>
      </c>
    </row>
    <row r="81" spans="1:4" hidden="1" x14ac:dyDescent="0.35">
      <c r="A81" s="88"/>
      <c r="B81" s="89"/>
      <c r="C81" s="89"/>
      <c r="D81" s="87">
        <v>5</v>
      </c>
    </row>
    <row r="82" spans="1:4" hidden="1" x14ac:dyDescent="0.35">
      <c r="A82" s="88"/>
      <c r="B82" s="89"/>
      <c r="C82" s="89"/>
      <c r="D82" s="87"/>
    </row>
    <row r="83" spans="1:4" ht="29" hidden="1" x14ac:dyDescent="0.35">
      <c r="A83" s="100"/>
      <c r="B83" s="104" t="s">
        <v>5</v>
      </c>
      <c r="C83" s="104" t="s">
        <v>6</v>
      </c>
      <c r="D83" s="86" t="s">
        <v>7</v>
      </c>
    </row>
    <row r="84" spans="1:4" hidden="1" x14ac:dyDescent="0.35">
      <c r="A84" s="88"/>
      <c r="B84" s="89"/>
      <c r="C84" s="89"/>
      <c r="D84" s="87">
        <v>1</v>
      </c>
    </row>
    <row r="85" spans="1:4" hidden="1" x14ac:dyDescent="0.35">
      <c r="A85" s="88"/>
      <c r="B85" s="89"/>
      <c r="C85" s="89"/>
      <c r="D85" s="87">
        <v>2</v>
      </c>
    </row>
    <row r="86" spans="1:4" hidden="1" x14ac:dyDescent="0.35">
      <c r="A86" s="88"/>
      <c r="B86" s="89"/>
      <c r="C86" s="89"/>
      <c r="D86" s="87">
        <v>3</v>
      </c>
    </row>
    <row r="87" spans="1:4" hidden="1" x14ac:dyDescent="0.35">
      <c r="A87" s="88"/>
      <c r="B87" s="89"/>
      <c r="C87" s="89"/>
      <c r="D87" s="87">
        <v>4</v>
      </c>
    </row>
    <row r="88" spans="1:4" hidden="1" x14ac:dyDescent="0.35">
      <c r="A88" s="88"/>
      <c r="B88" s="89"/>
      <c r="C88" s="89"/>
      <c r="D88" s="87">
        <v>5</v>
      </c>
    </row>
    <row r="89" spans="1:4" hidden="1" x14ac:dyDescent="0.35">
      <c r="A89" s="88"/>
      <c r="B89" s="89"/>
      <c r="C89" s="89"/>
      <c r="D89" s="87"/>
    </row>
    <row r="90" spans="1:4" ht="29" hidden="1" x14ac:dyDescent="0.35">
      <c r="A90" s="100"/>
      <c r="B90" s="104" t="s">
        <v>5</v>
      </c>
      <c r="C90" s="104" t="s">
        <v>6</v>
      </c>
      <c r="D90" s="86" t="s">
        <v>7</v>
      </c>
    </row>
    <row r="91" spans="1:4" hidden="1" x14ac:dyDescent="0.35">
      <c r="A91" s="90"/>
      <c r="B91" s="92"/>
      <c r="C91" s="92"/>
      <c r="D91" s="87">
        <v>1</v>
      </c>
    </row>
    <row r="92" spans="1:4" hidden="1" x14ac:dyDescent="0.35">
      <c r="A92" s="90"/>
      <c r="B92" s="92"/>
      <c r="C92" s="92"/>
      <c r="D92" s="87">
        <v>2</v>
      </c>
    </row>
    <row r="93" spans="1:4" hidden="1" x14ac:dyDescent="0.35">
      <c r="A93" s="90"/>
      <c r="B93" s="92"/>
      <c r="C93" s="92"/>
      <c r="D93" s="87">
        <v>3</v>
      </c>
    </row>
    <row r="94" spans="1:4" hidden="1" x14ac:dyDescent="0.35">
      <c r="A94" s="90"/>
      <c r="B94" s="92"/>
      <c r="C94" s="92"/>
      <c r="D94" s="87">
        <v>4</v>
      </c>
    </row>
    <row r="95" spans="1:4" hidden="1" x14ac:dyDescent="0.35">
      <c r="A95" s="90"/>
      <c r="B95" s="92"/>
      <c r="C95" s="92"/>
      <c r="D95" s="87">
        <v>5</v>
      </c>
    </row>
    <row r="97" spans="1:4" ht="23.5" x14ac:dyDescent="0.35">
      <c r="A97" s="112" t="s">
        <v>70</v>
      </c>
    </row>
    <row r="98" spans="1:4" ht="29" x14ac:dyDescent="0.35">
      <c r="A98" s="100" t="s">
        <v>71</v>
      </c>
      <c r="B98" s="104" t="s">
        <v>5</v>
      </c>
      <c r="C98" s="104" t="s">
        <v>6</v>
      </c>
      <c r="D98" s="86" t="s">
        <v>7</v>
      </c>
    </row>
    <row r="99" spans="1:4" ht="29" x14ac:dyDescent="0.35">
      <c r="A99" s="116" t="s">
        <v>72</v>
      </c>
      <c r="B99" s="89"/>
      <c r="C99" s="89"/>
      <c r="D99" s="87">
        <v>1</v>
      </c>
    </row>
    <row r="100" spans="1:4" ht="29" x14ac:dyDescent="0.35">
      <c r="A100" s="116" t="s">
        <v>73</v>
      </c>
      <c r="B100" s="89"/>
      <c r="C100" s="89"/>
      <c r="D100" s="87">
        <v>2</v>
      </c>
    </row>
    <row r="101" spans="1:4" ht="101.5" x14ac:dyDescent="0.35">
      <c r="A101" s="116" t="s">
        <v>74</v>
      </c>
      <c r="B101" s="89"/>
      <c r="C101" s="89"/>
      <c r="D101" s="87">
        <v>3</v>
      </c>
    </row>
    <row r="102" spans="1:4" ht="29" x14ac:dyDescent="0.35">
      <c r="A102" s="116" t="s">
        <v>75</v>
      </c>
      <c r="B102" s="89"/>
      <c r="C102" s="89"/>
      <c r="D102" s="87">
        <v>4</v>
      </c>
    </row>
    <row r="103" spans="1:4" ht="29" x14ac:dyDescent="0.35">
      <c r="A103" s="116" t="s">
        <v>76</v>
      </c>
      <c r="B103" s="89"/>
      <c r="C103" s="89"/>
      <c r="D103" s="87">
        <v>5</v>
      </c>
    </row>
    <row r="104" spans="1:4" x14ac:dyDescent="0.35">
      <c r="A104" s="88"/>
      <c r="B104" s="89"/>
      <c r="C104" s="89"/>
      <c r="D104" s="87"/>
    </row>
    <row r="105" spans="1:4" ht="29" x14ac:dyDescent="0.35">
      <c r="A105" s="100" t="s">
        <v>77</v>
      </c>
      <c r="B105" s="104" t="s">
        <v>5</v>
      </c>
      <c r="C105" s="104" t="s">
        <v>6</v>
      </c>
      <c r="D105" s="86" t="s">
        <v>7</v>
      </c>
    </row>
    <row r="106" spans="1:4" x14ac:dyDescent="0.35">
      <c r="A106" s="116" t="s">
        <v>78</v>
      </c>
      <c r="B106" s="89"/>
      <c r="C106" s="89"/>
      <c r="D106" s="87">
        <v>1</v>
      </c>
    </row>
    <row r="107" spans="1:4" x14ac:dyDescent="0.35">
      <c r="A107" s="116" t="s">
        <v>79</v>
      </c>
      <c r="B107" s="89"/>
      <c r="C107" s="89"/>
      <c r="D107" s="87">
        <v>2</v>
      </c>
    </row>
    <row r="108" spans="1:4" x14ac:dyDescent="0.35">
      <c r="A108" s="116" t="s">
        <v>80</v>
      </c>
      <c r="B108" s="89"/>
      <c r="C108" s="89"/>
      <c r="D108" s="87">
        <v>3</v>
      </c>
    </row>
    <row r="109" spans="1:4" ht="29" x14ac:dyDescent="0.35">
      <c r="A109" s="116" t="s">
        <v>81</v>
      </c>
      <c r="B109" s="89"/>
      <c r="C109" s="89"/>
      <c r="D109" s="87">
        <v>4</v>
      </c>
    </row>
    <row r="110" spans="1:4" ht="29" x14ac:dyDescent="0.35">
      <c r="A110" s="116" t="s">
        <v>82</v>
      </c>
      <c r="B110" s="89"/>
      <c r="C110" s="89"/>
      <c r="D110" s="87">
        <v>5</v>
      </c>
    </row>
    <row r="111" spans="1:4" x14ac:dyDescent="0.35">
      <c r="A111" s="88"/>
      <c r="B111" s="89"/>
      <c r="C111" s="89"/>
      <c r="D111" s="87"/>
    </row>
    <row r="112" spans="1:4" ht="29" x14ac:dyDescent="0.35">
      <c r="A112" s="100" t="s">
        <v>83</v>
      </c>
      <c r="B112" s="104" t="s">
        <v>5</v>
      </c>
      <c r="C112" s="104" t="s">
        <v>6</v>
      </c>
      <c r="D112" s="86" t="s">
        <v>7</v>
      </c>
    </row>
    <row r="113" spans="1:4" x14ac:dyDescent="0.35">
      <c r="A113" s="116" t="s">
        <v>84</v>
      </c>
      <c r="B113" s="89"/>
      <c r="C113" s="89"/>
      <c r="D113" s="87">
        <v>1</v>
      </c>
    </row>
    <row r="114" spans="1:4" x14ac:dyDescent="0.35">
      <c r="A114" s="116" t="s">
        <v>85</v>
      </c>
      <c r="B114" s="89"/>
      <c r="C114" s="89"/>
      <c r="D114" s="87">
        <v>2</v>
      </c>
    </row>
    <row r="115" spans="1:4" x14ac:dyDescent="0.35">
      <c r="A115" s="116" t="s">
        <v>86</v>
      </c>
      <c r="B115" s="89"/>
      <c r="C115" s="89"/>
      <c r="D115" s="87">
        <v>3</v>
      </c>
    </row>
    <row r="116" spans="1:4" ht="29" x14ac:dyDescent="0.35">
      <c r="A116" s="116" t="s">
        <v>87</v>
      </c>
      <c r="B116" s="89"/>
      <c r="C116" s="89"/>
      <c r="D116" s="87">
        <v>4</v>
      </c>
    </row>
    <row r="117" spans="1:4" ht="29" x14ac:dyDescent="0.35">
      <c r="A117" s="116" t="s">
        <v>87</v>
      </c>
      <c r="B117" s="89"/>
      <c r="C117" s="89"/>
      <c r="D117" s="87">
        <v>5</v>
      </c>
    </row>
    <row r="118" spans="1:4" x14ac:dyDescent="0.35">
      <c r="A118" s="88"/>
      <c r="B118" s="89"/>
      <c r="C118" s="89"/>
      <c r="D118" s="87"/>
    </row>
    <row r="119" spans="1:4" ht="29" x14ac:dyDescent="0.35">
      <c r="A119" s="100" t="s">
        <v>88</v>
      </c>
      <c r="B119" s="104" t="s">
        <v>5</v>
      </c>
      <c r="C119" s="104" t="s">
        <v>6</v>
      </c>
      <c r="D119" s="86" t="s">
        <v>7</v>
      </c>
    </row>
    <row r="120" spans="1:4" x14ac:dyDescent="0.35">
      <c r="A120" s="117" t="s">
        <v>89</v>
      </c>
      <c r="B120" s="89"/>
      <c r="C120" s="89"/>
      <c r="D120" s="87">
        <v>1</v>
      </c>
    </row>
    <row r="121" spans="1:4" x14ac:dyDescent="0.35">
      <c r="A121" s="117" t="s">
        <v>90</v>
      </c>
      <c r="B121" s="89"/>
      <c r="C121" s="89"/>
      <c r="D121" s="87">
        <v>2</v>
      </c>
    </row>
    <row r="122" spans="1:4" ht="29" x14ac:dyDescent="0.35">
      <c r="A122" s="117" t="s">
        <v>91</v>
      </c>
      <c r="B122" s="89"/>
      <c r="C122" s="89"/>
      <c r="D122" s="87">
        <v>3</v>
      </c>
    </row>
    <row r="123" spans="1:4" x14ac:dyDescent="0.35">
      <c r="A123" s="117" t="s">
        <v>92</v>
      </c>
      <c r="B123" s="89"/>
      <c r="C123" s="89"/>
      <c r="D123" s="87">
        <v>4</v>
      </c>
    </row>
    <row r="124" spans="1:4" x14ac:dyDescent="0.35">
      <c r="A124" s="117" t="s">
        <v>93</v>
      </c>
      <c r="B124" s="89"/>
      <c r="C124" s="89"/>
      <c r="D124" s="87">
        <v>5</v>
      </c>
    </row>
    <row r="125" spans="1:4" x14ac:dyDescent="0.35">
      <c r="A125" s="88"/>
      <c r="B125" s="89"/>
      <c r="C125" s="89"/>
      <c r="D125" s="87"/>
    </row>
    <row r="126" spans="1:4" ht="29" x14ac:dyDescent="0.35">
      <c r="A126" s="100" t="s">
        <v>94</v>
      </c>
      <c r="B126" s="104" t="s">
        <v>5</v>
      </c>
      <c r="C126" s="104" t="s">
        <v>6</v>
      </c>
      <c r="D126" s="86" t="s">
        <v>7</v>
      </c>
    </row>
    <row r="127" spans="1:4" x14ac:dyDescent="0.35">
      <c r="A127" s="116" t="s">
        <v>95</v>
      </c>
      <c r="B127" s="89"/>
      <c r="C127" s="89"/>
      <c r="D127" s="87">
        <v>1</v>
      </c>
    </row>
    <row r="128" spans="1:4" x14ac:dyDescent="0.35">
      <c r="A128" s="116" t="s">
        <v>96</v>
      </c>
      <c r="B128" s="89"/>
      <c r="C128" s="89"/>
      <c r="D128" s="87">
        <v>2</v>
      </c>
    </row>
    <row r="129" spans="1:4" x14ac:dyDescent="0.35">
      <c r="A129" s="116" t="s">
        <v>97</v>
      </c>
      <c r="B129" s="89"/>
      <c r="C129" s="89"/>
      <c r="D129" s="87">
        <v>3</v>
      </c>
    </row>
    <row r="130" spans="1:4" x14ac:dyDescent="0.35">
      <c r="A130" s="116" t="s">
        <v>98</v>
      </c>
      <c r="B130" s="89"/>
      <c r="C130" s="89"/>
      <c r="D130" s="87">
        <v>4</v>
      </c>
    </row>
    <row r="131" spans="1:4" x14ac:dyDescent="0.35">
      <c r="A131" s="116" t="s">
        <v>99</v>
      </c>
      <c r="B131" s="89"/>
      <c r="C131" s="89"/>
      <c r="D131" s="87">
        <v>5</v>
      </c>
    </row>
    <row r="132" spans="1:4" hidden="1" x14ac:dyDescent="0.35">
      <c r="A132" s="88"/>
      <c r="B132" s="89"/>
      <c r="C132" s="89"/>
      <c r="D132" s="87"/>
    </row>
    <row r="133" spans="1:4" ht="29" hidden="1" x14ac:dyDescent="0.35">
      <c r="A133" s="97"/>
      <c r="B133" s="105" t="s">
        <v>5</v>
      </c>
      <c r="C133" s="105" t="s">
        <v>6</v>
      </c>
      <c r="D133" s="86" t="s">
        <v>7</v>
      </c>
    </row>
    <row r="134" spans="1:4" hidden="1" x14ac:dyDescent="0.35">
      <c r="A134" s="90"/>
      <c r="B134" s="92"/>
      <c r="C134" s="92"/>
      <c r="D134" s="87">
        <v>1</v>
      </c>
    </row>
    <row r="135" spans="1:4" hidden="1" x14ac:dyDescent="0.35">
      <c r="A135" s="90"/>
      <c r="B135" s="92"/>
      <c r="C135" s="92"/>
      <c r="D135" s="87">
        <v>2</v>
      </c>
    </row>
    <row r="136" spans="1:4" hidden="1" x14ac:dyDescent="0.35">
      <c r="A136" s="90"/>
      <c r="B136" s="92"/>
      <c r="C136" s="92"/>
      <c r="D136" s="87">
        <v>3</v>
      </c>
    </row>
    <row r="137" spans="1:4" hidden="1" x14ac:dyDescent="0.35">
      <c r="A137" s="90"/>
      <c r="B137" s="92"/>
      <c r="C137" s="92"/>
      <c r="D137" s="87">
        <v>4</v>
      </c>
    </row>
    <row r="138" spans="1:4" hidden="1" x14ac:dyDescent="0.35">
      <c r="A138" s="90"/>
      <c r="B138" s="92"/>
      <c r="C138" s="92"/>
      <c r="D138" s="87">
        <v>5</v>
      </c>
    </row>
    <row r="140" spans="1:4" ht="23.5" x14ac:dyDescent="0.35">
      <c r="A140" s="113" t="s">
        <v>100</v>
      </c>
    </row>
    <row r="141" spans="1:4" ht="29" x14ac:dyDescent="0.35">
      <c r="A141" s="96" t="s">
        <v>101</v>
      </c>
      <c r="B141" s="106" t="s">
        <v>5</v>
      </c>
      <c r="C141" s="106" t="s">
        <v>6</v>
      </c>
      <c r="D141" s="86" t="s">
        <v>7</v>
      </c>
    </row>
    <row r="142" spans="1:4" x14ac:dyDescent="0.35">
      <c r="A142" s="88"/>
      <c r="B142" s="89"/>
      <c r="C142" s="89"/>
      <c r="D142" s="87">
        <v>1</v>
      </c>
    </row>
    <row r="143" spans="1:4" x14ac:dyDescent="0.35">
      <c r="A143" s="88" t="s">
        <v>102</v>
      </c>
      <c r="B143" s="89"/>
      <c r="C143" s="89"/>
      <c r="D143" s="87">
        <v>2</v>
      </c>
    </row>
    <row r="144" spans="1:4" ht="29" x14ac:dyDescent="0.35">
      <c r="A144" s="88" t="s">
        <v>103</v>
      </c>
      <c r="B144" s="89"/>
      <c r="C144" s="89"/>
      <c r="D144" s="87">
        <v>3</v>
      </c>
    </row>
    <row r="145" spans="1:4" x14ac:dyDescent="0.35">
      <c r="A145" s="88" t="s">
        <v>104</v>
      </c>
      <c r="B145" s="89"/>
      <c r="C145" s="89"/>
      <c r="D145" s="87">
        <v>4</v>
      </c>
    </row>
    <row r="146" spans="1:4" x14ac:dyDescent="0.35">
      <c r="A146" s="88" t="s">
        <v>105</v>
      </c>
      <c r="B146" s="89"/>
      <c r="C146" s="89"/>
      <c r="D146" s="87">
        <v>5</v>
      </c>
    </row>
    <row r="147" spans="1:4" x14ac:dyDescent="0.35">
      <c r="A147" s="88"/>
      <c r="B147" s="89"/>
      <c r="C147" s="89"/>
      <c r="D147" s="87"/>
    </row>
    <row r="148" spans="1:4" ht="29" x14ac:dyDescent="0.35">
      <c r="A148" s="96" t="s">
        <v>106</v>
      </c>
      <c r="B148" s="106" t="s">
        <v>5</v>
      </c>
      <c r="C148" s="106" t="s">
        <v>6</v>
      </c>
      <c r="D148" s="86" t="s">
        <v>7</v>
      </c>
    </row>
    <row r="149" spans="1:4" x14ac:dyDescent="0.35">
      <c r="A149" s="88" t="s">
        <v>107</v>
      </c>
      <c r="B149" s="89"/>
      <c r="C149" s="89"/>
      <c r="D149" s="87">
        <v>1</v>
      </c>
    </row>
    <row r="150" spans="1:4" x14ac:dyDescent="0.35">
      <c r="A150" s="88" t="s">
        <v>108</v>
      </c>
      <c r="B150" s="89"/>
      <c r="C150" s="89"/>
      <c r="D150" s="87">
        <v>2</v>
      </c>
    </row>
    <row r="151" spans="1:4" ht="29" x14ac:dyDescent="0.35">
      <c r="A151" s="88" t="s">
        <v>109</v>
      </c>
      <c r="B151" s="89"/>
      <c r="C151" s="89"/>
      <c r="D151" s="87">
        <v>3</v>
      </c>
    </row>
    <row r="152" spans="1:4" x14ac:dyDescent="0.35">
      <c r="A152" s="88" t="s">
        <v>110</v>
      </c>
      <c r="B152" s="89"/>
      <c r="C152" s="89"/>
      <c r="D152" s="87">
        <v>4</v>
      </c>
    </row>
    <row r="153" spans="1:4" ht="29" x14ac:dyDescent="0.35">
      <c r="A153" s="88" t="s">
        <v>111</v>
      </c>
      <c r="B153" s="89"/>
      <c r="C153" s="89"/>
      <c r="D153" s="87">
        <v>5</v>
      </c>
    </row>
    <row r="154" spans="1:4" x14ac:dyDescent="0.35">
      <c r="A154" s="88"/>
      <c r="B154" s="89"/>
      <c r="C154" s="89"/>
      <c r="D154" s="87"/>
    </row>
    <row r="155" spans="1:4" ht="29" x14ac:dyDescent="0.35">
      <c r="A155" s="96" t="s">
        <v>112</v>
      </c>
      <c r="B155" s="106" t="s">
        <v>5</v>
      </c>
      <c r="C155" s="106" t="s">
        <v>6</v>
      </c>
      <c r="D155" s="86" t="s">
        <v>7</v>
      </c>
    </row>
    <row r="156" spans="1:4" x14ac:dyDescent="0.35">
      <c r="A156" s="88" t="s">
        <v>113</v>
      </c>
      <c r="B156" s="89"/>
      <c r="C156" s="89"/>
      <c r="D156" s="87">
        <v>1</v>
      </c>
    </row>
    <row r="157" spans="1:4" x14ac:dyDescent="0.35">
      <c r="A157" s="88" t="s">
        <v>114</v>
      </c>
      <c r="B157" s="89"/>
      <c r="C157" s="89"/>
      <c r="D157" s="87">
        <v>2</v>
      </c>
    </row>
    <row r="158" spans="1:4" ht="29" x14ac:dyDescent="0.35">
      <c r="A158" s="88" t="s">
        <v>115</v>
      </c>
      <c r="B158" s="89"/>
      <c r="C158" s="89"/>
      <c r="D158" s="87">
        <v>3</v>
      </c>
    </row>
    <row r="159" spans="1:4" ht="29" x14ac:dyDescent="0.35">
      <c r="A159" s="88" t="s">
        <v>116</v>
      </c>
      <c r="B159" s="89"/>
      <c r="C159" s="89"/>
      <c r="D159" s="87">
        <v>4</v>
      </c>
    </row>
    <row r="160" spans="1:4" ht="29" x14ac:dyDescent="0.35">
      <c r="A160" s="88" t="s">
        <v>117</v>
      </c>
      <c r="B160" s="89"/>
      <c r="C160" s="89"/>
      <c r="D160" s="87">
        <v>5</v>
      </c>
    </row>
    <row r="161" spans="1:4" x14ac:dyDescent="0.35">
      <c r="A161" s="88"/>
      <c r="B161" s="89"/>
      <c r="C161" s="89"/>
      <c r="D161" s="87"/>
    </row>
    <row r="162" spans="1:4" ht="29" x14ac:dyDescent="0.35">
      <c r="A162" s="96" t="s">
        <v>118</v>
      </c>
      <c r="B162" s="106" t="s">
        <v>5</v>
      </c>
      <c r="C162" s="106" t="s">
        <v>6</v>
      </c>
      <c r="D162" s="86" t="s">
        <v>7</v>
      </c>
    </row>
    <row r="163" spans="1:4" x14ac:dyDescent="0.35">
      <c r="A163" s="88"/>
      <c r="B163" s="89"/>
      <c r="C163" s="89"/>
      <c r="D163" s="87">
        <v>1</v>
      </c>
    </row>
    <row r="164" spans="1:4" x14ac:dyDescent="0.35">
      <c r="A164" s="88" t="s">
        <v>119</v>
      </c>
      <c r="B164" s="89"/>
      <c r="C164" s="89"/>
      <c r="D164" s="87">
        <v>2</v>
      </c>
    </row>
    <row r="165" spans="1:4" ht="29" x14ac:dyDescent="0.35">
      <c r="A165" s="88" t="s">
        <v>120</v>
      </c>
      <c r="B165" s="89"/>
      <c r="C165" s="89"/>
      <c r="D165" s="87">
        <v>3</v>
      </c>
    </row>
    <row r="166" spans="1:4" ht="29" x14ac:dyDescent="0.35">
      <c r="A166" s="88" t="s">
        <v>121</v>
      </c>
      <c r="B166" s="89"/>
      <c r="C166" s="89"/>
      <c r="D166" s="87">
        <v>4</v>
      </c>
    </row>
    <row r="167" spans="1:4" ht="29" x14ac:dyDescent="0.35">
      <c r="A167" s="88" t="s">
        <v>122</v>
      </c>
      <c r="B167" s="89"/>
      <c r="C167" s="89"/>
      <c r="D167" s="87">
        <v>5</v>
      </c>
    </row>
    <row r="168" spans="1:4" x14ac:dyDescent="0.35">
      <c r="A168" s="88"/>
      <c r="B168" s="89"/>
      <c r="C168" s="89"/>
      <c r="D168" s="87"/>
    </row>
    <row r="169" spans="1:4" ht="29" x14ac:dyDescent="0.35">
      <c r="A169" s="96" t="s">
        <v>123</v>
      </c>
      <c r="B169" s="106" t="s">
        <v>5</v>
      </c>
      <c r="C169" s="106" t="s">
        <v>6</v>
      </c>
      <c r="D169" s="86" t="s">
        <v>7</v>
      </c>
    </row>
    <row r="170" spans="1:4" x14ac:dyDescent="0.35">
      <c r="A170" s="88" t="s">
        <v>124</v>
      </c>
      <c r="B170" s="89"/>
      <c r="C170" s="89"/>
      <c r="D170" s="87">
        <v>1</v>
      </c>
    </row>
    <row r="171" spans="1:4" ht="29" x14ac:dyDescent="0.35">
      <c r="A171" s="88" t="s">
        <v>125</v>
      </c>
      <c r="B171" s="89"/>
      <c r="C171" s="89"/>
      <c r="D171" s="87">
        <v>2</v>
      </c>
    </row>
    <row r="172" spans="1:4" ht="29" x14ac:dyDescent="0.35">
      <c r="A172" s="88" t="s">
        <v>126</v>
      </c>
      <c r="B172" s="89"/>
      <c r="C172" s="89"/>
      <c r="D172" s="87">
        <v>3</v>
      </c>
    </row>
    <row r="173" spans="1:4" ht="29" x14ac:dyDescent="0.35">
      <c r="A173" s="88" t="s">
        <v>127</v>
      </c>
      <c r="B173" s="89"/>
      <c r="C173" s="89"/>
      <c r="D173" s="87">
        <v>4</v>
      </c>
    </row>
    <row r="174" spans="1:4" x14ac:dyDescent="0.35">
      <c r="A174" s="88" t="s">
        <v>128</v>
      </c>
      <c r="B174" s="89"/>
      <c r="C174" s="89"/>
      <c r="D174" s="87">
        <v>5</v>
      </c>
    </row>
    <row r="176" spans="1:4" ht="23.5" x14ac:dyDescent="0.35">
      <c r="A176" s="114" t="s">
        <v>129</v>
      </c>
    </row>
    <row r="177" spans="1:4" ht="29" x14ac:dyDescent="0.35">
      <c r="A177" s="95" t="s">
        <v>130</v>
      </c>
      <c r="B177" s="107" t="s">
        <v>5</v>
      </c>
      <c r="C177" s="107" t="s">
        <v>6</v>
      </c>
      <c r="D177" s="86" t="s">
        <v>7</v>
      </c>
    </row>
    <row r="178" spans="1:4" x14ac:dyDescent="0.35">
      <c r="A178" s="88" t="s">
        <v>131</v>
      </c>
      <c r="B178" s="89"/>
      <c r="C178" s="89"/>
      <c r="D178" s="87">
        <v>1</v>
      </c>
    </row>
    <row r="179" spans="1:4" x14ac:dyDescent="0.35">
      <c r="A179" s="88" t="s">
        <v>132</v>
      </c>
      <c r="B179" s="89"/>
      <c r="C179" s="89"/>
      <c r="D179" s="87">
        <v>2</v>
      </c>
    </row>
    <row r="180" spans="1:4" x14ac:dyDescent="0.35">
      <c r="A180" s="88" t="s">
        <v>133</v>
      </c>
      <c r="B180" s="89"/>
      <c r="C180" s="89"/>
      <c r="D180" s="87">
        <v>3</v>
      </c>
    </row>
    <row r="181" spans="1:4" ht="29" x14ac:dyDescent="0.35">
      <c r="A181" s="88" t="s">
        <v>134</v>
      </c>
      <c r="B181" s="89"/>
      <c r="C181" s="89"/>
      <c r="D181" s="87">
        <v>4</v>
      </c>
    </row>
    <row r="182" spans="1:4" x14ac:dyDescent="0.35">
      <c r="A182" s="88" t="s">
        <v>135</v>
      </c>
      <c r="B182" s="89"/>
      <c r="C182" s="89"/>
      <c r="D182" s="87">
        <v>5</v>
      </c>
    </row>
    <row r="183" spans="1:4" x14ac:dyDescent="0.35">
      <c r="A183" s="88"/>
      <c r="B183" s="89"/>
      <c r="C183" s="89"/>
      <c r="D183" s="87"/>
    </row>
    <row r="184" spans="1:4" ht="29" x14ac:dyDescent="0.35">
      <c r="A184" s="95" t="s">
        <v>136</v>
      </c>
      <c r="B184" s="107" t="s">
        <v>5</v>
      </c>
      <c r="C184" s="107" t="s">
        <v>6</v>
      </c>
      <c r="D184" s="86" t="s">
        <v>7</v>
      </c>
    </row>
    <row r="185" spans="1:4" x14ac:dyDescent="0.35">
      <c r="A185" s="88" t="s">
        <v>137</v>
      </c>
      <c r="B185" s="89"/>
      <c r="C185" s="89"/>
      <c r="D185" s="87">
        <v>1</v>
      </c>
    </row>
    <row r="186" spans="1:4" x14ac:dyDescent="0.35">
      <c r="A186" s="88" t="s">
        <v>138</v>
      </c>
      <c r="B186" s="89"/>
      <c r="C186" s="89"/>
      <c r="D186" s="87">
        <v>2</v>
      </c>
    </row>
    <row r="187" spans="1:4" x14ac:dyDescent="0.35">
      <c r="A187" s="88" t="s">
        <v>139</v>
      </c>
      <c r="B187" s="89"/>
      <c r="C187" s="89"/>
      <c r="D187" s="87">
        <v>3</v>
      </c>
    </row>
    <row r="188" spans="1:4" x14ac:dyDescent="0.35">
      <c r="A188" s="88" t="s">
        <v>140</v>
      </c>
      <c r="B188" s="89"/>
      <c r="C188" s="89"/>
      <c r="D188" s="87">
        <v>4</v>
      </c>
    </row>
    <row r="189" spans="1:4" x14ac:dyDescent="0.35">
      <c r="A189" s="88" t="s">
        <v>141</v>
      </c>
      <c r="B189" s="89"/>
      <c r="C189" s="89"/>
      <c r="D189" s="87">
        <v>5</v>
      </c>
    </row>
    <row r="190" spans="1:4" x14ac:dyDescent="0.35">
      <c r="A190" s="88"/>
      <c r="B190" s="89"/>
      <c r="C190" s="89"/>
      <c r="D190" s="87"/>
    </row>
    <row r="191" spans="1:4" ht="29" x14ac:dyDescent="0.35">
      <c r="A191" s="95" t="s">
        <v>142</v>
      </c>
      <c r="B191" s="107" t="s">
        <v>5</v>
      </c>
      <c r="C191" s="107" t="s">
        <v>6</v>
      </c>
      <c r="D191" s="87" t="s">
        <v>7</v>
      </c>
    </row>
    <row r="192" spans="1:4" x14ac:dyDescent="0.35">
      <c r="A192" s="88" t="s">
        <v>143</v>
      </c>
      <c r="B192" s="89"/>
      <c r="C192" s="89"/>
      <c r="D192" s="87">
        <v>1</v>
      </c>
    </row>
    <row r="193" spans="1:4" x14ac:dyDescent="0.35">
      <c r="A193" s="88" t="s">
        <v>144</v>
      </c>
      <c r="B193" s="89"/>
      <c r="C193" s="89"/>
      <c r="D193" s="87">
        <v>2</v>
      </c>
    </row>
    <row r="194" spans="1:4" x14ac:dyDescent="0.35">
      <c r="A194" s="88" t="s">
        <v>145</v>
      </c>
      <c r="B194" s="89"/>
      <c r="C194" s="89"/>
      <c r="D194" s="87">
        <v>3</v>
      </c>
    </row>
    <row r="195" spans="1:4" x14ac:dyDescent="0.35">
      <c r="A195" s="88" t="s">
        <v>146</v>
      </c>
      <c r="B195" s="89"/>
      <c r="C195" s="89"/>
      <c r="D195" s="87">
        <v>4</v>
      </c>
    </row>
    <row r="196" spans="1:4" x14ac:dyDescent="0.35">
      <c r="A196" s="88" t="s">
        <v>147</v>
      </c>
      <c r="B196" s="89"/>
      <c r="C196" s="89"/>
      <c r="D196" s="87">
        <v>5</v>
      </c>
    </row>
    <row r="197" spans="1:4" x14ac:dyDescent="0.35">
      <c r="A197" s="88"/>
      <c r="B197" s="89"/>
      <c r="C197" s="89"/>
      <c r="D197" s="87"/>
    </row>
    <row r="198" spans="1:4" ht="29" x14ac:dyDescent="0.35">
      <c r="A198" s="95" t="s">
        <v>148</v>
      </c>
      <c r="B198" s="107" t="s">
        <v>5</v>
      </c>
      <c r="C198" s="107" t="s">
        <v>6</v>
      </c>
      <c r="D198" s="86" t="s">
        <v>7</v>
      </c>
    </row>
    <row r="199" spans="1:4" x14ac:dyDescent="0.35">
      <c r="A199" s="88" t="s">
        <v>149</v>
      </c>
      <c r="B199" s="89"/>
      <c r="C199" s="89"/>
      <c r="D199" s="87">
        <v>1</v>
      </c>
    </row>
    <row r="200" spans="1:4" x14ac:dyDescent="0.35">
      <c r="A200" s="88" t="s">
        <v>150</v>
      </c>
      <c r="B200" s="89"/>
      <c r="C200" s="89"/>
      <c r="D200" s="87">
        <v>2</v>
      </c>
    </row>
    <row r="201" spans="1:4" x14ac:dyDescent="0.35">
      <c r="A201" s="88" t="s">
        <v>151</v>
      </c>
      <c r="B201" s="89"/>
      <c r="C201" s="89"/>
      <c r="D201" s="87">
        <v>3</v>
      </c>
    </row>
    <row r="202" spans="1:4" x14ac:dyDescent="0.35">
      <c r="A202" s="88" t="s">
        <v>152</v>
      </c>
      <c r="B202" s="89"/>
      <c r="C202" s="89"/>
      <c r="D202" s="87">
        <v>4</v>
      </c>
    </row>
    <row r="203" spans="1:4" x14ac:dyDescent="0.35">
      <c r="A203" s="88" t="s">
        <v>153</v>
      </c>
      <c r="B203" s="89"/>
      <c r="C203" s="89"/>
      <c r="D203" s="87">
        <v>5</v>
      </c>
    </row>
    <row r="204" spans="1:4" x14ac:dyDescent="0.35">
      <c r="A204" s="88"/>
      <c r="B204" s="89"/>
      <c r="C204" s="89"/>
      <c r="D204" s="87"/>
    </row>
    <row r="205" spans="1:4" ht="29" x14ac:dyDescent="0.35">
      <c r="A205" s="95" t="s">
        <v>154</v>
      </c>
      <c r="B205" s="107" t="s">
        <v>5</v>
      </c>
      <c r="C205" s="107" t="s">
        <v>6</v>
      </c>
      <c r="D205" s="86" t="s">
        <v>7</v>
      </c>
    </row>
    <row r="206" spans="1:4" x14ac:dyDescent="0.35">
      <c r="A206" s="88" t="s">
        <v>155</v>
      </c>
      <c r="B206" s="89"/>
      <c r="C206" s="89"/>
      <c r="D206" s="87">
        <v>1</v>
      </c>
    </row>
    <row r="207" spans="1:4" x14ac:dyDescent="0.35">
      <c r="A207" s="88" t="s">
        <v>156</v>
      </c>
      <c r="B207" s="89"/>
      <c r="C207" s="89"/>
      <c r="D207" s="87">
        <v>2</v>
      </c>
    </row>
    <row r="208" spans="1:4" x14ac:dyDescent="0.35">
      <c r="A208" s="88" t="s">
        <v>157</v>
      </c>
      <c r="B208" s="89"/>
      <c r="C208" s="89"/>
      <c r="D208" s="87">
        <v>3</v>
      </c>
    </row>
    <row r="209" spans="1:4" x14ac:dyDescent="0.35">
      <c r="A209" s="88" t="s">
        <v>158</v>
      </c>
      <c r="B209" s="89"/>
      <c r="C209" s="89"/>
      <c r="D209" s="87">
        <v>4</v>
      </c>
    </row>
    <row r="210" spans="1:4" ht="29" x14ac:dyDescent="0.35">
      <c r="A210" s="88" t="s">
        <v>159</v>
      </c>
      <c r="B210" s="89"/>
      <c r="C210" s="89"/>
      <c r="D210" s="87">
        <v>5</v>
      </c>
    </row>
    <row r="211" spans="1:4" x14ac:dyDescent="0.35">
      <c r="C211" s="84" t="s">
        <v>160</v>
      </c>
    </row>
    <row r="212" spans="1:4" ht="23.5" x14ac:dyDescent="0.35">
      <c r="A212" s="115" t="s">
        <v>161</v>
      </c>
    </row>
    <row r="213" spans="1:4" ht="29" x14ac:dyDescent="0.35">
      <c r="A213" s="94" t="s">
        <v>162</v>
      </c>
      <c r="B213" s="108" t="s">
        <v>5</v>
      </c>
      <c r="C213" s="108" t="s">
        <v>6</v>
      </c>
      <c r="D213" s="86" t="s">
        <v>7</v>
      </c>
    </row>
    <row r="214" spans="1:4" x14ac:dyDescent="0.35">
      <c r="A214" s="88" t="s">
        <v>163</v>
      </c>
      <c r="B214" s="89"/>
      <c r="C214" s="89"/>
      <c r="D214" s="87">
        <v>1</v>
      </c>
    </row>
    <row r="215" spans="1:4" x14ac:dyDescent="0.35">
      <c r="A215" s="88" t="s">
        <v>164</v>
      </c>
      <c r="B215" s="89"/>
      <c r="C215" s="89"/>
      <c r="D215" s="87">
        <v>2</v>
      </c>
    </row>
    <row r="216" spans="1:4" ht="29" x14ac:dyDescent="0.35">
      <c r="A216" s="88" t="s">
        <v>165</v>
      </c>
      <c r="B216" s="89"/>
      <c r="C216" s="89"/>
      <c r="D216" s="87">
        <v>3</v>
      </c>
    </row>
    <row r="217" spans="1:4" x14ac:dyDescent="0.35">
      <c r="A217" s="88" t="s">
        <v>166</v>
      </c>
      <c r="B217" s="89"/>
      <c r="C217" s="89"/>
      <c r="D217" s="87">
        <v>4</v>
      </c>
    </row>
    <row r="218" spans="1:4" x14ac:dyDescent="0.35">
      <c r="A218" s="88" t="s">
        <v>167</v>
      </c>
      <c r="B218" s="89"/>
      <c r="C218" s="89"/>
      <c r="D218" s="87">
        <v>5</v>
      </c>
    </row>
    <row r="219" spans="1:4" x14ac:dyDescent="0.35">
      <c r="A219" s="88"/>
      <c r="B219" s="89"/>
      <c r="C219" s="89"/>
      <c r="D219" s="87"/>
    </row>
    <row r="220" spans="1:4" ht="29" x14ac:dyDescent="0.35">
      <c r="A220" s="94" t="s">
        <v>168</v>
      </c>
      <c r="B220" s="108" t="s">
        <v>5</v>
      </c>
      <c r="C220" s="108" t="s">
        <v>6</v>
      </c>
      <c r="D220" s="86" t="s">
        <v>7</v>
      </c>
    </row>
    <row r="221" spans="1:4" x14ac:dyDescent="0.35">
      <c r="A221" s="88" t="s">
        <v>169</v>
      </c>
      <c r="B221" s="89"/>
      <c r="C221" s="89"/>
      <c r="D221" s="87">
        <v>1</v>
      </c>
    </row>
    <row r="222" spans="1:4" x14ac:dyDescent="0.35">
      <c r="A222" s="88" t="s">
        <v>170</v>
      </c>
      <c r="B222" s="89"/>
      <c r="C222" s="89"/>
      <c r="D222" s="87">
        <v>2</v>
      </c>
    </row>
    <row r="223" spans="1:4" ht="29" x14ac:dyDescent="0.35">
      <c r="A223" s="88" t="s">
        <v>171</v>
      </c>
      <c r="B223" s="89"/>
      <c r="C223" s="89"/>
      <c r="D223" s="87">
        <v>3</v>
      </c>
    </row>
    <row r="224" spans="1:4" ht="29" x14ac:dyDescent="0.35">
      <c r="A224" s="88" t="s">
        <v>172</v>
      </c>
      <c r="B224" s="89"/>
      <c r="C224" s="89"/>
      <c r="D224" s="87">
        <v>4</v>
      </c>
    </row>
    <row r="225" spans="1:9" x14ac:dyDescent="0.35">
      <c r="A225" s="88" t="s">
        <v>173</v>
      </c>
      <c r="B225" s="89"/>
      <c r="C225" s="89"/>
      <c r="D225" s="87">
        <v>5</v>
      </c>
    </row>
    <row r="226" spans="1:9" x14ac:dyDescent="0.35">
      <c r="A226" s="88"/>
      <c r="B226" s="89"/>
      <c r="C226" s="89"/>
      <c r="D226" s="87"/>
    </row>
    <row r="227" spans="1:9" ht="29" x14ac:dyDescent="0.35">
      <c r="A227" s="94" t="s">
        <v>174</v>
      </c>
      <c r="B227" s="108" t="s">
        <v>5</v>
      </c>
      <c r="C227" s="108" t="s">
        <v>6</v>
      </c>
      <c r="D227" s="86" t="s">
        <v>7</v>
      </c>
    </row>
    <row r="228" spans="1:9" x14ac:dyDescent="0.35">
      <c r="A228" s="88" t="s">
        <v>175</v>
      </c>
      <c r="B228" s="89"/>
      <c r="C228" s="89"/>
      <c r="D228" s="87">
        <v>1</v>
      </c>
    </row>
    <row r="229" spans="1:9" ht="29" x14ac:dyDescent="0.35">
      <c r="A229" s="88" t="s">
        <v>176</v>
      </c>
      <c r="B229" s="89"/>
      <c r="C229" s="89"/>
      <c r="D229" s="87">
        <v>2</v>
      </c>
    </row>
    <row r="230" spans="1:9" x14ac:dyDescent="0.35">
      <c r="A230" s="88" t="s">
        <v>177</v>
      </c>
      <c r="B230" s="89"/>
      <c r="C230" s="89"/>
      <c r="D230" s="87">
        <v>3</v>
      </c>
    </row>
    <row r="231" spans="1:9" x14ac:dyDescent="0.35">
      <c r="A231" s="88" t="s">
        <v>178</v>
      </c>
      <c r="B231" s="89"/>
      <c r="C231" s="89"/>
      <c r="D231" s="87">
        <v>4</v>
      </c>
    </row>
    <row r="232" spans="1:9" x14ac:dyDescent="0.35">
      <c r="A232" s="88" t="s">
        <v>179</v>
      </c>
      <c r="B232" s="89"/>
      <c r="C232" s="89"/>
      <c r="D232" s="87">
        <v>5</v>
      </c>
    </row>
    <row r="233" spans="1:9" x14ac:dyDescent="0.35">
      <c r="A233" s="88"/>
      <c r="B233" s="89"/>
      <c r="C233" s="89"/>
      <c r="D233" s="87"/>
    </row>
    <row r="234" spans="1:9" ht="29" x14ac:dyDescent="0.35">
      <c r="A234" s="94" t="s">
        <v>180</v>
      </c>
      <c r="B234" s="108" t="s">
        <v>5</v>
      </c>
      <c r="C234" s="108" t="s">
        <v>6</v>
      </c>
      <c r="D234" s="86" t="s">
        <v>7</v>
      </c>
    </row>
    <row r="235" spans="1:9" x14ac:dyDescent="0.35">
      <c r="A235" s="109" t="s">
        <v>169</v>
      </c>
      <c r="B235" s="89"/>
      <c r="C235" s="89"/>
      <c r="D235" s="87">
        <v>1</v>
      </c>
    </row>
    <row r="236" spans="1:9" x14ac:dyDescent="0.35">
      <c r="A236" s="88" t="s">
        <v>181</v>
      </c>
      <c r="B236" s="89"/>
      <c r="C236" s="89"/>
      <c r="D236" s="87">
        <v>2</v>
      </c>
    </row>
    <row r="237" spans="1:9" ht="29" x14ac:dyDescent="0.35">
      <c r="A237" s="88" t="s">
        <v>182</v>
      </c>
      <c r="B237" s="89"/>
      <c r="C237" s="89"/>
      <c r="D237" s="87">
        <v>3</v>
      </c>
    </row>
    <row r="238" spans="1:9" ht="29" x14ac:dyDescent="0.35">
      <c r="A238" s="88" t="s">
        <v>183</v>
      </c>
      <c r="B238" s="89"/>
      <c r="C238" s="89"/>
      <c r="D238" s="87">
        <v>4</v>
      </c>
      <c r="I238" s="102"/>
    </row>
    <row r="239" spans="1:9" x14ac:dyDescent="0.35">
      <c r="A239" s="88" t="s">
        <v>184</v>
      </c>
      <c r="B239" s="89"/>
      <c r="C239" s="89"/>
      <c r="D239" s="87">
        <v>5</v>
      </c>
    </row>
    <row r="240" spans="1:9" x14ac:dyDescent="0.35">
      <c r="A240" s="88"/>
      <c r="B240" s="89"/>
      <c r="C240" s="89"/>
      <c r="D240" s="87"/>
    </row>
    <row r="241" spans="1:4" ht="29" x14ac:dyDescent="0.35">
      <c r="A241" s="94" t="s">
        <v>185</v>
      </c>
      <c r="B241" s="108" t="s">
        <v>5</v>
      </c>
      <c r="C241" s="108" t="s">
        <v>6</v>
      </c>
      <c r="D241" s="86" t="s">
        <v>7</v>
      </c>
    </row>
    <row r="242" spans="1:4" x14ac:dyDescent="0.35">
      <c r="A242" s="88" t="s">
        <v>186</v>
      </c>
      <c r="B242" s="89"/>
      <c r="C242" s="89"/>
      <c r="D242" s="87">
        <v>1</v>
      </c>
    </row>
    <row r="243" spans="1:4" x14ac:dyDescent="0.35">
      <c r="A243" s="88" t="s">
        <v>187</v>
      </c>
      <c r="B243" s="89"/>
      <c r="C243" s="89"/>
      <c r="D243" s="87">
        <v>2</v>
      </c>
    </row>
    <row r="244" spans="1:4" ht="29" x14ac:dyDescent="0.35">
      <c r="A244" s="88" t="s">
        <v>188</v>
      </c>
      <c r="B244" s="89"/>
      <c r="C244" s="89"/>
      <c r="D244" s="87">
        <v>3</v>
      </c>
    </row>
    <row r="245" spans="1:4" ht="29" x14ac:dyDescent="0.35">
      <c r="A245" s="88" t="s">
        <v>189</v>
      </c>
      <c r="B245" s="89"/>
      <c r="C245" s="89"/>
      <c r="D245" s="87">
        <v>4</v>
      </c>
    </row>
    <row r="246" spans="1:4" ht="29" x14ac:dyDescent="0.35">
      <c r="A246" s="88" t="s">
        <v>190</v>
      </c>
      <c r="B246" s="89"/>
      <c r="C246" s="89"/>
      <c r="D246" s="87">
        <v>5</v>
      </c>
    </row>
  </sheetData>
  <mergeCells count="3">
    <mergeCell ref="F3:M3"/>
    <mergeCell ref="B3:D3"/>
    <mergeCell ref="F4:M22"/>
  </mergeCells>
  <pageMargins left="0.7" right="0.7" top="0.75" bottom="0.75" header="0.3" footer="0.3"/>
  <pageSetup scale="6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E7C02-900F-4AD3-8FC2-27B5DAC4D4E3}">
  <dimension ref="A2:P2"/>
  <sheetViews>
    <sheetView showGridLines="0" zoomScale="90" zoomScaleNormal="90" workbookViewId="0"/>
  </sheetViews>
  <sheetFormatPr defaultColWidth="8.7265625" defaultRowHeight="14.5" x14ac:dyDescent="0.35"/>
  <cols>
    <col min="1" max="9" width="8.7265625" style="47"/>
    <col min="10" max="16" width="19.453125" style="48" customWidth="1"/>
    <col min="17" max="16384" width="8.7265625" style="47"/>
  </cols>
  <sheetData>
    <row r="2" spans="1:10" ht="21" x14ac:dyDescent="0.5">
      <c r="A2" s="46" t="s">
        <v>191</v>
      </c>
      <c r="J2" s="46" t="s">
        <v>192</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0CE82-04DE-4473-9F68-C9833F9ED966}">
  <sheetPr>
    <tabColor rgb="FFFF0000"/>
  </sheetPr>
  <dimension ref="A1:AK27"/>
  <sheetViews>
    <sheetView showGridLines="0" zoomScale="80" zoomScaleNormal="80" workbookViewId="0">
      <selection activeCell="AD8" sqref="AD8"/>
    </sheetView>
  </sheetViews>
  <sheetFormatPr defaultColWidth="8.7265625" defaultRowHeight="14.5" x14ac:dyDescent="0.35"/>
  <cols>
    <col min="1" max="1" width="8.7265625" bestFit="1" customWidth="1"/>
    <col min="2" max="2" width="25.7265625" customWidth="1"/>
    <col min="3" max="4" width="13.26953125" customWidth="1"/>
    <col min="5" max="13" width="6.453125" style="27" customWidth="1"/>
    <col min="14" max="16" width="6.453125" style="27" hidden="1" customWidth="1"/>
    <col min="17" max="21" width="6.453125" style="27" customWidth="1"/>
    <col min="22" max="22" width="6.453125" style="27" hidden="1" customWidth="1"/>
    <col min="23" max="37" width="6.453125" style="27" customWidth="1"/>
  </cols>
  <sheetData>
    <row r="1" spans="1:37" s="1" customFormat="1" ht="100.9" customHeight="1" x14ac:dyDescent="0.35">
      <c r="A1" s="34"/>
      <c r="B1" s="35"/>
      <c r="C1" s="35"/>
      <c r="D1" s="36"/>
      <c r="E1" s="37" t="s">
        <v>193</v>
      </c>
      <c r="F1" s="38" t="s">
        <v>193</v>
      </c>
      <c r="G1" s="38" t="s">
        <v>193</v>
      </c>
      <c r="H1" s="38" t="s">
        <v>193</v>
      </c>
      <c r="I1" s="39" t="s">
        <v>193</v>
      </c>
      <c r="J1" s="40" t="s">
        <v>193</v>
      </c>
      <c r="K1" s="37" t="s">
        <v>194</v>
      </c>
      <c r="L1" s="38" t="s">
        <v>194</v>
      </c>
      <c r="M1" s="38" t="s">
        <v>194</v>
      </c>
      <c r="N1" s="38" t="s">
        <v>194</v>
      </c>
      <c r="O1" s="39" t="s">
        <v>194</v>
      </c>
      <c r="P1" s="39" t="s">
        <v>194</v>
      </c>
      <c r="Q1" s="37" t="s">
        <v>195</v>
      </c>
      <c r="R1" s="38" t="s">
        <v>195</v>
      </c>
      <c r="S1" s="38" t="s">
        <v>195</v>
      </c>
      <c r="T1" s="38" t="s">
        <v>195</v>
      </c>
      <c r="U1" s="38" t="s">
        <v>195</v>
      </c>
      <c r="V1" s="39" t="s">
        <v>195</v>
      </c>
      <c r="W1" s="37" t="s">
        <v>196</v>
      </c>
      <c r="X1" s="38" t="s">
        <v>196</v>
      </c>
      <c r="Y1" s="38" t="s">
        <v>196</v>
      </c>
      <c r="Z1" s="38" t="s">
        <v>196</v>
      </c>
      <c r="AA1" s="39" t="s">
        <v>196</v>
      </c>
      <c r="AB1" s="37" t="s">
        <v>197</v>
      </c>
      <c r="AC1" s="38" t="s">
        <v>197</v>
      </c>
      <c r="AD1" s="38" t="s">
        <v>197</v>
      </c>
      <c r="AE1" s="38" t="s">
        <v>197</v>
      </c>
      <c r="AF1" s="40" t="s">
        <v>197</v>
      </c>
      <c r="AG1" s="41" t="s">
        <v>198</v>
      </c>
      <c r="AH1" s="38" t="s">
        <v>198</v>
      </c>
      <c r="AI1" s="38" t="s">
        <v>198</v>
      </c>
      <c r="AJ1" s="38" t="s">
        <v>198</v>
      </c>
      <c r="AK1" s="40" t="s">
        <v>198</v>
      </c>
    </row>
    <row r="2" spans="1:37" s="1" customFormat="1" ht="150.4" customHeight="1" x14ac:dyDescent="0.35">
      <c r="A2" s="8"/>
      <c r="B2" s="9"/>
      <c r="C2" s="9"/>
      <c r="D2" s="10"/>
      <c r="E2" s="11" t="s">
        <v>15</v>
      </c>
      <c r="F2" s="12" t="s">
        <v>21</v>
      </c>
      <c r="G2" s="12" t="s">
        <v>27</v>
      </c>
      <c r="H2" s="12" t="s">
        <v>33</v>
      </c>
      <c r="I2" s="15" t="s">
        <v>39</v>
      </c>
      <c r="J2" s="13" t="s">
        <v>45</v>
      </c>
      <c r="K2" s="11" t="s">
        <v>52</v>
      </c>
      <c r="L2" s="12" t="s">
        <v>199</v>
      </c>
      <c r="M2" s="12" t="s">
        <v>64</v>
      </c>
      <c r="N2" s="118"/>
      <c r="O2" s="119"/>
      <c r="P2" s="119"/>
      <c r="Q2" s="11" t="s">
        <v>71</v>
      </c>
      <c r="R2" s="12" t="s">
        <v>200</v>
      </c>
      <c r="S2" s="12" t="s">
        <v>201</v>
      </c>
      <c r="T2" s="12" t="s">
        <v>88</v>
      </c>
      <c r="U2" s="15" t="s">
        <v>94</v>
      </c>
      <c r="V2" s="119"/>
      <c r="W2" s="11" t="s">
        <v>101</v>
      </c>
      <c r="X2" s="12" t="s">
        <v>106</v>
      </c>
      <c r="Y2" s="12" t="s">
        <v>112</v>
      </c>
      <c r="Z2" s="12" t="s">
        <v>202</v>
      </c>
      <c r="AA2" s="15" t="s">
        <v>203</v>
      </c>
      <c r="AB2" s="11" t="s">
        <v>204</v>
      </c>
      <c r="AC2" s="12" t="s">
        <v>136</v>
      </c>
      <c r="AD2" s="12" t="s">
        <v>142</v>
      </c>
      <c r="AE2" s="12" t="s">
        <v>205</v>
      </c>
      <c r="AF2" s="13" t="s">
        <v>154</v>
      </c>
      <c r="AG2" s="14" t="s">
        <v>162</v>
      </c>
      <c r="AH2" s="12" t="s">
        <v>168</v>
      </c>
      <c r="AI2" s="12" t="s">
        <v>174</v>
      </c>
      <c r="AJ2" s="12" t="s">
        <v>180</v>
      </c>
      <c r="AK2" s="13" t="s">
        <v>206</v>
      </c>
    </row>
    <row r="3" spans="1:37" x14ac:dyDescent="0.35">
      <c r="A3" s="6" t="s">
        <v>207</v>
      </c>
      <c r="B3" s="2" t="s">
        <v>208</v>
      </c>
      <c r="C3" s="2" t="s">
        <v>209</v>
      </c>
      <c r="D3" s="3" t="s">
        <v>210</v>
      </c>
      <c r="E3" s="16">
        <v>1</v>
      </c>
      <c r="F3" s="17">
        <v>2</v>
      </c>
      <c r="G3" s="17">
        <v>3</v>
      </c>
      <c r="H3" s="17">
        <v>4</v>
      </c>
      <c r="I3" s="20">
        <v>5</v>
      </c>
      <c r="J3" s="18">
        <v>6</v>
      </c>
      <c r="K3" s="16">
        <v>1</v>
      </c>
      <c r="L3" s="17">
        <v>2</v>
      </c>
      <c r="M3" s="17">
        <v>3</v>
      </c>
      <c r="N3" s="120">
        <v>4</v>
      </c>
      <c r="O3" s="121">
        <v>5</v>
      </c>
      <c r="P3" s="121">
        <v>6</v>
      </c>
      <c r="Q3" s="16">
        <v>1</v>
      </c>
      <c r="R3" s="17">
        <v>2</v>
      </c>
      <c r="S3" s="17">
        <v>3</v>
      </c>
      <c r="T3" s="17">
        <v>4</v>
      </c>
      <c r="U3" s="20">
        <v>5</v>
      </c>
      <c r="V3" s="121">
        <v>6</v>
      </c>
      <c r="W3" s="16">
        <v>1</v>
      </c>
      <c r="X3" s="17">
        <v>2</v>
      </c>
      <c r="Y3" s="17">
        <v>3</v>
      </c>
      <c r="Z3" s="17">
        <v>4</v>
      </c>
      <c r="AA3" s="20">
        <v>5</v>
      </c>
      <c r="AB3" s="16">
        <v>1</v>
      </c>
      <c r="AC3" s="17">
        <v>2</v>
      </c>
      <c r="AD3" s="17">
        <v>3</v>
      </c>
      <c r="AE3" s="17">
        <v>4</v>
      </c>
      <c r="AF3" s="18">
        <v>5</v>
      </c>
      <c r="AG3" s="19">
        <v>1</v>
      </c>
      <c r="AH3" s="17">
        <v>2</v>
      </c>
      <c r="AI3" s="17">
        <v>3</v>
      </c>
      <c r="AJ3" s="17">
        <v>4</v>
      </c>
      <c r="AK3" s="18">
        <v>5</v>
      </c>
    </row>
    <row r="4" spans="1:37" x14ac:dyDescent="0.35">
      <c r="A4" s="32" t="s">
        <v>211</v>
      </c>
      <c r="B4" s="5"/>
      <c r="C4" s="5"/>
      <c r="D4" s="5"/>
      <c r="E4" s="21"/>
      <c r="F4" s="22"/>
      <c r="G4" s="22"/>
      <c r="H4" s="22"/>
      <c r="I4" s="22"/>
      <c r="J4" s="23"/>
      <c r="K4" s="21"/>
      <c r="L4" s="22"/>
      <c r="M4" s="22"/>
      <c r="N4" s="122"/>
      <c r="O4" s="122"/>
      <c r="P4" s="122"/>
      <c r="Q4" s="21"/>
      <c r="R4" s="22"/>
      <c r="S4" s="22"/>
      <c r="T4" s="22"/>
      <c r="U4" s="22"/>
      <c r="V4" s="122"/>
      <c r="W4" s="21"/>
      <c r="X4" s="22"/>
      <c r="Y4" s="22"/>
      <c r="Z4" s="22"/>
      <c r="AA4" s="22"/>
      <c r="AB4" s="21"/>
      <c r="AC4" s="22"/>
      <c r="AD4" s="22"/>
      <c r="AE4" s="22"/>
      <c r="AF4" s="23"/>
      <c r="AG4" s="22"/>
      <c r="AH4" s="22"/>
      <c r="AI4" s="22"/>
      <c r="AJ4" s="22"/>
      <c r="AK4" s="23"/>
    </row>
    <row r="5" spans="1:37" x14ac:dyDescent="0.35">
      <c r="A5" s="6">
        <v>1</v>
      </c>
      <c r="B5" s="33" t="s">
        <v>212</v>
      </c>
      <c r="C5" s="2"/>
      <c r="D5" s="3"/>
      <c r="E5" s="42" t="e">
        <f>SUM(Vragenlijst!$B13:$B17)/COUNT(Vragenlijst!$B13:$B17)</f>
        <v>#DIV/0!</v>
      </c>
      <c r="F5" s="43" t="e">
        <f>SUM(Vragenlijst!$B20:$B24)/COUNT(Vragenlijst!$B20:$B24)</f>
        <v>#DIV/0!</v>
      </c>
      <c r="G5" s="43" t="e">
        <f>SUM(Vragenlijst!$B27:$B31)/COUNT(Vragenlijst!$B27:$B31)</f>
        <v>#DIV/0!</v>
      </c>
      <c r="H5" s="43" t="e">
        <f>SUM(Vragenlijst!$B34:$B38)/COUNT(Vragenlijst!$B34:$B38)</f>
        <v>#DIV/0!</v>
      </c>
      <c r="I5" s="43" t="e">
        <f>SUM(Vragenlijst!$B41:$B45)/COUNT(Vragenlijst!$B41:$B45)</f>
        <v>#DIV/0!</v>
      </c>
      <c r="J5" s="44" t="e">
        <f>SUM(Vragenlijst!$B48:$B52)/COUNT(Vragenlijst!$B48:$B52)</f>
        <v>#DIV/0!</v>
      </c>
      <c r="K5" s="42" t="e">
        <f>SUM(Vragenlijst!$B56:$B60)/COUNT(Vragenlijst!$B56:$B60)</f>
        <v>#DIV/0!</v>
      </c>
      <c r="L5" s="43" t="e">
        <f>SUM(Vragenlijst!$B63:$B67)/COUNT(Vragenlijst!$B63:$B67)</f>
        <v>#DIV/0!</v>
      </c>
      <c r="M5" s="45" t="e">
        <f>SUM(Vragenlijst!$B70:$B74)/COUNT(Vragenlijst!$B70:$B74)</f>
        <v>#DIV/0!</v>
      </c>
      <c r="N5" s="123" t="e">
        <f>SUM(Vragenlijst!$B77:$B81)/COUNT(Vragenlijst!$B77:$B81)</f>
        <v>#DIV/0!</v>
      </c>
      <c r="O5" s="124" t="e">
        <f>SUM(Vragenlijst!$B84:$B88)/COUNT(Vragenlijst!$B84:$B88)</f>
        <v>#DIV/0!</v>
      </c>
      <c r="P5" s="124" t="e">
        <f>SUM(Vragenlijst!$B91:$B95)/COUNT(Vragenlijst!$B91:$B95)</f>
        <v>#DIV/0!</v>
      </c>
      <c r="Q5" s="42" t="e">
        <f>SUM(Vragenlijst!$B99:$B103)/COUNT(Vragenlijst!$B99:$B103)</f>
        <v>#DIV/0!</v>
      </c>
      <c r="R5" s="43" t="e">
        <f>SUM(Vragenlijst!$B106:$B110)/COUNT(Vragenlijst!$B106:$B110)</f>
        <v>#DIV/0!</v>
      </c>
      <c r="S5" s="43" t="e">
        <f>SUM(Vragenlijst!$B113:$B117)/COUNT(Vragenlijst!$B113:$B117)</f>
        <v>#DIV/0!</v>
      </c>
      <c r="T5" s="43" t="e">
        <f>SUM(Vragenlijst!$B120:$B124)/COUNT(Vragenlijst!$B120:$B124)</f>
        <v>#DIV/0!</v>
      </c>
      <c r="U5" s="43" t="e">
        <f>SUM(Vragenlijst!$B127:$B131)/COUNT(Vragenlijst!$B127:$B131)</f>
        <v>#DIV/0!</v>
      </c>
      <c r="V5" s="125" t="e">
        <f>SUM(Vragenlijst!$B134:$B138)/COUNT(Vragenlijst!$B134:$B138)</f>
        <v>#DIV/0!</v>
      </c>
      <c r="W5" s="42" t="e">
        <f>SUM(Vragenlijst!$B142:$B146)/COUNT(Vragenlijst!$B142:$B146)</f>
        <v>#DIV/0!</v>
      </c>
      <c r="X5" s="43" t="e">
        <f>SUM(Vragenlijst!$B149:$B153)/COUNT(Vragenlijst!$B149:$B153)</f>
        <v>#DIV/0!</v>
      </c>
      <c r="Y5" s="43" t="e">
        <f>SUM(Vragenlijst!$B156:$B160)/COUNT(Vragenlijst!$B156:$B160)</f>
        <v>#DIV/0!</v>
      </c>
      <c r="Z5" s="43" t="e">
        <f>SUM(Vragenlijst!$B163:$B167)/COUNT(Vragenlijst!$B163:$B167)</f>
        <v>#DIV/0!</v>
      </c>
      <c r="AA5" s="134" t="e">
        <f>SUM(Vragenlijst!$B170:$B174)/COUNT(Vragenlijst!$B170:$B174)</f>
        <v>#DIV/0!</v>
      </c>
      <c r="AB5" s="42" t="e">
        <f>SUM(Vragenlijst!$B178:$B182)/COUNT(Vragenlijst!$B178:$B182)</f>
        <v>#DIV/0!</v>
      </c>
      <c r="AC5" s="43" t="e">
        <f>SUM(Vragenlijst!$B185:$B189)/COUNT(Vragenlijst!$B185:$B189)</f>
        <v>#DIV/0!</v>
      </c>
      <c r="AD5" s="43" t="e">
        <f>SUM(Vragenlijst!$B192:$B196)/COUNT(Vragenlijst!$B192:$B196)</f>
        <v>#DIV/0!</v>
      </c>
      <c r="AE5" s="43" t="e">
        <f>SUM(Vragenlijst!$B199:$B203)/COUNT(Vragenlijst!$B199:$B203)</f>
        <v>#DIV/0!</v>
      </c>
      <c r="AF5" s="44" t="e">
        <f>SUM(Vragenlijst!$B206:$B210)/COUNT(Vragenlijst!$B206:$B210)</f>
        <v>#DIV/0!</v>
      </c>
      <c r="AG5" s="42" t="e">
        <f>SUM(Vragenlijst!$B214:$B218)/COUNT(Vragenlijst!$B214:$B218)</f>
        <v>#DIV/0!</v>
      </c>
      <c r="AH5" s="43" t="e">
        <f>SUM(Vragenlijst!$B221:$B225)/COUNT(Vragenlijst!$B221:$B225)</f>
        <v>#DIV/0!</v>
      </c>
      <c r="AI5" s="43" t="e">
        <f>SUM(Vragenlijst!$B228:$B232)/COUNT(Vragenlijst!$B228:$B232)</f>
        <v>#DIV/0!</v>
      </c>
      <c r="AJ5" s="43" t="e">
        <f>SUM(Vragenlijst!$B235:$B239)/COUNT(Vragenlijst!$B235:$B239)</f>
        <v>#DIV/0!</v>
      </c>
      <c r="AK5" s="44" t="e">
        <f>SUM(Vragenlijst!$B242:$B246)/COUNT(Vragenlijst!$B242:$B246)</f>
        <v>#DIV/0!</v>
      </c>
    </row>
    <row r="6" spans="1:37" x14ac:dyDescent="0.35">
      <c r="A6" s="6">
        <v>2</v>
      </c>
      <c r="B6" s="28" t="s">
        <v>213</v>
      </c>
      <c r="C6" s="2"/>
      <c r="D6" s="3"/>
      <c r="E6" s="24"/>
      <c r="F6" s="25"/>
      <c r="G6" s="25"/>
      <c r="H6" s="25"/>
      <c r="I6" s="29"/>
      <c r="J6" s="26"/>
      <c r="K6" s="24"/>
      <c r="L6" s="29"/>
      <c r="M6" s="31"/>
      <c r="N6" s="126"/>
      <c r="O6" s="127"/>
      <c r="P6" s="128"/>
      <c r="Q6" s="24"/>
      <c r="R6" s="25"/>
      <c r="S6" s="25"/>
      <c r="T6" s="25"/>
      <c r="U6" s="29"/>
      <c r="V6" s="128"/>
      <c r="W6" s="24"/>
      <c r="X6" s="25"/>
      <c r="Y6" s="25"/>
      <c r="Z6" s="25"/>
      <c r="AA6" s="29"/>
      <c r="AB6" s="24"/>
      <c r="AC6" s="25"/>
      <c r="AD6" s="25"/>
      <c r="AE6" s="25"/>
      <c r="AF6" s="26"/>
      <c r="AG6" s="24"/>
      <c r="AH6" s="25"/>
      <c r="AI6" s="25"/>
      <c r="AJ6" s="25"/>
      <c r="AK6" s="26"/>
    </row>
    <row r="7" spans="1:37" x14ac:dyDescent="0.35">
      <c r="A7" s="6">
        <v>3</v>
      </c>
      <c r="B7" s="28" t="s">
        <v>214</v>
      </c>
      <c r="C7" s="2"/>
      <c r="D7" s="3"/>
      <c r="E7" s="24"/>
      <c r="F7" s="25"/>
      <c r="G7" s="25"/>
      <c r="H7" s="25"/>
      <c r="I7" s="29"/>
      <c r="J7" s="26"/>
      <c r="K7" s="24"/>
      <c r="L7" s="25"/>
      <c r="M7" s="31"/>
      <c r="N7" s="129"/>
      <c r="O7" s="130"/>
      <c r="P7" s="128"/>
      <c r="Q7" s="24"/>
      <c r="R7" s="25"/>
      <c r="S7" s="25"/>
      <c r="T7" s="25"/>
      <c r="U7" s="29"/>
      <c r="V7" s="128"/>
      <c r="W7" s="24"/>
      <c r="X7" s="25"/>
      <c r="Y7" s="25"/>
      <c r="Z7" s="25"/>
      <c r="AA7" s="25"/>
      <c r="AB7" s="24"/>
      <c r="AC7" s="25"/>
      <c r="AD7" s="25"/>
      <c r="AE7" s="25"/>
      <c r="AF7" s="26"/>
      <c r="AG7" s="24"/>
      <c r="AH7" s="25"/>
      <c r="AI7" s="25"/>
      <c r="AJ7" s="25"/>
      <c r="AK7" s="26"/>
    </row>
    <row r="8" spans="1:37" x14ac:dyDescent="0.35">
      <c r="A8" s="6">
        <v>4</v>
      </c>
      <c r="B8" s="2"/>
      <c r="C8" s="2"/>
      <c r="D8" s="3"/>
      <c r="E8" s="24"/>
      <c r="F8" s="25"/>
      <c r="G8" s="25"/>
      <c r="H8" s="25"/>
      <c r="I8" s="29"/>
      <c r="J8" s="30"/>
      <c r="K8" s="24"/>
      <c r="L8" s="25"/>
      <c r="M8" s="31"/>
      <c r="N8" s="129"/>
      <c r="O8" s="130"/>
      <c r="P8" s="131"/>
      <c r="Q8" s="24"/>
      <c r="R8" s="25"/>
      <c r="S8" s="25"/>
      <c r="T8" s="25"/>
      <c r="U8" s="29"/>
      <c r="V8" s="128"/>
      <c r="W8" s="24"/>
      <c r="X8" s="25"/>
      <c r="Y8" s="25"/>
      <c r="Z8" s="25"/>
      <c r="AA8" s="25"/>
      <c r="AB8" s="24"/>
      <c r="AC8" s="25"/>
      <c r="AD8" s="25"/>
      <c r="AE8" s="25"/>
      <c r="AF8" s="26"/>
      <c r="AG8" s="24"/>
      <c r="AH8" s="25"/>
      <c r="AI8" s="25"/>
      <c r="AJ8" s="25"/>
      <c r="AK8" s="26"/>
    </row>
    <row r="9" spans="1:37" x14ac:dyDescent="0.35">
      <c r="A9" s="6">
        <v>5</v>
      </c>
      <c r="B9" s="3"/>
      <c r="C9" s="3"/>
      <c r="D9" s="3"/>
      <c r="E9" s="24"/>
      <c r="F9" s="25"/>
      <c r="G9" s="25"/>
      <c r="H9" s="25"/>
      <c r="I9" s="29"/>
      <c r="J9" s="26"/>
      <c r="K9" s="24"/>
      <c r="L9" s="25"/>
      <c r="M9" s="31"/>
      <c r="N9" s="129"/>
      <c r="O9" s="130"/>
      <c r="P9" s="131"/>
      <c r="Q9" s="24"/>
      <c r="R9" s="25"/>
      <c r="S9" s="25"/>
      <c r="T9" s="25"/>
      <c r="U9" s="29"/>
      <c r="V9" s="128"/>
      <c r="W9" s="24"/>
      <c r="X9" s="25"/>
      <c r="Y9" s="25"/>
      <c r="Z9" s="25"/>
      <c r="AA9" s="25"/>
      <c r="AB9" s="24"/>
      <c r="AC9" s="25"/>
      <c r="AD9" s="25"/>
      <c r="AE9" s="25"/>
      <c r="AF9" s="26"/>
      <c r="AG9" s="24"/>
      <c r="AH9" s="25"/>
      <c r="AI9" s="25"/>
      <c r="AJ9" s="25"/>
      <c r="AK9" s="26"/>
    </row>
    <row r="10" spans="1:37" x14ac:dyDescent="0.35">
      <c r="A10" s="6">
        <v>6</v>
      </c>
      <c r="B10" s="2"/>
      <c r="C10" s="2"/>
      <c r="D10" s="3"/>
      <c r="E10" s="24"/>
      <c r="F10" s="25"/>
      <c r="G10" s="25"/>
      <c r="J10" s="26"/>
      <c r="K10" s="24"/>
      <c r="L10" s="25"/>
      <c r="M10" s="31"/>
      <c r="N10" s="129"/>
      <c r="O10" s="130"/>
      <c r="P10" s="131"/>
      <c r="Q10" s="24"/>
      <c r="R10" s="25"/>
      <c r="S10" s="25"/>
      <c r="T10" s="25"/>
      <c r="U10" s="29"/>
      <c r="V10" s="128"/>
      <c r="W10" s="24"/>
      <c r="X10" s="25"/>
      <c r="Y10" s="25"/>
      <c r="Z10" s="25"/>
      <c r="AA10" s="25"/>
      <c r="AB10" s="24"/>
      <c r="AC10" s="25"/>
      <c r="AD10" s="25"/>
      <c r="AE10" s="25"/>
      <c r="AF10" s="26"/>
      <c r="AG10" s="24"/>
      <c r="AH10" s="25"/>
      <c r="AI10" s="25"/>
      <c r="AJ10" s="25"/>
      <c r="AK10" s="26"/>
    </row>
    <row r="11" spans="1:37" x14ac:dyDescent="0.35">
      <c r="A11" s="6">
        <v>7</v>
      </c>
      <c r="B11" s="2"/>
      <c r="C11" s="2"/>
      <c r="D11" s="3"/>
      <c r="E11" s="24"/>
      <c r="F11" s="25"/>
      <c r="G11" s="25"/>
      <c r="H11" s="25"/>
      <c r="I11" s="29"/>
      <c r="J11" s="26"/>
      <c r="K11" s="24"/>
      <c r="L11" s="25"/>
      <c r="M11" s="31"/>
      <c r="N11" s="129"/>
      <c r="O11" s="130"/>
      <c r="P11" s="131"/>
      <c r="Q11" s="24"/>
      <c r="R11" s="25"/>
      <c r="S11" s="25"/>
      <c r="T11" s="25"/>
      <c r="U11" s="29"/>
      <c r="V11" s="128"/>
      <c r="W11" s="24"/>
      <c r="X11" s="25"/>
      <c r="Y11" s="25"/>
      <c r="Z11" s="25"/>
      <c r="AA11" s="25"/>
      <c r="AB11" s="24"/>
      <c r="AC11" s="25"/>
      <c r="AD11" s="25"/>
      <c r="AE11" s="25"/>
      <c r="AF11" s="26"/>
      <c r="AG11" s="24"/>
      <c r="AH11" s="25"/>
      <c r="AI11" s="25"/>
      <c r="AJ11" s="25"/>
      <c r="AK11" s="26"/>
    </row>
    <row r="12" spans="1:37" x14ac:dyDescent="0.35">
      <c r="A12" s="6">
        <v>8</v>
      </c>
      <c r="B12" s="2"/>
      <c r="C12" s="2"/>
      <c r="D12" s="3"/>
      <c r="E12" s="24"/>
      <c r="F12" s="25"/>
      <c r="G12" s="25"/>
      <c r="H12" s="25"/>
      <c r="I12" s="29"/>
      <c r="J12" s="26"/>
      <c r="K12" s="24"/>
      <c r="L12" s="25"/>
      <c r="M12" s="31"/>
      <c r="N12" s="129"/>
      <c r="O12" s="130"/>
      <c r="P12" s="131"/>
      <c r="Q12" s="24"/>
      <c r="R12" s="25"/>
      <c r="S12" s="25"/>
      <c r="T12" s="25"/>
      <c r="U12" s="29"/>
      <c r="V12" s="128"/>
      <c r="W12" s="24"/>
      <c r="X12" s="25"/>
      <c r="Y12" s="25"/>
      <c r="Z12" s="25"/>
      <c r="AA12" s="25"/>
      <c r="AB12" s="24"/>
      <c r="AC12" s="25"/>
      <c r="AD12" s="25"/>
      <c r="AE12" s="31"/>
      <c r="AF12" s="26"/>
      <c r="AG12" s="24"/>
      <c r="AH12" s="25"/>
      <c r="AI12" s="25"/>
      <c r="AJ12" s="31"/>
      <c r="AK12" s="26"/>
    </row>
    <row r="13" spans="1:37" x14ac:dyDescent="0.35">
      <c r="A13" s="6">
        <v>9</v>
      </c>
      <c r="B13" s="2"/>
      <c r="C13" s="2"/>
      <c r="D13" s="3"/>
      <c r="E13" s="24"/>
      <c r="F13" s="25"/>
      <c r="G13" s="25"/>
      <c r="H13" s="25"/>
      <c r="I13" s="29"/>
      <c r="J13" s="26"/>
      <c r="K13" s="24"/>
      <c r="L13" s="25"/>
      <c r="M13" s="31"/>
      <c r="N13" s="129"/>
      <c r="O13" s="130"/>
      <c r="P13" s="131"/>
      <c r="Q13" s="24"/>
      <c r="R13" s="25"/>
      <c r="S13" s="25"/>
      <c r="T13" s="25"/>
      <c r="U13" s="29"/>
      <c r="V13" s="128"/>
      <c r="W13" s="24"/>
      <c r="X13" s="25"/>
      <c r="Y13" s="25"/>
      <c r="Z13" s="25"/>
      <c r="AA13" s="25"/>
      <c r="AB13" s="24"/>
      <c r="AC13" s="25"/>
      <c r="AD13" s="25"/>
      <c r="AE13" s="25"/>
      <c r="AF13" s="26"/>
      <c r="AG13" s="24"/>
      <c r="AH13" s="25"/>
      <c r="AI13" s="25"/>
      <c r="AJ13" s="25"/>
      <c r="AK13" s="26"/>
    </row>
    <row r="14" spans="1:37" x14ac:dyDescent="0.35">
      <c r="A14" s="6">
        <v>10</v>
      </c>
      <c r="B14" s="2"/>
      <c r="C14" s="2"/>
      <c r="D14" s="3"/>
      <c r="E14" s="24"/>
      <c r="F14" s="25"/>
      <c r="G14" s="25"/>
      <c r="H14" s="25"/>
      <c r="I14" s="29"/>
      <c r="J14" s="26"/>
      <c r="K14" s="24"/>
      <c r="L14" s="25"/>
      <c r="M14" s="31"/>
      <c r="N14" s="129"/>
      <c r="O14" s="130"/>
      <c r="P14" s="131"/>
      <c r="Q14" s="24"/>
      <c r="R14" s="25"/>
      <c r="S14" s="25"/>
      <c r="T14" s="25"/>
      <c r="U14" s="29"/>
      <c r="V14" s="128"/>
      <c r="W14" s="24"/>
      <c r="X14" s="25"/>
      <c r="Y14" s="25"/>
      <c r="Z14" s="25"/>
      <c r="AA14" s="25"/>
      <c r="AB14" s="24"/>
      <c r="AC14" s="25"/>
      <c r="AD14" s="25"/>
      <c r="AE14" s="25"/>
      <c r="AF14" s="26"/>
      <c r="AG14" s="24"/>
      <c r="AH14" s="25"/>
      <c r="AI14" s="25"/>
      <c r="AJ14" s="25"/>
      <c r="AK14" s="26"/>
    </row>
    <row r="15" spans="1:37" x14ac:dyDescent="0.35">
      <c r="A15" s="7"/>
      <c r="C15" s="4"/>
      <c r="N15" s="132"/>
      <c r="O15" s="132"/>
      <c r="P15" s="132"/>
      <c r="V15" s="132"/>
    </row>
    <row r="16" spans="1:37" x14ac:dyDescent="0.35">
      <c r="A16" s="32" t="s">
        <v>215</v>
      </c>
      <c r="B16" s="5"/>
      <c r="C16" s="5"/>
      <c r="D16" s="5"/>
      <c r="E16" s="21"/>
      <c r="F16" s="22"/>
      <c r="G16" s="22"/>
      <c r="H16" s="22"/>
      <c r="I16" s="22"/>
      <c r="J16" s="23"/>
      <c r="K16" s="21"/>
      <c r="L16" s="22"/>
      <c r="M16" s="22"/>
      <c r="N16" s="122"/>
      <c r="O16" s="122"/>
      <c r="P16" s="122"/>
      <c r="Q16" s="21"/>
      <c r="R16" s="22"/>
      <c r="S16" s="22"/>
      <c r="T16" s="22"/>
      <c r="U16" s="22"/>
      <c r="V16" s="122"/>
      <c r="W16" s="21"/>
      <c r="X16" s="22"/>
      <c r="Y16" s="22"/>
      <c r="Z16" s="22"/>
      <c r="AA16" s="22"/>
      <c r="AB16" s="22"/>
      <c r="AC16" s="22"/>
      <c r="AD16" s="22"/>
      <c r="AE16" s="22"/>
      <c r="AF16" s="23"/>
      <c r="AG16" s="22"/>
      <c r="AH16" s="22"/>
      <c r="AI16" s="22"/>
      <c r="AJ16" s="22"/>
      <c r="AK16" s="23"/>
    </row>
    <row r="17" spans="1:37" x14ac:dyDescent="0.35">
      <c r="A17" s="6" t="s">
        <v>207</v>
      </c>
      <c r="B17" s="2" t="s">
        <v>208</v>
      </c>
      <c r="C17" s="2" t="s">
        <v>209</v>
      </c>
      <c r="D17" s="3" t="s">
        <v>210</v>
      </c>
      <c r="E17" s="16">
        <v>1</v>
      </c>
      <c r="F17" s="17">
        <v>2</v>
      </c>
      <c r="G17" s="17">
        <v>3</v>
      </c>
      <c r="H17" s="17">
        <v>4</v>
      </c>
      <c r="I17" s="20">
        <v>5</v>
      </c>
      <c r="J17" s="18">
        <v>6</v>
      </c>
      <c r="K17" s="16">
        <v>1</v>
      </c>
      <c r="L17" s="17">
        <v>2</v>
      </c>
      <c r="M17" s="17">
        <v>3</v>
      </c>
      <c r="N17" s="120">
        <v>4</v>
      </c>
      <c r="O17" s="121">
        <v>5</v>
      </c>
      <c r="P17" s="121">
        <v>6</v>
      </c>
      <c r="Q17" s="16">
        <v>1</v>
      </c>
      <c r="R17" s="17">
        <v>2</v>
      </c>
      <c r="S17" s="17">
        <v>3</v>
      </c>
      <c r="T17" s="17">
        <v>4</v>
      </c>
      <c r="U17" s="20">
        <v>5</v>
      </c>
      <c r="V17" s="121">
        <v>6</v>
      </c>
      <c r="W17" s="16">
        <v>1</v>
      </c>
      <c r="X17" s="17">
        <v>2</v>
      </c>
      <c r="Y17" s="17">
        <v>3</v>
      </c>
      <c r="Z17" s="17">
        <v>4</v>
      </c>
      <c r="AA17" s="20">
        <v>5</v>
      </c>
      <c r="AB17" s="16">
        <v>1</v>
      </c>
      <c r="AC17" s="17">
        <v>2</v>
      </c>
      <c r="AD17" s="17">
        <v>3</v>
      </c>
      <c r="AE17" s="17">
        <v>4</v>
      </c>
      <c r="AF17" s="18">
        <v>5</v>
      </c>
      <c r="AG17" s="19">
        <v>1</v>
      </c>
      <c r="AH17" s="17">
        <v>2</v>
      </c>
      <c r="AI17" s="17">
        <v>3</v>
      </c>
      <c r="AJ17" s="17">
        <v>4</v>
      </c>
      <c r="AK17" s="18">
        <v>5</v>
      </c>
    </row>
    <row r="18" spans="1:37" x14ac:dyDescent="0.35">
      <c r="A18" s="6">
        <f t="shared" ref="A18:D27" si="0">A5</f>
        <v>1</v>
      </c>
      <c r="B18" s="33" t="str">
        <f t="shared" si="0"/>
        <v>Jijzelf (verplicht)</v>
      </c>
      <c r="C18" s="2">
        <f t="shared" si="0"/>
        <v>0</v>
      </c>
      <c r="D18" s="2">
        <f t="shared" si="0"/>
        <v>0</v>
      </c>
      <c r="E18" s="42" t="e">
        <f>SUM(Vragenlijst!$C13:$C17)/COUNT(Vragenlijst!$C13:$C17)</f>
        <v>#DIV/0!</v>
      </c>
      <c r="F18" s="43" t="e">
        <f>SUM(Vragenlijst!$C20:$C24)/COUNT(Vragenlijst!$C20:$C24)</f>
        <v>#DIV/0!</v>
      </c>
      <c r="G18" s="43" t="e">
        <f>SUM(Vragenlijst!$C27:$C31)/COUNT(Vragenlijst!$C27:$C31)</f>
        <v>#DIV/0!</v>
      </c>
      <c r="H18" s="43" t="e">
        <f>SUM(Vragenlijst!$C34:$C38)/COUNT(Vragenlijst!$C34:$C38)</f>
        <v>#DIV/0!</v>
      </c>
      <c r="I18" s="43" t="e">
        <f>SUM(Vragenlijst!$C41:$C45)/COUNT(Vragenlijst!$C41:$C45)</f>
        <v>#DIV/0!</v>
      </c>
      <c r="J18" s="44" t="e">
        <f>SUM(Vragenlijst!$C48:$C52)/COUNT(Vragenlijst!$C48:$C52)</f>
        <v>#DIV/0!</v>
      </c>
      <c r="K18" s="42" t="e">
        <f>SUM(Vragenlijst!$C56:$C60)/COUNT(Vragenlijst!$C56:$C60)</f>
        <v>#DIV/0!</v>
      </c>
      <c r="L18" s="43" t="e">
        <f>SUM(Vragenlijst!$C63:$C67)/COUNT(Vragenlijst!$C63:$C67)</f>
        <v>#DIV/0!</v>
      </c>
      <c r="M18" s="45" t="e">
        <f>SUM(Vragenlijst!$C70:$C74)/COUNT(Vragenlijst!$C70:$C74)</f>
        <v>#DIV/0!</v>
      </c>
      <c r="N18" s="123" t="e">
        <f>SUM(Vragenlijst!$C77:$C81)/COUNT(Vragenlijst!$C77:$C81)</f>
        <v>#DIV/0!</v>
      </c>
      <c r="O18" s="124" t="e">
        <f>SUM(Vragenlijst!$C84:$C88)/COUNT(Vragenlijst!$C84:$C88)</f>
        <v>#DIV/0!</v>
      </c>
      <c r="P18" s="125" t="e">
        <f>SUM(Vragenlijst!$C91:$C95)/COUNT(Vragenlijst!$C91:$C95)</f>
        <v>#DIV/0!</v>
      </c>
      <c r="Q18" s="42" t="e">
        <f>SUM(Vragenlijst!$C99:$C103)/COUNT(Vragenlijst!$C99:$C103)</f>
        <v>#DIV/0!</v>
      </c>
      <c r="R18" s="43" t="e">
        <f>SUM(Vragenlijst!$C106:$C110)/COUNT(Vragenlijst!$C106:$C110)</f>
        <v>#DIV/0!</v>
      </c>
      <c r="S18" s="43" t="e">
        <f>SUM(Vragenlijst!$C113:$C117)/COUNT(Vragenlijst!$C113:$C117)</f>
        <v>#DIV/0!</v>
      </c>
      <c r="T18" s="43" t="e">
        <f>SUM(Vragenlijst!$C120:$C124)/COUNT(Vragenlijst!$C120:$C124)</f>
        <v>#DIV/0!</v>
      </c>
      <c r="U18" s="43" t="e">
        <f>SUM(Vragenlijst!$C127:$C131)/COUNT(Vragenlijst!$C127:$C131)</f>
        <v>#DIV/0!</v>
      </c>
      <c r="V18" s="125" t="e">
        <f>SUM(Vragenlijst!$C134:$C138)/COUNT(Vragenlijst!$C134:$C138)</f>
        <v>#DIV/0!</v>
      </c>
      <c r="W18" s="42" t="e">
        <f>SUM(Vragenlijst!$C142:$C146)/COUNT(Vragenlijst!$C142:$C146)</f>
        <v>#DIV/0!</v>
      </c>
      <c r="X18" s="43" t="e">
        <f>SUM(Vragenlijst!$C149:$C153)/COUNT(Vragenlijst!$C149:$C153)</f>
        <v>#DIV/0!</v>
      </c>
      <c r="Y18" s="43" t="e">
        <f>SUM(Vragenlijst!$C156:$C160)/COUNT(Vragenlijst!$C156:$C160)</f>
        <v>#DIV/0!</v>
      </c>
      <c r="Z18" s="43" t="e">
        <f>SUM(Vragenlijst!$C163:$C167)/COUNT(Vragenlijst!$C163:$C167)</f>
        <v>#DIV/0!</v>
      </c>
      <c r="AA18" s="43" t="e">
        <f>SUM(Vragenlijst!$C170:$C174)/COUNT(Vragenlijst!$C170:$C174)</f>
        <v>#DIV/0!</v>
      </c>
      <c r="AB18" s="42" t="e">
        <f>SUM(Vragenlijst!$C178:$C182)/COUNT(Vragenlijst!$C178:$C182)</f>
        <v>#DIV/0!</v>
      </c>
      <c r="AC18" s="43" t="e">
        <f>SUM(Vragenlijst!$C185:$C189)/COUNT(Vragenlijst!$C185:$C189)</f>
        <v>#DIV/0!</v>
      </c>
      <c r="AD18" s="43" t="e">
        <f>SUM(Vragenlijst!$C192:$C196)/COUNT(Vragenlijst!$C192:$C196)</f>
        <v>#DIV/0!</v>
      </c>
      <c r="AE18" s="43" t="e">
        <f>SUM(Vragenlijst!$C199:$C203)/COUNT(Vragenlijst!$C199:$C203)</f>
        <v>#DIV/0!</v>
      </c>
      <c r="AF18" s="44" t="e">
        <f>SUM(Vragenlijst!$C206:$C210)/COUNT(Vragenlijst!$C206:$C210)</f>
        <v>#DIV/0!</v>
      </c>
      <c r="AG18" s="42" t="e">
        <f>SUM(Vragenlijst!$C214:$C218)/COUNT(Vragenlijst!$C214:$C218)</f>
        <v>#DIV/0!</v>
      </c>
      <c r="AH18" s="43" t="e">
        <f>SUM(Vragenlijst!$C221:$C225)/COUNT(Vragenlijst!$C221:$C225)</f>
        <v>#DIV/0!</v>
      </c>
      <c r="AI18" s="43" t="e">
        <f>SUM(Vragenlijst!$C228:$C232)/COUNT(Vragenlijst!$C228:$C232)</f>
        <v>#DIV/0!</v>
      </c>
      <c r="AJ18" s="43" t="e">
        <f>SUM(Vragenlijst!$C235:$C239)/COUNT(Vragenlijst!$C235:$C239)</f>
        <v>#DIV/0!</v>
      </c>
      <c r="AK18" s="44" t="e">
        <f>SUM(Vragenlijst!$C242:$C246)/COUNT(Vragenlijst!$C242:$C246)</f>
        <v>#DIV/0!</v>
      </c>
    </row>
    <row r="19" spans="1:37" x14ac:dyDescent="0.35">
      <c r="A19" s="6">
        <f t="shared" si="0"/>
        <v>2</v>
      </c>
      <c r="B19" s="28" t="str">
        <f t="shared" si="0"/>
        <v>Feedback gever 1 (optioneel)</v>
      </c>
      <c r="C19" s="2">
        <f t="shared" si="0"/>
        <v>0</v>
      </c>
      <c r="D19" s="2">
        <f t="shared" si="0"/>
        <v>0</v>
      </c>
      <c r="E19" s="24"/>
      <c r="F19" s="25"/>
      <c r="G19" s="25"/>
      <c r="H19" s="25"/>
      <c r="I19" s="29"/>
      <c r="J19" s="26"/>
      <c r="K19" s="24"/>
      <c r="L19" s="25"/>
      <c r="M19" s="25"/>
      <c r="N19" s="129"/>
      <c r="O19" s="130"/>
      <c r="P19" s="128"/>
      <c r="Q19" s="24"/>
      <c r="R19" s="25"/>
      <c r="S19" s="25"/>
      <c r="T19" s="25"/>
      <c r="U19" s="29"/>
      <c r="V19" s="128"/>
      <c r="W19" s="24"/>
      <c r="X19" s="25"/>
      <c r="Y19" s="25"/>
      <c r="Z19" s="25"/>
      <c r="AA19" s="25"/>
      <c r="AB19" s="24"/>
      <c r="AC19" s="25"/>
      <c r="AD19" s="25"/>
      <c r="AE19" s="25"/>
      <c r="AF19" s="26"/>
      <c r="AG19" s="24"/>
      <c r="AH19" s="25"/>
      <c r="AI19" s="25"/>
      <c r="AJ19" s="25"/>
      <c r="AK19" s="26"/>
    </row>
    <row r="20" spans="1:37" x14ac:dyDescent="0.35">
      <c r="A20" s="6">
        <f t="shared" si="0"/>
        <v>3</v>
      </c>
      <c r="B20" s="28" t="str">
        <f t="shared" si="0"/>
        <v>Feedback gever 2 (optioneel)</v>
      </c>
      <c r="C20" s="2">
        <f t="shared" si="0"/>
        <v>0</v>
      </c>
      <c r="D20" s="2">
        <f t="shared" si="0"/>
        <v>0</v>
      </c>
      <c r="E20" s="24"/>
      <c r="F20" s="25"/>
      <c r="G20" s="25"/>
      <c r="H20" s="25"/>
      <c r="I20" s="29"/>
      <c r="J20" s="26"/>
      <c r="K20" s="24"/>
      <c r="L20" s="25"/>
      <c r="M20" s="25"/>
      <c r="N20" s="129"/>
      <c r="O20" s="130"/>
      <c r="P20" s="128"/>
      <c r="Q20" s="24"/>
      <c r="R20" s="25"/>
      <c r="S20" s="25"/>
      <c r="T20" s="25"/>
      <c r="U20" s="29"/>
      <c r="V20" s="128"/>
      <c r="W20" s="24"/>
      <c r="X20" s="25"/>
      <c r="Y20" s="25"/>
      <c r="Z20" s="25"/>
      <c r="AA20" s="25"/>
      <c r="AB20" s="24"/>
      <c r="AC20" s="25"/>
      <c r="AD20" s="25"/>
      <c r="AE20" s="25"/>
      <c r="AF20" s="26"/>
      <c r="AG20" s="24"/>
      <c r="AH20" s="25"/>
      <c r="AI20" s="25"/>
      <c r="AJ20" s="25"/>
      <c r="AK20" s="26"/>
    </row>
    <row r="21" spans="1:37" x14ac:dyDescent="0.35">
      <c r="A21" s="6">
        <f t="shared" si="0"/>
        <v>4</v>
      </c>
      <c r="B21" s="2">
        <f t="shared" si="0"/>
        <v>0</v>
      </c>
      <c r="C21" s="2">
        <f t="shared" si="0"/>
        <v>0</v>
      </c>
      <c r="D21" s="2">
        <f t="shared" si="0"/>
        <v>0</v>
      </c>
      <c r="E21" s="24"/>
      <c r="F21" s="25"/>
      <c r="G21" s="25"/>
      <c r="H21" s="25"/>
      <c r="I21" s="29"/>
      <c r="J21" s="26"/>
      <c r="K21" s="24"/>
      <c r="L21" s="25"/>
      <c r="M21" s="25"/>
      <c r="N21" s="129"/>
      <c r="O21" s="130"/>
      <c r="P21" s="128"/>
      <c r="Q21" s="24"/>
      <c r="R21" s="25"/>
      <c r="S21" s="25"/>
      <c r="T21" s="25"/>
      <c r="U21" s="29"/>
      <c r="V21" s="128"/>
      <c r="W21" s="24"/>
      <c r="X21" s="25"/>
      <c r="Y21" s="25"/>
      <c r="Z21" s="25"/>
      <c r="AA21" s="25"/>
      <c r="AB21" s="24"/>
      <c r="AC21" s="25"/>
      <c r="AD21" s="25"/>
      <c r="AE21" s="25"/>
      <c r="AF21" s="26"/>
      <c r="AG21" s="24"/>
      <c r="AH21" s="25"/>
      <c r="AI21" s="25"/>
      <c r="AJ21" s="25"/>
      <c r="AK21" s="26"/>
    </row>
    <row r="22" spans="1:37" x14ac:dyDescent="0.35">
      <c r="A22" s="6">
        <f t="shared" si="0"/>
        <v>5</v>
      </c>
      <c r="B22" s="2">
        <f t="shared" si="0"/>
        <v>0</v>
      </c>
      <c r="C22" s="2">
        <f t="shared" si="0"/>
        <v>0</v>
      </c>
      <c r="D22" s="2">
        <f t="shared" si="0"/>
        <v>0</v>
      </c>
      <c r="E22" s="24"/>
      <c r="F22" s="25"/>
      <c r="G22" s="25"/>
      <c r="H22" s="25"/>
      <c r="I22" s="29"/>
      <c r="J22" s="26"/>
      <c r="K22" s="24"/>
      <c r="L22" s="25"/>
      <c r="M22" s="25"/>
      <c r="N22" s="129"/>
      <c r="O22" s="130"/>
      <c r="P22" s="128"/>
      <c r="Q22" s="24"/>
      <c r="R22" s="25"/>
      <c r="S22" s="25"/>
      <c r="T22" s="25"/>
      <c r="U22" s="29"/>
      <c r="V22" s="128"/>
      <c r="W22" s="24"/>
      <c r="X22" s="25"/>
      <c r="Y22" s="25"/>
      <c r="Z22" s="25"/>
      <c r="AA22" s="25"/>
      <c r="AB22" s="24"/>
      <c r="AC22" s="25"/>
      <c r="AD22" s="25"/>
      <c r="AE22" s="25"/>
      <c r="AF22" s="26"/>
      <c r="AG22" s="24"/>
      <c r="AH22" s="25"/>
      <c r="AI22" s="25"/>
      <c r="AJ22" s="25"/>
      <c r="AK22" s="26"/>
    </row>
    <row r="23" spans="1:37" x14ac:dyDescent="0.35">
      <c r="A23" s="6">
        <f t="shared" si="0"/>
        <v>6</v>
      </c>
      <c r="B23" s="2">
        <f t="shared" si="0"/>
        <v>0</v>
      </c>
      <c r="C23" s="2">
        <f t="shared" si="0"/>
        <v>0</v>
      </c>
      <c r="D23" s="2">
        <f t="shared" si="0"/>
        <v>0</v>
      </c>
      <c r="E23" s="24"/>
      <c r="F23" s="25"/>
      <c r="G23" s="25"/>
      <c r="H23" s="25"/>
      <c r="I23" s="29"/>
      <c r="J23" s="26"/>
      <c r="K23" s="24"/>
      <c r="L23" s="25"/>
      <c r="M23" s="25"/>
      <c r="N23" s="129"/>
      <c r="O23" s="130"/>
      <c r="P23" s="128"/>
      <c r="Q23" s="24"/>
      <c r="R23" s="25"/>
      <c r="S23" s="25"/>
      <c r="T23" s="25"/>
      <c r="U23" s="29"/>
      <c r="V23" s="128"/>
      <c r="W23" s="24"/>
      <c r="X23" s="25"/>
      <c r="Y23" s="25"/>
      <c r="Z23" s="25"/>
      <c r="AA23" s="25"/>
      <c r="AB23" s="24"/>
      <c r="AC23" s="25"/>
      <c r="AD23" s="25"/>
      <c r="AE23" s="25"/>
      <c r="AF23" s="26"/>
      <c r="AG23" s="24"/>
      <c r="AH23" s="25"/>
      <c r="AI23" s="25"/>
      <c r="AJ23" s="25"/>
      <c r="AK23" s="26"/>
    </row>
    <row r="24" spans="1:37" x14ac:dyDescent="0.35">
      <c r="A24" s="6">
        <f t="shared" si="0"/>
        <v>7</v>
      </c>
      <c r="B24" s="2">
        <f t="shared" si="0"/>
        <v>0</v>
      </c>
      <c r="C24" s="2">
        <f t="shared" si="0"/>
        <v>0</v>
      </c>
      <c r="D24" s="2">
        <f t="shared" si="0"/>
        <v>0</v>
      </c>
      <c r="E24" s="24"/>
      <c r="F24" s="25"/>
      <c r="G24" s="25"/>
      <c r="H24" s="25"/>
      <c r="I24" s="29"/>
      <c r="J24" s="26"/>
      <c r="K24" s="24"/>
      <c r="L24" s="25"/>
      <c r="M24" s="25"/>
      <c r="N24" s="129"/>
      <c r="O24" s="130"/>
      <c r="P24" s="128"/>
      <c r="Q24" s="24"/>
      <c r="R24" s="25"/>
      <c r="S24" s="25"/>
      <c r="T24" s="25"/>
      <c r="U24" s="29"/>
      <c r="V24" s="128"/>
      <c r="W24" s="24"/>
      <c r="X24" s="25"/>
      <c r="Y24" s="25"/>
      <c r="Z24" s="25"/>
      <c r="AA24" s="25"/>
      <c r="AB24" s="24"/>
      <c r="AC24" s="25"/>
      <c r="AD24" s="25"/>
      <c r="AE24" s="25"/>
      <c r="AF24" s="26"/>
      <c r="AG24" s="24"/>
      <c r="AH24" s="25"/>
      <c r="AI24" s="25"/>
      <c r="AJ24" s="25"/>
      <c r="AK24" s="26"/>
    </row>
    <row r="25" spans="1:37" x14ac:dyDescent="0.35">
      <c r="A25" s="6">
        <f t="shared" si="0"/>
        <v>8</v>
      </c>
      <c r="B25" s="2">
        <f t="shared" si="0"/>
        <v>0</v>
      </c>
      <c r="C25" s="2">
        <f t="shared" si="0"/>
        <v>0</v>
      </c>
      <c r="D25" s="2">
        <f t="shared" si="0"/>
        <v>0</v>
      </c>
      <c r="E25" s="24"/>
      <c r="F25" s="25"/>
      <c r="G25" s="25"/>
      <c r="H25" s="25"/>
      <c r="I25" s="29"/>
      <c r="J25" s="26"/>
      <c r="K25" s="24"/>
      <c r="L25" s="25"/>
      <c r="M25" s="25"/>
      <c r="N25" s="129"/>
      <c r="O25" s="130"/>
      <c r="P25" s="128"/>
      <c r="Q25" s="24"/>
      <c r="R25" s="25"/>
      <c r="S25" s="25"/>
      <c r="T25" s="25"/>
      <c r="U25" s="29"/>
      <c r="V25" s="128"/>
      <c r="W25" s="24"/>
      <c r="X25" s="25"/>
      <c r="Y25" s="25"/>
      <c r="Z25" s="25"/>
      <c r="AA25" s="25"/>
      <c r="AB25" s="24"/>
      <c r="AC25" s="25"/>
      <c r="AD25" s="25"/>
      <c r="AE25" s="25"/>
      <c r="AF25" s="26"/>
      <c r="AG25" s="24"/>
      <c r="AH25" s="25"/>
      <c r="AI25" s="25"/>
      <c r="AJ25" s="25"/>
      <c r="AK25" s="26"/>
    </row>
    <row r="26" spans="1:37" x14ac:dyDescent="0.35">
      <c r="A26" s="6">
        <f t="shared" si="0"/>
        <v>9</v>
      </c>
      <c r="B26" s="2">
        <f t="shared" si="0"/>
        <v>0</v>
      </c>
      <c r="C26" s="2">
        <f t="shared" si="0"/>
        <v>0</v>
      </c>
      <c r="D26" s="2">
        <f t="shared" si="0"/>
        <v>0</v>
      </c>
      <c r="E26" s="24"/>
      <c r="F26" s="25"/>
      <c r="G26" s="25"/>
      <c r="H26" s="25"/>
      <c r="I26" s="29"/>
      <c r="J26" s="26"/>
      <c r="K26" s="24"/>
      <c r="L26" s="25"/>
      <c r="M26" s="25"/>
      <c r="N26" s="129"/>
      <c r="O26" s="130"/>
      <c r="P26" s="128"/>
      <c r="Q26" s="24"/>
      <c r="R26" s="25"/>
      <c r="S26" s="25"/>
      <c r="T26" s="25"/>
      <c r="U26" s="29"/>
      <c r="V26" s="128"/>
      <c r="W26" s="24"/>
      <c r="X26" s="25"/>
      <c r="Y26" s="25"/>
      <c r="Z26" s="25"/>
      <c r="AA26" s="25"/>
      <c r="AB26" s="24"/>
      <c r="AC26" s="25"/>
      <c r="AD26" s="25"/>
      <c r="AE26" s="25"/>
      <c r="AF26" s="26"/>
      <c r="AG26" s="24"/>
      <c r="AH26" s="25"/>
      <c r="AI26" s="25"/>
      <c r="AJ26" s="25"/>
      <c r="AK26" s="26"/>
    </row>
    <row r="27" spans="1:37" x14ac:dyDescent="0.35">
      <c r="A27" s="6">
        <f t="shared" si="0"/>
        <v>10</v>
      </c>
      <c r="B27" s="2">
        <f t="shared" si="0"/>
        <v>0</v>
      </c>
      <c r="C27" s="2">
        <f t="shared" si="0"/>
        <v>0</v>
      </c>
      <c r="D27" s="2">
        <f t="shared" si="0"/>
        <v>0</v>
      </c>
      <c r="E27" s="24"/>
      <c r="F27" s="25"/>
      <c r="G27" s="25"/>
      <c r="H27" s="25"/>
      <c r="I27" s="29"/>
      <c r="J27" s="26"/>
      <c r="K27" s="24"/>
      <c r="L27" s="25"/>
      <c r="M27" s="25"/>
      <c r="N27" s="129"/>
      <c r="O27" s="130"/>
      <c r="P27" s="128"/>
      <c r="Q27" s="24"/>
      <c r="R27" s="25"/>
      <c r="S27" s="25"/>
      <c r="T27" s="25"/>
      <c r="U27" s="29"/>
      <c r="V27" s="128"/>
      <c r="W27" s="24"/>
      <c r="X27" s="25"/>
      <c r="Y27" s="25"/>
      <c r="Z27" s="25"/>
      <c r="AA27" s="25"/>
      <c r="AB27" s="24"/>
      <c r="AC27" s="25"/>
      <c r="AD27" s="25"/>
      <c r="AE27" s="25"/>
      <c r="AF27" s="26"/>
      <c r="AG27" s="24"/>
      <c r="AH27" s="25"/>
      <c r="AI27" s="25"/>
      <c r="AJ27" s="25"/>
      <c r="AK27" s="26"/>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4EF9-70DF-417D-9BA6-5510294697FF}">
  <sheetPr>
    <tabColor rgb="FFFF0000"/>
  </sheetPr>
  <dimension ref="A1:AH8"/>
  <sheetViews>
    <sheetView showGridLines="0" zoomScale="80" zoomScaleNormal="80" workbookViewId="0"/>
  </sheetViews>
  <sheetFormatPr defaultColWidth="8.7265625" defaultRowHeight="14.5" x14ac:dyDescent="0.35"/>
  <cols>
    <col min="1" max="1" width="25" style="47" bestFit="1" customWidth="1"/>
    <col min="2" max="10" width="6.26953125" style="81" customWidth="1"/>
    <col min="11" max="13" width="6.26953125" style="81" hidden="1" customWidth="1"/>
    <col min="14" max="18" width="6.26953125" style="81" customWidth="1"/>
    <col min="19" max="19" width="6.26953125" style="81" hidden="1" customWidth="1"/>
    <col min="20" max="34" width="6.26953125" style="81" customWidth="1"/>
    <col min="35" max="16384" width="8.7265625" style="47"/>
  </cols>
  <sheetData>
    <row r="1" spans="1:34" ht="92.5" x14ac:dyDescent="0.35">
      <c r="A1" s="49"/>
      <c r="B1" s="50" t="str">
        <f>'Data (NIET BEWERKEN!!)'!E1</f>
        <v>Digital Power Basic Skills</v>
      </c>
      <c r="C1" s="51" t="str">
        <f>'Data (NIET BEWERKEN!!)'!F1</f>
        <v>Digital Power Basic Skills</v>
      </c>
      <c r="D1" s="51" t="str">
        <f>'Data (NIET BEWERKEN!!)'!G1</f>
        <v>Digital Power Basic Skills</v>
      </c>
      <c r="E1" s="51" t="str">
        <f>'Data (NIET BEWERKEN!!)'!H1</f>
        <v>Digital Power Basic Skills</v>
      </c>
      <c r="F1" s="52" t="str">
        <f>'Data (NIET BEWERKEN!!)'!I1</f>
        <v>Digital Power Basic Skills</v>
      </c>
      <c r="G1" s="53" t="str">
        <f>'Data (NIET BEWERKEN!!)'!J1</f>
        <v>Digital Power Basic Skills</v>
      </c>
      <c r="H1" s="50" t="str">
        <f>'Data (NIET BEWERKEN!!)'!K1</f>
        <v>Domein Skills</v>
      </c>
      <c r="I1" s="51" t="str">
        <f>'Data (NIET BEWERKEN!!)'!L1</f>
        <v>Domein Skills</v>
      </c>
      <c r="J1" s="53" t="str">
        <f>'Data (NIET BEWERKEN!!)'!M1</f>
        <v>Domein Skills</v>
      </c>
      <c r="K1" s="51" t="str">
        <f>'Data (NIET BEWERKEN!!)'!N1</f>
        <v>Domein Skills</v>
      </c>
      <c r="L1" s="52" t="str">
        <f>'Data (NIET BEWERKEN!!)'!O1</f>
        <v>Domein Skills</v>
      </c>
      <c r="M1" s="53" t="str">
        <f>'Data (NIET BEWERKEN!!)'!P1</f>
        <v>Domein Skills</v>
      </c>
      <c r="N1" s="54" t="str">
        <f>'Data (NIET BEWERKEN!!)'!Q1</f>
        <v>Hardskills</v>
      </c>
      <c r="O1" s="51" t="str">
        <f>'Data (NIET BEWERKEN!!)'!R1</f>
        <v>Hardskills</v>
      </c>
      <c r="P1" s="51" t="str">
        <f>'Data (NIET BEWERKEN!!)'!S1</f>
        <v>Hardskills</v>
      </c>
      <c r="Q1" s="51" t="str">
        <f>'Data (NIET BEWERKEN!!)'!T1</f>
        <v>Hardskills</v>
      </c>
      <c r="R1" s="52" t="str">
        <f>'Data (NIET BEWERKEN!!)'!U1</f>
        <v>Hardskills</v>
      </c>
      <c r="S1" s="52" t="str">
        <f>'Data (NIET BEWERKEN!!)'!V1</f>
        <v>Hardskills</v>
      </c>
      <c r="T1" s="50" t="str">
        <f>'Data (NIET BEWERKEN!!)'!W1</f>
        <v>Basic Consultancy Skills</v>
      </c>
      <c r="U1" s="51" t="str">
        <f>'Data (NIET BEWERKEN!!)'!X1</f>
        <v>Basic Consultancy Skills</v>
      </c>
      <c r="V1" s="51" t="str">
        <f>'Data (NIET BEWERKEN!!)'!Y1</f>
        <v>Basic Consultancy Skills</v>
      </c>
      <c r="W1" s="51" t="str">
        <f>'Data (NIET BEWERKEN!!)'!Z1</f>
        <v>Basic Consultancy Skills</v>
      </c>
      <c r="X1" s="52" t="str">
        <f>'Data (NIET BEWERKEN!!)'!AA1</f>
        <v>Basic Consultancy Skills</v>
      </c>
      <c r="Y1" s="50" t="str">
        <f>'Data (NIET BEWERKEN!!)'!AB1</f>
        <v>Business Skills</v>
      </c>
      <c r="Z1" s="51" t="str">
        <f>'Data (NIET BEWERKEN!!)'!AC1</f>
        <v>Business Skills</v>
      </c>
      <c r="AA1" s="51" t="str">
        <f>'Data (NIET BEWERKEN!!)'!AD1</f>
        <v>Business Skills</v>
      </c>
      <c r="AB1" s="51" t="str">
        <f>'Data (NIET BEWERKEN!!)'!AE1</f>
        <v>Business Skills</v>
      </c>
      <c r="AC1" s="53" t="str">
        <f>'Data (NIET BEWERKEN!!)'!AF1</f>
        <v>Business Skills</v>
      </c>
      <c r="AD1" s="54" t="str">
        <f>'Data (NIET BEWERKEN!!)'!AG1</f>
        <v>Expert Consultancy Skills</v>
      </c>
      <c r="AE1" s="51" t="str">
        <f>'Data (NIET BEWERKEN!!)'!AH1</f>
        <v>Expert Consultancy Skills</v>
      </c>
      <c r="AF1" s="51" t="str">
        <f>'Data (NIET BEWERKEN!!)'!AI1</f>
        <v>Expert Consultancy Skills</v>
      </c>
      <c r="AG1" s="51" t="str">
        <f>'Data (NIET BEWERKEN!!)'!AJ1</f>
        <v>Expert Consultancy Skills</v>
      </c>
      <c r="AH1" s="53" t="str">
        <f>'Data (NIET BEWERKEN!!)'!AK1</f>
        <v>Expert Consultancy Skills</v>
      </c>
    </row>
    <row r="2" spans="1:34" ht="135.65" customHeight="1" x14ac:dyDescent="0.35">
      <c r="A2" s="55"/>
      <c r="B2" s="56" t="str">
        <f>'Data (NIET BEWERKEN!!)'!E2</f>
        <v>Leren &amp; reflecteren</v>
      </c>
      <c r="C2" s="57" t="str">
        <f>'Data (NIET BEWERKEN!!)'!F2</f>
        <v>Ondersteunen &amp; samenwerken</v>
      </c>
      <c r="D2" s="57" t="str">
        <f>'Data (NIET BEWERKEN!!)'!G2</f>
        <v>Ondernemen &amp; resultaatgericht</v>
      </c>
      <c r="E2" s="57" t="str">
        <f>'Data (NIET BEWERKEN!!)'!H2</f>
        <v>Klantgericht</v>
      </c>
      <c r="F2" s="58" t="str">
        <f>'Data (NIET BEWERKEN!!)'!I2</f>
        <v>Kennisdeling</v>
      </c>
      <c r="G2" s="59" t="str">
        <f>'Data (NIET BEWERKEN!!)'!J2</f>
        <v>Coaching &amp; begeleiding</v>
      </c>
      <c r="H2" s="56" t="str">
        <f>'Data (NIET BEWERKEN!!)'!K2</f>
        <v>Communication developers/ analysts</v>
      </c>
      <c r="I2" s="57" t="str">
        <f>'Data (NIET BEWERKEN!!)'!L2</f>
        <v>Tagging trends in domain</v>
      </c>
      <c r="J2" s="59" t="str">
        <f>'Data (NIET BEWERKEN!!)'!M2</f>
        <v>Requirements</v>
      </c>
      <c r="K2" s="57">
        <f>'Data (NIET BEWERKEN!!)'!N2</f>
        <v>0</v>
      </c>
      <c r="L2" s="58">
        <f>'Data (NIET BEWERKEN!!)'!O2</f>
        <v>0</v>
      </c>
      <c r="M2" s="59">
        <f>'Data (NIET BEWERKEN!!)'!P2</f>
        <v>0</v>
      </c>
      <c r="N2" s="60" t="str">
        <f>'Data (NIET BEWERKEN!!)'!Q2</f>
        <v>Analytics (management/ admin) knowledge</v>
      </c>
      <c r="O2" s="57" t="str">
        <f>'Data (NIET BEWERKEN!!)'!R2</f>
        <v>Tag management</v>
      </c>
      <c r="P2" s="57" t="str">
        <f>'Data (NIET BEWERKEN!!)'!S2</f>
        <v>Data structures, tagplan, datalayer</v>
      </c>
      <c r="Q2" s="57" t="str">
        <f>'Data (NIET BEWERKEN!!)'!T2</f>
        <v>Debugging</v>
      </c>
      <c r="R2" s="58" t="str">
        <f>'Data (NIET BEWERKEN!!)'!U2</f>
        <v>Programming</v>
      </c>
      <c r="S2" s="58">
        <f>'Data (NIET BEWERKEN!!)'!V2</f>
        <v>0</v>
      </c>
      <c r="T2" s="56" t="str">
        <f>'Data (NIET BEWERKEN!!)'!W2</f>
        <v>Adviseren</v>
      </c>
      <c r="U2" s="57" t="str">
        <f>'Data (NIET BEWERKEN!!)'!X2</f>
        <v>Doortastend &amp; probleemoplossend</v>
      </c>
      <c r="V2" s="57" t="str">
        <f>'Data (NIET BEWERKEN!!)'!Y2</f>
        <v>Interpersoonlijk communicatie</v>
      </c>
      <c r="W2" s="57" t="str">
        <f>'Data (NIET BEWERKEN!!)'!Z2</f>
        <v>Verwachtings-management</v>
      </c>
      <c r="X2" s="58" t="str">
        <f>'Data (NIET BEWERKEN!!)'!AA2</f>
        <v>Schriftelijke en mondelinge communicatie</v>
      </c>
      <c r="Y2" s="56" t="str">
        <f>'Data (NIET BEWERKEN!!)'!AB2</f>
        <v>Organisatie- en management identificatie</v>
      </c>
      <c r="Z2" s="57" t="str">
        <f>'Data (NIET BEWERKEN!!)'!AC2</f>
        <v>Strategische conceptualisatie</v>
      </c>
      <c r="AA2" s="57" t="str">
        <f>'Data (NIET BEWERKEN!!)'!AD2</f>
        <v>Projectmanagement</v>
      </c>
      <c r="AB2" s="57" t="str">
        <f>'Data (NIET BEWERKEN!!)'!AE2</f>
        <v>Verandermanagement</v>
      </c>
      <c r="AC2" s="59" t="str">
        <f>'Data (NIET BEWERKEN!!)'!AF2</f>
        <v>Leidinggeven</v>
      </c>
      <c r="AD2" s="60" t="str">
        <f>'Data (NIET BEWERKEN!!)'!AG2</f>
        <v>Situationele communicatie</v>
      </c>
      <c r="AE2" s="57" t="str">
        <f>'Data (NIET BEWERKEN!!)'!AH2</f>
        <v>Doelgerichte &amp; effectieve communicatie</v>
      </c>
      <c r="AF2" s="57" t="str">
        <f>'Data (NIET BEWERKEN!!)'!AI2</f>
        <v>Besluitvaardigheid</v>
      </c>
      <c r="AG2" s="57" t="str">
        <f>'Data (NIET BEWERKEN!!)'!AJ2</f>
        <v>Overtuigen &amp; beinvloeden</v>
      </c>
      <c r="AH2" s="59" t="str">
        <f>'Data (NIET BEWERKEN!!)'!AK2</f>
        <v>Opbouwende feedback &amp; slecht nieuws gesprekken</v>
      </c>
    </row>
    <row r="3" spans="1:34" x14ac:dyDescent="0.35">
      <c r="A3" s="55"/>
      <c r="B3" s="61">
        <v>1</v>
      </c>
      <c r="C3" s="62">
        <v>2</v>
      </c>
      <c r="D3" s="62">
        <v>3</v>
      </c>
      <c r="E3" s="62">
        <v>4</v>
      </c>
      <c r="F3" s="63">
        <v>5</v>
      </c>
      <c r="G3" s="64">
        <v>6</v>
      </c>
      <c r="H3" s="61">
        <v>1</v>
      </c>
      <c r="I3" s="62">
        <v>2</v>
      </c>
      <c r="J3" s="64">
        <v>3</v>
      </c>
      <c r="K3" s="62">
        <v>10</v>
      </c>
      <c r="L3" s="63">
        <v>11</v>
      </c>
      <c r="M3" s="64">
        <v>12</v>
      </c>
      <c r="N3" s="65">
        <v>1</v>
      </c>
      <c r="O3" s="62">
        <v>2</v>
      </c>
      <c r="P3" s="62">
        <v>3</v>
      </c>
      <c r="Q3" s="62">
        <v>4</v>
      </c>
      <c r="R3" s="63">
        <v>5</v>
      </c>
      <c r="S3" s="63">
        <v>18</v>
      </c>
      <c r="T3" s="61">
        <v>1</v>
      </c>
      <c r="U3" s="62">
        <v>2</v>
      </c>
      <c r="V3" s="62">
        <v>3</v>
      </c>
      <c r="W3" s="62">
        <v>4</v>
      </c>
      <c r="X3" s="63">
        <v>5</v>
      </c>
      <c r="Y3" s="61">
        <v>1</v>
      </c>
      <c r="Z3" s="62">
        <v>2</v>
      </c>
      <c r="AA3" s="62">
        <v>3</v>
      </c>
      <c r="AB3" s="62">
        <v>4</v>
      </c>
      <c r="AC3" s="64">
        <v>5</v>
      </c>
      <c r="AD3" s="65">
        <v>1</v>
      </c>
      <c r="AE3" s="62">
        <v>2</v>
      </c>
      <c r="AF3" s="62">
        <v>3</v>
      </c>
      <c r="AG3" s="62">
        <v>4</v>
      </c>
      <c r="AH3" s="64">
        <v>5</v>
      </c>
    </row>
    <row r="4" spans="1:34" x14ac:dyDescent="0.35">
      <c r="A4" s="66" t="s">
        <v>216</v>
      </c>
      <c r="B4" s="67" t="e">
        <f>'Data (NIET BEWERKEN!!)'!E5</f>
        <v>#DIV/0!</v>
      </c>
      <c r="C4" s="68" t="e">
        <f>'Data (NIET BEWERKEN!!)'!F5</f>
        <v>#DIV/0!</v>
      </c>
      <c r="D4" s="68" t="e">
        <f>'Data (NIET BEWERKEN!!)'!G5</f>
        <v>#DIV/0!</v>
      </c>
      <c r="E4" s="68" t="e">
        <f>'Data (NIET BEWERKEN!!)'!H5</f>
        <v>#DIV/0!</v>
      </c>
      <c r="F4" s="69" t="e">
        <f>'Data (NIET BEWERKEN!!)'!I5</f>
        <v>#DIV/0!</v>
      </c>
      <c r="G4" s="70" t="e">
        <f>'Data (NIET BEWERKEN!!)'!J5</f>
        <v>#DIV/0!</v>
      </c>
      <c r="H4" s="67" t="e">
        <f>'Data (NIET BEWERKEN!!)'!K5</f>
        <v>#DIV/0!</v>
      </c>
      <c r="I4" s="68" t="e">
        <f>'Data (NIET BEWERKEN!!)'!L5</f>
        <v>#DIV/0!</v>
      </c>
      <c r="J4" s="70" t="e">
        <f>'Data (NIET BEWERKEN!!)'!M5</f>
        <v>#DIV/0!</v>
      </c>
      <c r="K4" s="68" t="e">
        <f>'Data (NIET BEWERKEN!!)'!N5</f>
        <v>#DIV/0!</v>
      </c>
      <c r="L4" s="69" t="e">
        <f>'Data (NIET BEWERKEN!!)'!O5</f>
        <v>#DIV/0!</v>
      </c>
      <c r="M4" s="70" t="e">
        <f>'Data (NIET BEWERKEN!!)'!P5</f>
        <v>#DIV/0!</v>
      </c>
      <c r="N4" s="67" t="e">
        <f>'Data (NIET BEWERKEN!!)'!Q5</f>
        <v>#DIV/0!</v>
      </c>
      <c r="O4" s="68" t="e">
        <f>'Data (NIET BEWERKEN!!)'!R5</f>
        <v>#DIV/0!</v>
      </c>
      <c r="P4" s="68" t="e">
        <f>'Data (NIET BEWERKEN!!)'!S5</f>
        <v>#DIV/0!</v>
      </c>
      <c r="Q4" s="68" t="e">
        <f>'Data (NIET BEWERKEN!!)'!T5</f>
        <v>#DIV/0!</v>
      </c>
      <c r="R4" s="70" t="e">
        <f>'Data (NIET BEWERKEN!!)'!U5</f>
        <v>#DIV/0!</v>
      </c>
      <c r="S4" s="70" t="e">
        <f>'Data (NIET BEWERKEN!!)'!V5</f>
        <v>#DIV/0!</v>
      </c>
      <c r="T4" s="67" t="e">
        <f>'Data (NIET BEWERKEN!!)'!W5</f>
        <v>#DIV/0!</v>
      </c>
      <c r="U4" s="68" t="e">
        <f>'Data (NIET BEWERKEN!!)'!X5</f>
        <v>#DIV/0!</v>
      </c>
      <c r="V4" s="68" t="e">
        <f>'Data (NIET BEWERKEN!!)'!Y5</f>
        <v>#DIV/0!</v>
      </c>
      <c r="W4" s="68" t="e">
        <f>'Data (NIET BEWERKEN!!)'!Z5</f>
        <v>#DIV/0!</v>
      </c>
      <c r="X4" s="69" t="e">
        <f>'Data (NIET BEWERKEN!!)'!AA5</f>
        <v>#DIV/0!</v>
      </c>
      <c r="Y4" s="67" t="e">
        <f>'Data (NIET BEWERKEN!!)'!AB5</f>
        <v>#DIV/0!</v>
      </c>
      <c r="Z4" s="68" t="e">
        <f>'Data (NIET BEWERKEN!!)'!AC5</f>
        <v>#DIV/0!</v>
      </c>
      <c r="AA4" s="68" t="e">
        <f>'Data (NIET BEWERKEN!!)'!AD5</f>
        <v>#DIV/0!</v>
      </c>
      <c r="AB4" s="68" t="e">
        <f>'Data (NIET BEWERKEN!!)'!AE5</f>
        <v>#DIV/0!</v>
      </c>
      <c r="AC4" s="70" t="e">
        <f>'Data (NIET BEWERKEN!!)'!AF5</f>
        <v>#DIV/0!</v>
      </c>
      <c r="AD4" s="67" t="e">
        <f>'Data (NIET BEWERKEN!!)'!AG5</f>
        <v>#DIV/0!</v>
      </c>
      <c r="AE4" s="68" t="e">
        <f>'Data (NIET BEWERKEN!!)'!AH5</f>
        <v>#DIV/0!</v>
      </c>
      <c r="AF4" s="68" t="e">
        <f>'Data (NIET BEWERKEN!!)'!AI5</f>
        <v>#DIV/0!</v>
      </c>
      <c r="AG4" s="68" t="e">
        <f>'Data (NIET BEWERKEN!!)'!AJ5</f>
        <v>#DIV/0!</v>
      </c>
      <c r="AH4" s="70" t="e">
        <f>'Data (NIET BEWERKEN!!)'!AK5</f>
        <v>#DIV/0!</v>
      </c>
    </row>
    <row r="5" spans="1:34" ht="15" thickBot="1" x14ac:dyDescent="0.4">
      <c r="A5" s="71" t="s">
        <v>217</v>
      </c>
      <c r="B5" s="72"/>
      <c r="C5" s="73"/>
      <c r="D5" s="73"/>
      <c r="E5" s="73"/>
      <c r="F5" s="73"/>
      <c r="G5" s="74" t="e">
        <f>AVERAGE(B4:G4)</f>
        <v>#DIV/0!</v>
      </c>
      <c r="H5" s="72"/>
      <c r="I5" s="73"/>
      <c r="J5" s="74" t="e">
        <f>AVERAGE(H4:J4)</f>
        <v>#DIV/0!</v>
      </c>
      <c r="K5" s="73"/>
      <c r="L5" s="73"/>
      <c r="N5" s="72"/>
      <c r="O5" s="73"/>
      <c r="P5" s="73"/>
      <c r="Q5" s="73"/>
      <c r="R5" s="74" t="e">
        <f>AVERAGE(N4:R4)</f>
        <v>#DIV/0!</v>
      </c>
      <c r="T5" s="72"/>
      <c r="U5" s="73"/>
      <c r="V5" s="73"/>
      <c r="W5" s="73"/>
      <c r="X5" s="74" t="e">
        <f>AVERAGE(T4:X4)</f>
        <v>#DIV/0!</v>
      </c>
      <c r="Y5" s="72"/>
      <c r="Z5" s="73"/>
      <c r="AA5" s="73"/>
      <c r="AB5" s="73"/>
      <c r="AC5" s="74" t="e">
        <f>AVERAGE(Y4:AC4)</f>
        <v>#DIV/0!</v>
      </c>
      <c r="AD5" s="72"/>
      <c r="AE5" s="73"/>
      <c r="AF5" s="73"/>
      <c r="AG5" s="73"/>
      <c r="AH5" s="74" t="e">
        <f>AVERAGE(AD4:AH4)</f>
        <v>#DIV/0!</v>
      </c>
    </row>
    <row r="6" spans="1:34" x14ac:dyDescent="0.35">
      <c r="A6" s="75"/>
      <c r="B6" s="76"/>
      <c r="C6" s="76"/>
      <c r="D6" s="76"/>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row>
    <row r="7" spans="1:34" x14ac:dyDescent="0.35">
      <c r="A7" s="77" t="s">
        <v>218</v>
      </c>
      <c r="B7" s="67" t="e">
        <f>'Data (NIET BEWERKEN!!)'!E18</f>
        <v>#DIV/0!</v>
      </c>
      <c r="C7" s="68" t="e">
        <f>'Data (NIET BEWERKEN!!)'!F18</f>
        <v>#DIV/0!</v>
      </c>
      <c r="D7" s="68" t="e">
        <f>'Data (NIET BEWERKEN!!)'!G18</f>
        <v>#DIV/0!</v>
      </c>
      <c r="E7" s="68" t="e">
        <f>'Data (NIET BEWERKEN!!)'!H18</f>
        <v>#DIV/0!</v>
      </c>
      <c r="F7" s="69" t="e">
        <f>'Data (NIET BEWERKEN!!)'!I18</f>
        <v>#DIV/0!</v>
      </c>
      <c r="G7" s="70" t="e">
        <f>'Data (NIET BEWERKEN!!)'!J18</f>
        <v>#DIV/0!</v>
      </c>
      <c r="H7" s="67" t="e">
        <f>'Data (NIET BEWERKEN!!)'!K18</f>
        <v>#DIV/0!</v>
      </c>
      <c r="I7" s="68" t="e">
        <f>'Data (NIET BEWERKEN!!)'!L18</f>
        <v>#DIV/0!</v>
      </c>
      <c r="J7" s="70" t="e">
        <f>'Data (NIET BEWERKEN!!)'!M18</f>
        <v>#DIV/0!</v>
      </c>
      <c r="K7" s="68" t="e">
        <f>'Data (NIET BEWERKEN!!)'!N18</f>
        <v>#DIV/0!</v>
      </c>
      <c r="L7" s="69" t="e">
        <f>'Data (NIET BEWERKEN!!)'!O18</f>
        <v>#DIV/0!</v>
      </c>
      <c r="M7" s="70" t="e">
        <f>'Data (NIET BEWERKEN!!)'!P18</f>
        <v>#DIV/0!</v>
      </c>
      <c r="N7" s="67" t="e">
        <f>'Data (NIET BEWERKEN!!)'!Q18</f>
        <v>#DIV/0!</v>
      </c>
      <c r="O7" s="68" t="e">
        <f>'Data (NIET BEWERKEN!!)'!R18</f>
        <v>#DIV/0!</v>
      </c>
      <c r="P7" s="68" t="e">
        <f>'Data (NIET BEWERKEN!!)'!S18</f>
        <v>#DIV/0!</v>
      </c>
      <c r="Q7" s="68" t="e">
        <f>'Data (NIET BEWERKEN!!)'!T18</f>
        <v>#DIV/0!</v>
      </c>
      <c r="R7" s="70" t="e">
        <f>'Data (NIET BEWERKEN!!)'!U18</f>
        <v>#DIV/0!</v>
      </c>
      <c r="S7" s="70" t="e">
        <f>'Data (NIET BEWERKEN!!)'!V18</f>
        <v>#DIV/0!</v>
      </c>
      <c r="T7" s="67" t="e">
        <f>'Data (NIET BEWERKEN!!)'!W18</f>
        <v>#DIV/0!</v>
      </c>
      <c r="U7" s="68" t="e">
        <f>'Data (NIET BEWERKEN!!)'!X18</f>
        <v>#DIV/0!</v>
      </c>
      <c r="V7" s="68" t="e">
        <f>'Data (NIET BEWERKEN!!)'!Y18</f>
        <v>#DIV/0!</v>
      </c>
      <c r="W7" s="68" t="e">
        <f>'Data (NIET BEWERKEN!!)'!Z18</f>
        <v>#DIV/0!</v>
      </c>
      <c r="X7" s="68" t="e">
        <f>'Data (NIET BEWERKEN!!)'!AA18</f>
        <v>#DIV/0!</v>
      </c>
      <c r="Y7" s="67" t="e">
        <f>'Data (NIET BEWERKEN!!)'!AB18</f>
        <v>#DIV/0!</v>
      </c>
      <c r="Z7" s="68" t="e">
        <f>'Data (NIET BEWERKEN!!)'!AC18</f>
        <v>#DIV/0!</v>
      </c>
      <c r="AA7" s="68" t="e">
        <f>'Data (NIET BEWERKEN!!)'!AD18</f>
        <v>#DIV/0!</v>
      </c>
      <c r="AB7" s="68" t="e">
        <f>'Data (NIET BEWERKEN!!)'!AE18</f>
        <v>#DIV/0!</v>
      </c>
      <c r="AC7" s="70" t="e">
        <f>'Data (NIET BEWERKEN!!)'!AF18</f>
        <v>#DIV/0!</v>
      </c>
      <c r="AD7" s="67" t="e">
        <f>'Data (NIET BEWERKEN!!)'!AG18</f>
        <v>#DIV/0!</v>
      </c>
      <c r="AE7" s="68" t="e">
        <f>'Data (NIET BEWERKEN!!)'!AH18</f>
        <v>#DIV/0!</v>
      </c>
      <c r="AF7" s="68" t="e">
        <f>'Data (NIET BEWERKEN!!)'!AI18</f>
        <v>#DIV/0!</v>
      </c>
      <c r="AG7" s="68" t="e">
        <f>'Data (NIET BEWERKEN!!)'!AJ18</f>
        <v>#DIV/0!</v>
      </c>
      <c r="AH7" s="70" t="e">
        <f>'Data (NIET BEWERKEN!!)'!AK18</f>
        <v>#DIV/0!</v>
      </c>
    </row>
    <row r="8" spans="1:34" ht="15" thickBot="1" x14ac:dyDescent="0.4">
      <c r="A8" s="78" t="s">
        <v>217</v>
      </c>
      <c r="B8" s="79"/>
      <c r="C8" s="80"/>
      <c r="D8" s="80"/>
      <c r="E8" s="80"/>
      <c r="F8" s="80"/>
      <c r="G8" s="74" t="e">
        <f>AVERAGE(B7:G7)</f>
        <v>#DIV/0!</v>
      </c>
      <c r="H8" s="79"/>
      <c r="I8" s="80"/>
      <c r="J8" s="74" t="e">
        <f>AVERAGE(H7:J7)</f>
        <v>#DIV/0!</v>
      </c>
      <c r="K8" s="80"/>
      <c r="L8" s="80"/>
      <c r="N8" s="79"/>
      <c r="O8" s="80"/>
      <c r="P8" s="80"/>
      <c r="Q8" s="80"/>
      <c r="R8" s="74" t="e">
        <f>AVERAGE(N7:R7)</f>
        <v>#DIV/0!</v>
      </c>
      <c r="T8" s="79"/>
      <c r="U8" s="80"/>
      <c r="V8" s="80"/>
      <c r="W8" s="80"/>
      <c r="X8" s="80" t="e">
        <f>AVERAGE(T7:X7)</f>
        <v>#DIV/0!</v>
      </c>
      <c r="Y8" s="79"/>
      <c r="Z8" s="80"/>
      <c r="AA8" s="80"/>
      <c r="AB8" s="80"/>
      <c r="AC8" s="74" t="e">
        <f>AVERAGE(Y7:AC7)</f>
        <v>#DIV/0!</v>
      </c>
      <c r="AD8" s="79"/>
      <c r="AE8" s="80"/>
      <c r="AF8" s="80"/>
      <c r="AG8" s="80"/>
      <c r="AH8" s="74" t="e">
        <f>AVERAGE(AD7:AH7)</f>
        <v>#DIV/0!</v>
      </c>
    </row>
  </sheetData>
  <conditionalFormatting sqref="B4:I4 K4:Q4 S4:AC4">
    <cfRule type="colorScale" priority="21">
      <colorScale>
        <cfvo type="min"/>
        <cfvo type="percentile" val="50"/>
        <cfvo type="max"/>
        <color rgb="FFF8696B"/>
        <color rgb="FFFFEB84"/>
        <color rgb="FF63BE7B"/>
      </colorScale>
    </cfRule>
  </conditionalFormatting>
  <conditionalFormatting sqref="J4">
    <cfRule type="colorScale" priority="4">
      <colorScale>
        <cfvo type="min"/>
        <cfvo type="percentile" val="50"/>
        <cfvo type="max"/>
        <color rgb="FFF8696B"/>
        <color rgb="FFFFEB84"/>
        <color rgb="FF63BE7B"/>
      </colorScale>
    </cfRule>
  </conditionalFormatting>
  <conditionalFormatting sqref="R4">
    <cfRule type="colorScale" priority="2">
      <colorScale>
        <cfvo type="min"/>
        <cfvo type="percentile" val="50"/>
        <cfvo type="max"/>
        <color rgb="FFF8696B"/>
        <color rgb="FFFFEB84"/>
        <color rgb="FF63BE7B"/>
      </colorScale>
    </cfRule>
  </conditionalFormatting>
  <conditionalFormatting sqref="R5 J5 AC5 G5">
    <cfRule type="colorScale" priority="14">
      <colorScale>
        <cfvo type="min"/>
        <cfvo type="percentile" val="50"/>
        <cfvo type="max"/>
        <color rgb="FFF8696B"/>
        <color rgb="FFFFEB84"/>
        <color rgb="FF63BE7B"/>
      </colorScale>
    </cfRule>
  </conditionalFormatting>
  <conditionalFormatting sqref="X5">
    <cfRule type="colorScale" priority="5">
      <colorScale>
        <cfvo type="min"/>
        <cfvo type="percentile" val="50"/>
        <cfvo type="max"/>
        <color rgb="FFF8696B"/>
        <color rgb="FFFFEB84"/>
        <color rgb="FF63BE7B"/>
      </colorScale>
    </cfRule>
  </conditionalFormatting>
  <conditionalFormatting sqref="AD4:AH4">
    <cfRule type="colorScale" priority="19">
      <colorScale>
        <cfvo type="min"/>
        <cfvo type="percentile" val="50"/>
        <cfvo type="max"/>
        <color rgb="FFF8696B"/>
        <color rgb="FFFFEB84"/>
        <color rgb="FF63BE7B"/>
      </colorScale>
    </cfRule>
  </conditionalFormatting>
  <conditionalFormatting sqref="AH5">
    <cfRule type="colorScale" priority="20">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5A3777C117E8F4490629ADC5280BDCD" ma:contentTypeVersion="14" ma:contentTypeDescription="Create a new document." ma:contentTypeScope="" ma:versionID="06e8368c9e0cd5b7ab99b2732ac56e6f">
  <xsd:schema xmlns:xsd="http://www.w3.org/2001/XMLSchema" xmlns:xs="http://www.w3.org/2001/XMLSchema" xmlns:p="http://schemas.microsoft.com/office/2006/metadata/properties" xmlns:ns2="0b4895a4-109c-4734-9b5c-08e0b57b8d04" xmlns:ns3="9b040ff4-24fd-4220-8396-ee1f6ad4992d" targetNamespace="http://schemas.microsoft.com/office/2006/metadata/properties" ma:root="true" ma:fieldsID="64facee55664a1f64dc35163d68f6f36" ns2:_="" ns3:_="">
    <xsd:import namespace="0b4895a4-109c-4734-9b5c-08e0b57b8d04"/>
    <xsd:import namespace="9b040ff4-24fd-4220-8396-ee1f6ad4992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895a4-109c-4734-9b5c-08e0b57b8d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93bc292-4470-415f-891b-16f65066b5a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040ff4-24fd-4220-8396-ee1f6ad4992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06873769-555d-45d4-9f27-c001d2ff8a92}" ma:internalName="TaxCatchAll" ma:showField="CatchAllData" ma:web="9b040ff4-24fd-4220-8396-ee1f6ad499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b040ff4-24fd-4220-8396-ee1f6ad4992d" xsi:nil="true"/>
    <lcf76f155ced4ddcb4097134ff3c332f xmlns="0b4895a4-109c-4734-9b5c-08e0b57b8d04">
      <Terms xmlns="http://schemas.microsoft.com/office/infopath/2007/PartnerControls"/>
    </lcf76f155ced4ddcb4097134ff3c332f>
    <SharedWithUsers xmlns="9b040ff4-24fd-4220-8396-ee1f6ad4992d">
      <UserInfo>
        <DisplayName/>
        <AccountId xsi:nil="true"/>
        <AccountType/>
      </UserInfo>
    </SharedWithUsers>
    <MediaLengthInSeconds xmlns="0b4895a4-109c-4734-9b5c-08e0b57b8d04" xsi:nil="true"/>
  </documentManagement>
</p:properties>
</file>

<file path=customXml/itemProps1.xml><?xml version="1.0" encoding="utf-8"?>
<ds:datastoreItem xmlns:ds="http://schemas.openxmlformats.org/officeDocument/2006/customXml" ds:itemID="{B931CFB9-F32C-49D5-B8D0-53B29C36566D}">
  <ds:schemaRefs>
    <ds:schemaRef ds:uri="http://schemas.microsoft.com/sharepoint/v3/contenttype/forms"/>
  </ds:schemaRefs>
</ds:datastoreItem>
</file>

<file path=customXml/itemProps2.xml><?xml version="1.0" encoding="utf-8"?>
<ds:datastoreItem xmlns:ds="http://schemas.openxmlformats.org/officeDocument/2006/customXml" ds:itemID="{E717AD6C-7139-4252-B2E7-EE693841C4A4}"/>
</file>

<file path=customXml/itemProps3.xml><?xml version="1.0" encoding="utf-8"?>
<ds:datastoreItem xmlns:ds="http://schemas.openxmlformats.org/officeDocument/2006/customXml" ds:itemID="{2345B4F2-3B30-4162-9FB0-76A0A8117CF5}">
  <ds:schemaRefs>
    <ds:schemaRef ds:uri="0b4895a4-109c-4734-9b5c-08e0b57b8d04"/>
    <ds:schemaRef ds:uri="http://purl.org/dc/elements/1.1/"/>
    <ds:schemaRef ds:uri="http://schemas.microsoft.com/office/infopath/2007/PartnerControls"/>
    <ds:schemaRef ds:uri="http://schemas.microsoft.com/office/2006/documentManagement/types"/>
    <ds:schemaRef ds:uri="http://schemas.microsoft.com/office/2006/metadata/properties"/>
    <ds:schemaRef ds:uri="http://purl.org/dc/dcmitype/"/>
    <ds:schemaRef ds:uri="http://schemas.openxmlformats.org/package/2006/metadata/core-properties"/>
    <ds:schemaRef ds:uri="9b040ff4-24fd-4220-8396-ee1f6ad4992d"/>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Vragenlijst</vt:lpstr>
      <vt:lpstr>Theorie</vt:lpstr>
      <vt:lpstr>Data (NIET BEWERKEN!!)</vt:lpstr>
      <vt:lpstr>Uitwerking (NIET BEWERKEN!!)</vt:lpstr>
      <vt:lpstr>Vragenlijst!Print_Area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Chantal</dc:creator>
  <cp:keywords/>
  <dc:description/>
  <cp:lastModifiedBy>Andana Borcan</cp:lastModifiedBy>
  <cp:revision/>
  <dcterms:created xsi:type="dcterms:W3CDTF">2020-11-26T09:31:06Z</dcterms:created>
  <dcterms:modified xsi:type="dcterms:W3CDTF">2024-01-25T12:38:12Z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0x01010035A3777C117E8F4490629ADC5280BDCD</vt:lpwstr>
  </property>
  <property fmtid="{D5CDD505-2E9C-101B-9397-08002B2CF9AE}" pid="3" name="Order">
    <vt:r8>45359300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ies>
</file>