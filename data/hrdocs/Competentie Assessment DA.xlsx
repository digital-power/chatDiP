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igitalpower.sharepoint.com/sites/Organisatie/Gedeelde documenten/Development/Competence assessment/"/>
    </mc:Choice>
  </mc:AlternateContent>
  <xr:revisionPtr revIDLastSave="116" documentId="8_{72F693DC-A3B8-4B3A-9EBE-B2565D4C68DA}" xr6:coauthVersionLast="47" xr6:coauthVersionMax="47" xr10:uidLastSave="{154269FF-6160-4A67-B652-DAF1D2FDCD16}"/>
  <bookViews>
    <workbookView xWindow="-120" yWindow="-120" windowWidth="29040" windowHeight="15720" firstSheet="1" activeTab="1" xr2:uid="{1F9F934B-3F76-4FFB-9890-B75BF435F439}"/>
  </bookViews>
  <sheets>
    <sheet name="Theorie" sheetId="4" r:id="rId1"/>
    <sheet name="Vragenlijst" sheetId="1" r:id="rId2"/>
    <sheet name="Data (NIET BEWERKEN!!)" sheetId="3" r:id="rId3"/>
    <sheet name="Uitwerking (NIET BEWERKEN!!)" sheetId="2" r:id="rId4"/>
  </sheets>
  <definedNames>
    <definedName name="_xlnm.Print_Area" localSheetId="1">Vragenlijst!$A$12:$D$196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3" l="1"/>
  <c r="Q4"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R7" i="2" s="1"/>
  <c r="T18" i="3"/>
  <c r="Q7" i="2" s="1"/>
  <c r="S18" i="3"/>
  <c r="P7" i="2" s="1"/>
  <c r="R18" i="3"/>
  <c r="O7" i="2" s="1"/>
  <c r="Q18" i="3"/>
  <c r="N7" i="2" s="1"/>
  <c r="P18" i="3"/>
  <c r="M7" i="2" s="1"/>
  <c r="O18" i="3"/>
  <c r="L7" i="2" s="1"/>
  <c r="N18" i="3"/>
  <c r="K7" i="2" s="1"/>
  <c r="M18" i="3"/>
  <c r="J7" i="2" s="1"/>
  <c r="L18" i="3"/>
  <c r="I7" i="2" s="1"/>
  <c r="K18" i="3"/>
  <c r="H7" i="2" s="1"/>
  <c r="J18" i="3"/>
  <c r="G7" i="2" s="1"/>
  <c r="I18" i="3"/>
  <c r="F7" i="2" s="1"/>
  <c r="H18" i="3"/>
  <c r="E7" i="2" s="1"/>
  <c r="G18" i="3"/>
  <c r="D7" i="2" s="1"/>
  <c r="F18" i="3"/>
  <c r="C7" i="2" s="1"/>
  <c r="E18" i="3"/>
  <c r="B7" i="2" s="1"/>
  <c r="E5" i="3"/>
  <c r="B4" i="2" s="1"/>
  <c r="G5" i="2" s="1"/>
  <c r="L5" i="3"/>
  <c r="I4" i="2" s="1"/>
  <c r="Q5" i="3"/>
  <c r="N4" i="2" s="1"/>
  <c r="I1" i="2"/>
  <c r="I2" i="2"/>
  <c r="N1" i="2"/>
  <c r="N2" i="2"/>
  <c r="C27" i="3"/>
  <c r="C26" i="3"/>
  <c r="C25" i="3"/>
  <c r="C24" i="3"/>
  <c r="C23" i="3"/>
  <c r="C22" i="3"/>
  <c r="C21" i="3"/>
  <c r="C20" i="3"/>
  <c r="C19" i="3"/>
  <c r="C18" i="3"/>
  <c r="AI5" i="3"/>
  <c r="AF4" i="2" s="1"/>
  <c r="AH5" i="3"/>
  <c r="AE4" i="2" s="1"/>
  <c r="AG5" i="3"/>
  <c r="AD4" i="2" s="1"/>
  <c r="AF5" i="3"/>
  <c r="AC4" i="2" s="1"/>
  <c r="AE5" i="3"/>
  <c r="AB4" i="2" s="1"/>
  <c r="AF5" i="2" s="1"/>
  <c r="AD5" i="3"/>
  <c r="AA4" i="2" s="1"/>
  <c r="AC5" i="3"/>
  <c r="Z4" i="2" s="1"/>
  <c r="AB5" i="3"/>
  <c r="Y4" i="2" s="1"/>
  <c r="AA5" i="3"/>
  <c r="X4" i="2" s="1"/>
  <c r="Z5" i="3"/>
  <c r="W4" i="2" s="1"/>
  <c r="Y5" i="3"/>
  <c r="V4" i="2" s="1"/>
  <c r="X5" i="3"/>
  <c r="U4" i="2" s="1"/>
  <c r="W5" i="3"/>
  <c r="T4" i="2" s="1"/>
  <c r="V5" i="3"/>
  <c r="S4" i="2" s="1"/>
  <c r="U5" i="3"/>
  <c r="R4" i="2" s="1"/>
  <c r="S5" i="3"/>
  <c r="P4" i="2" s="1"/>
  <c r="R5" i="3"/>
  <c r="O4" i="2" s="1"/>
  <c r="P5" i="3"/>
  <c r="M4" i="2" s="1"/>
  <c r="O5" i="3"/>
  <c r="L4" i="2" s="1"/>
  <c r="N5" i="3"/>
  <c r="K4" i="2" s="1"/>
  <c r="M5" i="3"/>
  <c r="J4" i="2" s="1"/>
  <c r="K5" i="3"/>
  <c r="H4" i="2" s="1"/>
  <c r="L5" i="2" s="1"/>
  <c r="J5" i="3"/>
  <c r="G4" i="2" s="1"/>
  <c r="I5" i="3"/>
  <c r="F4" i="2" s="1"/>
  <c r="H5" i="3"/>
  <c r="E4" i="2" s="1"/>
  <c r="G5" i="3"/>
  <c r="D4" i="2" s="1"/>
  <c r="F5" i="3"/>
  <c r="C4" i="2" s="1"/>
  <c r="AA5" i="2" l="1"/>
  <c r="V5" i="2"/>
  <c r="Q5" i="2"/>
  <c r="V8" i="2"/>
  <c r="Q8" i="2"/>
  <c r="AA8" i="2"/>
  <c r="AF8" i="2"/>
  <c r="L8" i="2"/>
  <c r="G8" i="2"/>
  <c r="AF2" i="2"/>
  <c r="AE2" i="2"/>
  <c r="AD2" i="2"/>
  <c r="AC2" i="2"/>
  <c r="AB2" i="2"/>
  <c r="AA2" i="2"/>
  <c r="Z2" i="2"/>
  <c r="Y2" i="2"/>
  <c r="X2" i="2"/>
  <c r="W2" i="2"/>
  <c r="V2" i="2"/>
  <c r="U2" i="2"/>
  <c r="T2" i="2"/>
  <c r="S2" i="2"/>
  <c r="R2" i="2"/>
  <c r="Q2" i="2"/>
  <c r="P2" i="2"/>
  <c r="O2" i="2"/>
  <c r="M2" i="2"/>
  <c r="L2" i="2"/>
  <c r="K2" i="2"/>
  <c r="J2" i="2"/>
  <c r="H2" i="2"/>
  <c r="G2" i="2"/>
  <c r="F2" i="2"/>
  <c r="E2" i="2"/>
  <c r="D2" i="2"/>
  <c r="C2" i="2"/>
  <c r="AF1" i="2"/>
  <c r="AE1" i="2"/>
  <c r="AD1" i="2"/>
  <c r="AC1" i="2"/>
  <c r="AB1" i="2"/>
  <c r="AA1" i="2"/>
  <c r="Z1" i="2"/>
  <c r="Y1" i="2"/>
  <c r="X1" i="2"/>
  <c r="W1" i="2"/>
  <c r="V1" i="2"/>
  <c r="U1" i="2"/>
  <c r="T1" i="2"/>
  <c r="S1" i="2"/>
  <c r="R1" i="2"/>
  <c r="Q1" i="2"/>
  <c r="P1" i="2"/>
  <c r="O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 r="B19" i="3" l="1"/>
  <c r="D19" i="3"/>
  <c r="B20" i="3"/>
  <c r="D20" i="3"/>
  <c r="B21" i="3"/>
  <c r="D21" i="3"/>
  <c r="D18" i="3"/>
  <c r="B18" i="3"/>
  <c r="A19" i="3" l="1"/>
  <c r="A20" i="3"/>
  <c r="A21" i="3"/>
  <c r="A18" i="3"/>
</calcChain>
</file>

<file path=xl/sharedStrings.xml><?xml version="1.0" encoding="utf-8"?>
<sst xmlns="http://schemas.openxmlformats.org/spreadsheetml/2006/main" count="378" uniqueCount="232">
  <si>
    <t>Digital Power Competentiehuis</t>
  </si>
  <si>
    <t>Competentiegebieden</t>
  </si>
  <si>
    <t>Vragenlijst</t>
  </si>
  <si>
    <t>Voorbeeld competentiegebied</t>
  </si>
  <si>
    <t>Vul per situatie de corresponderende invulwaarde in bij de best passende competentie beschrijving</t>
  </si>
  <si>
    <t>Invulinstructie</t>
  </si>
  <si>
    <t>Voorbeeld competentie</t>
  </si>
  <si>
    <t>Competentieniveau tot heden</t>
  </si>
  <si>
    <t>Wenselijk competentieniveau</t>
  </si>
  <si>
    <t>Invulwaarde</t>
  </si>
  <si>
    <t xml:space="preserve">
Ieder competentiegebied (6), te herkennen aan de verschillende kleuren, bestaat uit een aantal specifieke competenties.
Bepaal voor iedere competentie waar je ambitie (wenselijk competenieniveau) ligt en waar je nu staat (competentieniveau tot heden). 
- Doe dit door jezelf te scoren op de aangegeven schaal (zie voorbeeld)
- Indien je (nu) geen ambitie hebt op een competentie, hou je de score aan die weergeeft wat je competentieniveau tot heden is.
Bepaal bij iedere competentie welke beschrijvng het beste past voor de situatie (heden/ wens). Kijk niet alleen naar kennis en kunde, maar ook naar invloedssfeer en mate aan (persoonlijk) leiderschap in je rol bij de klant. 
Creeer je gewenste profiel aan de hand van je ambitie! En ontwikkel díe competenties die invulling geven aan het verwezenlijken van deze ambitie.
Het doel is niet om te toetsen of je wel/ geen goede consultant bent binnen dit domein. Het doel is wel dat je competenties ontwikkelt die bij jouw ambitie passen.
Wees realitisch bij het invullen. Alleen dan gebruik je het tot de volle potentie.
Succes met invullen!</t>
  </si>
  <si>
    <t>Voorbeeld competentie beschrijving: Acteert bij klanten op competentie A.</t>
  </si>
  <si>
    <t>Voorbeeld competentie beschrijving: Acteert bij klanten naast compententie A, ook op competentie B.</t>
  </si>
  <si>
    <t>Voorbeeld competentie beschrijving: Acteert bij klanten naast compententie A en B, ook op competentie C.</t>
  </si>
  <si>
    <t>Voorbeeld competentie beschrijving: Acteert bij klanten naast compententie A, B en C, ook op competentie D.</t>
  </si>
  <si>
    <t>Voorbeeld competentie beschrijving: Acteert bij klanten naast compententie A, B, C en D, ook op competentie E.</t>
  </si>
  <si>
    <t>Competentiegebied: Digital Power basis competenties</t>
  </si>
  <si>
    <t>Leren &amp; reflecteren</t>
  </si>
  <si>
    <t>Heeft een groei mindset</t>
  </si>
  <si>
    <t>Ontvangt positieve en opbouwende feedback met een open houding, is in staat dit voor zelfreflectie te gebruiken, het op te nemen in zijn/ haar eigen ontwikkeling en hier de nodige ontwikkeling op te ondernemen met trainingen en cursussen.</t>
  </si>
  <si>
    <t>Is naast bovengenoemde externe prikkel (feedback van anderen), in staat zelf kritisch te blijven op eigen kennis en ervaring en het eventueel ontbreken ervan. Neemt hierin de nodige acties en neemt daarin zelf de regie over de eigen ontwikkeling.</t>
  </si>
  <si>
    <t>Neemt een voorbeeldrol aan in bovengenoemde competenties en draagt deze eveneens actief uit vanuit de begeleidende rol naar juniors en mediors.</t>
  </si>
  <si>
    <t>Neemt een leidersrol aan in bovengenoemde competenties en draagt deze actief uit vanuit de begeleidersrol en/ of als organisatieverantwoordelijke.</t>
  </si>
  <si>
    <t>Ondersteunen &amp; samenwerken</t>
  </si>
  <si>
    <t>Heeft een collegiale mindset</t>
  </si>
  <si>
    <t>Is behulpzaam en betrokken naar zowel interne als externe collega's</t>
  </si>
  <si>
    <t xml:space="preserve">Zoekt actief de samenwerking op. Zowel binnen als buiten het eigen team waarin je (tijdelijk) onderdeel van uitmaakt. </t>
  </si>
  <si>
    <t>Neemt een voorbeeld rol in bij het zoeken naar samenwerking. Neemt de verantwoordelijkheid op zich om anderen te ondersteunen en de hulp te bieden om ervoor te zorgen dat teamleden zelfredzaam worden in hun werkzaamheden.</t>
  </si>
  <si>
    <t>…</t>
  </si>
  <si>
    <t>Ondernemen &amp; resultaatgericht</t>
  </si>
  <si>
    <t>Heeft een ondernemende &amp; resultaatgerichte mindset</t>
  </si>
  <si>
    <t xml:space="preserve">Gericht op effectief handelen en het op tijd opleveren van afgesproken werk, binnen de afgesproken tijd. </t>
  </si>
  <si>
    <t>Naast bovengenoemde competenties in staat kansen te herkennen en actief te handelen om klanten te helpen en/ of DiP verder te profilen. Is in staat klantdoelstellingen te vertalen naar concrete en praktische acties.</t>
  </si>
  <si>
    <t>Naast bovengenoemde competenties in staat commerciele activiteiten (zoals het uitbouwen van uren, additionele opdrachten genereren ed.) te verhogen. Ontplooit binnen DiP projecten en overziet en/ of begeleidt deze naar het beoogde resultaat.</t>
  </si>
  <si>
    <t>Naast bovengenoemde competenties verantwoordelijk voor de ontwikkeling van een specialisme binnen DiP. Incl. het monitoren en marktconform houden van dit specialisme.</t>
  </si>
  <si>
    <t>Klantgericht</t>
  </si>
  <si>
    <t>Heeft een klantgerichte mindset</t>
  </si>
  <si>
    <t>Herkent behoeften en belangen van de klant; stelt zich hulpvaardig op en houdt in het handelen rekening met de behoeften en belangen van de klant.</t>
  </si>
  <si>
    <t>Denkt naast bovengenoemde competenties, actief mee met de klant. Deelt inzichten in de klantorganisatie binnen DiP om commerciële  activiteiten verder uit te kunnen breiden. Streeft daarin actief naar verhoging van klanttevredenheid en kwaliteitsverbetering.</t>
  </si>
  <si>
    <t>Stimuleert en faciliteert naast bovengenoemde competenties, ook anderen om actief klantgericht te opereren. Is in staat klantactiviteit uit te breiden d.m.v. expertise. Overtreft de verwachtingen van de klant.</t>
  </si>
  <si>
    <t>Draagt, naast bovengenoemde competenties, de verantwoordelijkheid voor een klantgerichte aanpak. Zet zich in voor het structureel hoogwaardig houden van de klantgerichtheid.</t>
  </si>
  <si>
    <t>Kennisdeling</t>
  </si>
  <si>
    <t>Neemt actief kennis op uit de DiP organisatie.</t>
  </si>
  <si>
    <t>Neemt kennis op uit de DiP organisatie en deelt actief eigen ervaringen met collega's.</t>
  </si>
  <si>
    <t>Deelt, naast bovengenoemde, actief eigen ervaringen en kennis in DiP meet-ups, peergroups en het geven van trainingen, etc. Draagt kennis eveneens extern uit in meet-ups, conferenties, trainingen, blogs, inspiratiesessies, etc.</t>
  </si>
  <si>
    <t>Is naast bovengenoemde activiteiten, door verworven kennis en ervaring een vraagbaak voor consultants in zijn/ haar specialisme. En draagt bij aan de teamspirit.</t>
  </si>
  <si>
    <t>Draagt, naast bovengenoemde activiteiten, eveneens de verantwoordelijkheid over het niveau van kennisdeling. Zorgt ervoor dat kennisdeling op peil blijft qua inhoud en frequentie.</t>
  </si>
  <si>
    <t>Coaching &amp; begeleiding</t>
  </si>
  <si>
    <t>Heeft nooit (in)formeel coaching of begeleiding gegeven op professioneel gebied</t>
  </si>
  <si>
    <t>Heeft één of meerdere trainingen/ cursussen gevolgd over coachen en/ of begeleiden op professioneel gebied.</t>
  </si>
  <si>
    <t>Heeft (binnen DiP) één of meerdere collega's informeel gecoached en/ of begeleidt op professioneel gebied.</t>
  </si>
  <si>
    <t>Begeleidt (binnen DiP) formeel één of meerdere junior/ medior consultants op professioneel gebied in hun ontwikkeling.</t>
  </si>
  <si>
    <t>Begeleidt (binnen DiP) formeel meer dan 4 jaar één of meerdere junior/ medior/ senior consultants op professioeel gebied in hun ontwikkeling.</t>
  </si>
  <si>
    <t>Competentiegebied: Data Analytics domein competenties</t>
  </si>
  <si>
    <t>Domeinkennis</t>
  </si>
  <si>
    <t>Heeft opleidingservaring met het verwerken van en interpreteren van data</t>
  </si>
  <si>
    <t>Heeft enige werkervaring . Kan goed inschatten welke variabelen van belang zijn bij een vraagstuk, hoe deze te valideren, en hoe deze toe te passen</t>
  </si>
  <si>
    <t>Heeft bij meerdere klanten &amp; werkvelden ervaring opgedaan</t>
  </si>
  <si>
    <t>Heeft kennis van meerdere disiplines buiten DA en kan voorstellen doen om binnen org synergie te bereiken tussen disicplines</t>
  </si>
  <si>
    <t>Is actief bezig met het verbeteren van de samenwerking tussen verschillende disiplines binnen organisaties</t>
  </si>
  <si>
    <t>Metrics, KPI's en doelen</t>
  </si>
  <si>
    <t>Begrijpt het belang van data en meetbaarheid</t>
  </si>
  <si>
    <t>Snapt het verschil tussen KPI's en gewone metrics</t>
  </si>
  <si>
    <t>Kan doelen vertalen naar meetbare KPI's, bijvoorbeeld in de vorm van een KPI framework (north-star, etc)</t>
  </si>
  <si>
    <t xml:space="preserve">Neemt actief de verantwoordelijkheid dat de klant, afdeling of collega's sturen op KPI's die aansluiten op bedrijfsdoelen </t>
  </si>
  <si>
    <t>Is genadeloos in het benadrukken en pushen van organisatie brede kpi's en hoe deze zich manifesteren in de lagere lagen van de organisatie. Loopt niet weg van een discussie omtrent het bespreekbaar maken van (spook)kpi's die invloed hebben op personeel zonder dat deze officeel te boek staan als organisatie-brede kpi</t>
  </si>
  <si>
    <t>Wiskunde &amp; statistiek</t>
  </si>
  <si>
    <t>Kent de basis van statistiek, wiskunde en rekenregels</t>
  </si>
  <si>
    <t>Basiskennis wiskunde (vb. gewogen gemiddelde, bewerkingsvolgorde)
Kennis van statistiek (vb. z-test, regressie, significantie)</t>
  </si>
  <si>
    <t>Weet welke statistische toets of analyse gebruikt moet worden en kan deze zelfstandig uitvoeren</t>
  </si>
  <si>
    <t>Kan zichzelf profileren als medior data scientist, op statistisch vlak (los van codeerskills)</t>
  </si>
  <si>
    <t>Kan zichzelf profileren als senior data scientist, op statistisch vlak (los van codeerskills)</t>
  </si>
  <si>
    <t>Data interpretatie &amp; analyse</t>
  </si>
  <si>
    <t>Heeft een idee van wat aannames zijn en hoe je deze mogelijk kan toetsen adhv bepaalde variabelen</t>
  </si>
  <si>
    <t>Maakt correct gebruik van analyse proces</t>
  </si>
  <si>
    <t>Heeft verschillende analysemethoden toegepast (funnel, clustering, heatmaps)
Basiskennis R / Python en mogelijkheden DA
Heeft kennis van querytools (sql, big query)</t>
  </si>
  <si>
    <t>Beargumenteert welke analysemethoden nodig is voor vraagstuk, Zorgt daarbij ook voor het gelijktrekken van definities en meetmethodes ,
Is verantwoordelijk voor analyseproces en het afdelingsovertijgend advies geven over bedrijfsvoering.
Stuurt aan op nieuwe onderzoeksrichtingen en hypotheses.</t>
  </si>
  <si>
    <t>Is verantwoordelijk voor analyseproces en is pro-actief in het pushen van uniformiteit in meetmethodes en definities binnen org. Zorgt dat actie wordt ondernomen op datagedreven conclusies. Ziet kansen voor organisatiebrede optimalisaties obv analyses.</t>
  </si>
  <si>
    <t>Dashboarding &amp; reporting</t>
  </si>
  <si>
    <t xml:space="preserve">Snapt het doel van een dashboard, kan deze lezen en interpreteren. </t>
  </si>
  <si>
    <t>houdt zich actief bezig met het visualiseren van data en zoekt altijd naar de beste manier om de data voor zich te laten spreken mbv visualisatierichtlijnen</t>
  </si>
  <si>
    <t xml:space="preserve">Houdt zich actief bezig met het overbrengen van data in presentaties/rapportages/dashboards.  Kan requirements ophalen bij stakeholders en deze iteratief verwerken. Heeft kennis hoe de adoptie van een dashboard te verhogen. </t>
  </si>
  <si>
    <t>Test binnen organisaties alle metrics die naar voren komen in presentaties/dashboards/raportages. Waarom willen we dit weten/waarom meten we dit/wat doen we ermee</t>
  </si>
  <si>
    <t>Adviseert op een actieve manier organisaties om hun kpi's te visualiseren en te rapporteren en hecht belang aan het org-breed beschikbaar maken van deze inzichten</t>
  </si>
  <si>
    <t>Competentiegebied: Data Analytics Hardskills</t>
  </si>
  <si>
    <t>Toolkennis</t>
  </si>
  <si>
    <t>Heeft basiservaring met word/powerpoint/excel of vergelijkbare tools</t>
  </si>
  <si>
    <t>Heeft werkervaring met 1 à 2 recente analysetools en heeft basiskennis van enkele aanverwante tools, anders dan analysetools (ad management, tag management, AB- testing, voice of customer,etc.)</t>
  </si>
  <si>
    <t xml:space="preserve">Heeft werkervaring met meerdere analysetools en is in ten minste 1 hiervan dusdanig bekwaam dat hij/zij  er intern/ extern een training over heeft gegeven/kan geven. </t>
  </si>
  <si>
    <t>Wordt gezien als expert in meerdere recente tools en is dus vaak een aanspreekpunt omtrent vragen over deze tool(s). Heeft tooltrainingen gegeven in meerdere tools of skills.</t>
  </si>
  <si>
    <t>Heeft naast bovengenoemde, advies gegeven over (aanschaf van) tools</t>
  </si>
  <si>
    <t>Implementatie &amp; data verzameling</t>
  </si>
  <si>
    <t>Begrijpt in hoofdlijnen waar data vandaan kan komen (web/app/server/api)</t>
  </si>
  <si>
    <t>Basiskennis tagging, heeft globaal begrip technische werking web/ app</t>
  </si>
  <si>
    <t>Kritisch op data/ context/ datakwaliteit
Heeft begrip technische werking web/ app
Competent in opstellen tagplannen
Competent in implementeren tagplannen
Kan voorstellen doen over verbeteringen tov deze punten</t>
  </si>
  <si>
    <t>Ervaring met het toepassen en/of verbeteren en/of implementeren van informatievoorzieningen in grote organisaties (waarbij team overstijgend requirements en afstemming moet plaatsvinden)</t>
  </si>
  <si>
    <t>Projecten geleid waarbij een organisatie overging/startte met nieuwe implementatie van een data collectie systeem</t>
  </si>
  <si>
    <t>Data verwerking</t>
  </si>
  <si>
    <t>Begrijpt de concepten van waar data vandaan kan komen (web/app/server/api)</t>
  </si>
  <si>
    <t>Weet hoe data bruikbaar gemaakt kan worden voor een analyse  of ander doel(visualisatie) en kan dit ook zelf (grotendeels) uitvoeren</t>
  </si>
  <si>
    <t>Heeft kennis van querytools (vb. SQL, BigQuery) en heeft meerdere databronnen gecombineerd voor analyses | Basiskennis R &amp; python en mogelijkheden met DA</t>
  </si>
  <si>
    <t>Kan meerdere databronnen zelfstandig combineren en weet deze data op de juiste manier bruikbaar te maken voor analyses</t>
  </si>
  <si>
    <t>Kan zelf databronnen creeren en aan elkaar koppelen en adviseert organisaties over hoe data het beste beschikbaar te krijgen (richting DE)</t>
  </si>
  <si>
    <t>Data visualisatie</t>
  </si>
  <si>
    <t>heeft wel eens data gevisualiseerd in presentaties/word/excel/powerpoint/indesign/etc</t>
  </si>
  <si>
    <t>Heeft basiskennis van 1 analytics-en visualsatietool (firebase/ga/adobe/etc)</t>
  </si>
  <si>
    <t>Expert in minstens 1 analytics- en visualisatietool</t>
  </si>
  <si>
    <t>Heeft met meerdere analytics en visualtietools gewerkt en is op de hoogte van verschillen tussen de tools en kan hierover klanten adviseren welke voor hun het meest geschikt zou zijn</t>
  </si>
  <si>
    <t>Kan op meerdere manieren data visualiseren en is daarbij niet gelimiteerd tot saas-oplossingen maar weet ook hoe data te visualiseren met andere mogelijkheden. Kan adviseren in keuze voor visualisatietool.</t>
  </si>
  <si>
    <t>Wettelijke &amp; etische kaders</t>
  </si>
  <si>
    <t>Is zich bewust van het bestaan van de AVG</t>
  </si>
  <si>
    <t>Is bekend met de juridische eisen rondom privacy (AVG, data opslag, dataverzameling, datalek, etc) en neemt deze in acht bij de eigen werkzaamheden.</t>
  </si>
  <si>
    <t>Adviseert klanten pro-actief over de juridische eisen en implicaties rondom privacy.</t>
  </si>
  <si>
    <t>Neemt naast bovengenoemde, eveneens ethische overwegingen en implicaties in acht bij de eigen werkzaamheden. Attendeert over dit aspect.</t>
  </si>
  <si>
    <t>Adviseert klanten pro-actief over de ethische overwegingen en implicaties van keuzes.</t>
  </si>
  <si>
    <t>Competentiegebied: Basis consultancy competenties</t>
  </si>
  <si>
    <t>Adviseren</t>
  </si>
  <si>
    <t>Geeft advies over vragen vanuit de directe business (stakeholders). Veelal op operationeel gebied.</t>
  </si>
  <si>
    <t>Geeft naast bovengenoemde competenties, pro-actief advies over aanverwante analyses en inzichten. Is in staat inzichten te bezien vanuit andere perspectieven dan de eigen business (stakeholders) en betrekt deze in het proces.</t>
  </si>
  <si>
    <t>Geeft naast bovengenoemde competenties, advies met een organisatie brede impact.</t>
  </si>
  <si>
    <t>Geeft naast bovengenoemde competenties, advies op management- en/ of organisatieniveau.</t>
  </si>
  <si>
    <t>Doortastend &amp; probleemoplossend</t>
  </si>
  <si>
    <t>Heeft een nieuwsgierige en pragmatische mindset.</t>
  </si>
  <si>
    <t>In staat binnen je afdeling/ project kritische vragen te stellen. In staat tot een passende oplossing te komen voor de eigen business (stakeholders).</t>
  </si>
  <si>
    <t>Naast bovengenoemde competenties in staat om tot de kern van het probleem te komen met een afdelings- en/ of opdrachtoverstijgende impact. In staat dit te adresseren en tot een oplossing te komen die breder gedragen wordt.</t>
  </si>
  <si>
    <t>Naast bovengenoemde competenties in staat tot de kern van het probleem te komen met een organisatie brede impact.</t>
  </si>
  <si>
    <t>Naast bovengenoemde competenties in staat tot de kern van het probleem te komen met een organisatie brede impact. In staat dit te adresseren en tot een oplossing te komen die orgaisatiebreed gedragen wordt.</t>
  </si>
  <si>
    <t>Interpersoonlijk communicatie</t>
  </si>
  <si>
    <t>Heeft een toegankelijke houding.</t>
  </si>
  <si>
    <t>Heeft een zichtbare en toegankelijke houding. Kan goed luisteren en terugkoppelen en kan zich goed in anderen verplaatsen.</t>
  </si>
  <si>
    <t>Stelt zich naast bovengenoemde competenties assertief op en hanteert een gezonde belans tussen meebewegen met de klant en het bewaken van de eigen grenzen.</t>
  </si>
  <si>
    <t>Bevorderd, naast bovengenoemde competenties, actief de onderlinge communicatie tussen jezelf en je opdrachtgever(s). En daarbij ook met de team(s) en afdeling(en) waarmee word samengewerkt.</t>
  </si>
  <si>
    <t>Reikt, naast bovengenoemde competenties, actief handvatten en middelen aan om de onderlinge communicatie tussen teams en afdelingen vorm te geven en te bevorderen.</t>
  </si>
  <si>
    <t>Verwachtingsmanagement</t>
  </si>
  <si>
    <t>Toetst verwachtingen die worden gesteld aan zijn/ haar werk; manier van werken, scope, doel, tijdslijnen, inhoud, etc.</t>
  </si>
  <si>
    <t>Inventariseert naast bovengenoemde, de achterliggende belangen. Neemt deze informatie mee bij het stellen van prioriteiten en communiceert deze pro-actief.</t>
  </si>
  <si>
    <t>Benoemt en bespreekt verwachtingen vanuit persoonlijke titel en/ of DiP belangen en neemt hierin het iniatief bij het vaststellen van samenwerking, scope, prioriteiten, doel, tijdslijnen, inhoud, etc.</t>
  </si>
  <si>
    <t>Stelt verwachtingen en stuurt er actief op aan dat belangen en verwachtingen van alle betrokkenen uitgesproken en zo ver als mogelijka afgestemt worden.</t>
  </si>
  <si>
    <t>Schriftelijke en mondelinge communicatie (presentatie, voorstel, resultaat, advies)</t>
  </si>
  <si>
    <t>Spreekt én schrijft begrijpelijk en correct Nederlands en Engels voor een zakelijke doelgroep. Is goed verstaanbaar in zowel volume als uitspraak.</t>
  </si>
  <si>
    <t>Stemt, naast bovengenoemde competenties, de spreek- en/ of schrijfstijl af op het beoogd doel of de doelgroep. Is daarin helder en to-the-point uit, zodat de boodschap goed begrepen wordt. Toetst of de boodschap op een juiste wijze is overgekomen.</t>
  </si>
  <si>
    <t>Is naast bovengenoemde competenties in staat complexe onderwerpen begrijpelijk te maken voor anderen en stelt daarin een samenwerkende houding aan de dag.</t>
  </si>
  <si>
    <t>Past naast bovengenoemde competenties situationele communicatie toe. Je geeft impliciete sturing aan de uitkomst van de mondelinge transactie (presentatie, bila, gesprek, advies, etc.)</t>
  </si>
  <si>
    <t>Past naast bovengenoemde competenties, situationeel leiderschap toe waarin impliciete sturing overgaat naar expliciete sturing. Ofwel leiderschap.</t>
  </si>
  <si>
    <t>Competentiegebied: Business competenties</t>
  </si>
  <si>
    <t>Organisatie- en managementidentificatie</t>
  </si>
  <si>
    <t>Heeft geen/ weinig kennis van de organisatiestructuur bij een klant.</t>
  </si>
  <si>
    <t>Heeft kennis van de organisatiestructuur bij een klant.</t>
  </si>
  <si>
    <t>Heeft gevoel voor verhoudingen binnen de organisatie. Onderkent belangen van stakeholders.</t>
  </si>
  <si>
    <t>Heeft gevoel voor verhoudingen binnen de organisatie. Onderkent belangen van stakeholders en overziet conquenties van aanpak en legt verbanden met andere stakeholders en/ of vraagstukken.</t>
  </si>
  <si>
    <t>Wordt als Business Analist ingezet</t>
  </si>
  <si>
    <t>Strategische conceptualisatie</t>
  </si>
  <si>
    <t>Is in staat operationele strategie en doelen te herkennen</t>
  </si>
  <si>
    <t>Is in staat operationele strategie en doelen aan elkaar te verbinden en te conceptualiseren</t>
  </si>
  <si>
    <t>Is in staat strategie en doelen van management- en operatie aan elkaar te verbinden en te conceptualiseren</t>
  </si>
  <si>
    <t>Is in staat strategie en doelen van directie-, management - en operatie aan elkaar te verbinden en te conceptualiseren</t>
  </si>
  <si>
    <t>Wordt als Strateeg ingezet</t>
  </si>
  <si>
    <t>Projectmanagement</t>
  </si>
  <si>
    <t>Heeft opdrachtgever en/ of stakeholders op de hoogte gehouden van voortgang op de eigen opdracht- of projectplanning</t>
  </si>
  <si>
    <t>Heeft opdrachtgever én stakeholders op de hoogte gehouden van voortgang op de project- of opdrachtplanning</t>
  </si>
  <si>
    <t>Heeft één of meerdere projecten gemanaged, zonder hierbij gebruik te maken van een methodische aanpak</t>
  </si>
  <si>
    <t>Heeft één of meerdere projecten gemanaged a.d.h.v. projectmanagement methodes als (Agile, Scrum, Kanban, Lean, Six Sigma, Prince2, etc.)</t>
  </si>
  <si>
    <t>Wordt als Projectmanager/ Productowner ingezet</t>
  </si>
  <si>
    <t>Verandermanagement (richting datagedreven werken)</t>
  </si>
  <si>
    <t>Heeft nog nooit een verandertraject richting datagedreven werken meegemaakt</t>
  </si>
  <si>
    <t>Heeft een actief meewerkende rol gespeeld bij één of meerdere verandertrajecten richting datagedreven werken</t>
  </si>
  <si>
    <t>Heeft één of meerdere verandertrajecten geleidt richting datagedreven werken, zonder hierbij gebruik te maken van een methodische aanpak</t>
  </si>
  <si>
    <t>Heeft één of meerdere verandertrajecten geleidt richting datagedreven werken en hierbij gebruik gemaakt van een methodische aanpak</t>
  </si>
  <si>
    <t>Wordt als Verandermanager ingezet</t>
  </si>
  <si>
    <t>Leidinggeven</t>
  </si>
  <si>
    <t>Heeft nooit (in)formeel leiding gegeven op het gebied van data</t>
  </si>
  <si>
    <t>Heeft meegewerkt aan opdrachten en/ of projecten op het gebied van data</t>
  </si>
  <si>
    <t>Herkent strategische kansen op het gebied van data en heeft hierin  actief meegewerkt als adviseur</t>
  </si>
  <si>
    <t>Toont leiderschap en heeft bij een of meerdere opdrachten als drijvende kracht achter strategische keuzes op het gebied van data geacteert</t>
  </si>
  <si>
    <t>Heeft vanuit een leidinggevende positie bij een of meerdere opdrachten als drijvende kracht achter strategische keuzes op het gebied van data geacteert</t>
  </si>
  <si>
    <t>Competentiegebied: Expert consultancy competenties</t>
  </si>
  <si>
    <t>Situationele communicatie</t>
  </si>
  <si>
    <t>Hanteert een communicatiestijl die het dichtste bij de eigen persoon past.</t>
  </si>
  <si>
    <t>Is zich bewust van de eigen communicatiestijl en het effect op gesprekspartners.</t>
  </si>
  <si>
    <t xml:space="preserve">Heeft naast bovengenoemde, kennis van de verschillende situaties en bijbehorende communicatiestijlen en gebruikt deze kennis actief omde eigen communicatie op af te stemmen. </t>
  </si>
  <si>
    <t>Gebruikt naast bovengenoemde de situationele communicatie, situationeel leiderschap om sturing aan te brengen..</t>
  </si>
  <si>
    <t>Gebruikt naast bovengenoemde , situationeel leiderschap bij het leidinggeven.</t>
  </si>
  <si>
    <t>Doelgerichte &amp; effectieve communicatie</t>
  </si>
  <si>
    <t>-</t>
  </si>
  <si>
    <t>Communiceert op gestructureerde wijze en vermijd vakjargon.</t>
  </si>
  <si>
    <t>Communiceert naast bovengenoemde op doelgerichte wijze, zodat vooraf en/ of snel voor (alle) gesprekspartners en/ of deelnemers binnen het project duidelijk is waar het over gaat en wat daarin van hen verwacht wordt.</t>
  </si>
  <si>
    <t xml:space="preserve">Gebruikt bovengenoemde competenties op afdelingsoverstijgend niveau. Weet daarin gesprekspartners in het beoogde doel mee te nemen d.m.v. pakkende voorbeelden, prikkelende stellingen en het schetsen van (implicatie) scenario's. </t>
  </si>
  <si>
    <t>Gebruikt bovengenoemde competenties op organisatie niveau.</t>
  </si>
  <si>
    <t>Besluitvaardigheid</t>
  </si>
  <si>
    <t>Zelfstandig, weloverwogen beslissingen genomen en daar verantwoording voor gedragen.</t>
  </si>
  <si>
    <t>Naast bovengenoemde, beslissingen genomen die moed en durf benodigde vanwege de moeilijke aard van de beslissing, binnen je project- of opdracht.</t>
  </si>
  <si>
    <t>Naast bovengenoemde setting, moeilijke beslissingen moeten nemen die project- of opdrachtoverstijgende impact hebben gehad.</t>
  </si>
  <si>
    <t>Naast bovengenoemde setting, moeilijke beslissingen moeten nemen die afdelingsoverstijgende impact hebben gehad.</t>
  </si>
  <si>
    <t>Naast bovengenoemde setting, moeilijke beslissingen moeten nemen die organisatiebrede impact hebben gehad.</t>
  </si>
  <si>
    <t>Overtuigen &amp; beinvloeden</t>
  </si>
  <si>
    <t>Heeft vertrouwen in eigen kunde en beoordelingsvermogen bij het uiteenzetten van bevindingen en adviezen.</t>
  </si>
  <si>
    <t>Acteert naast bovengenoemde competenties, met zelfvertrouwen bij het uiteenzetten van de (eigen) standpunten en adviezen. Luistert en zoekt aansluiting om een win-win situatie te creëeren.</t>
  </si>
  <si>
    <t>Maakt naast bovengenoemde competenties, bij het overtuigen en beinvloeden actief gebruik van prikkelende stellingen en illustraties om stellingname te bevorderen. Is in staat communicatie- en gedragsstijlen te herkennen en de eigen communicatie- en/ of gedragsstijl daarop aan te passen.</t>
  </si>
  <si>
    <t>Maakt van bovengenoemde competenties gebruik om effectief richting en leiding te geven in een bredere setting (team, afdeling, organisatie, etc.)</t>
  </si>
  <si>
    <t>Opbouwende (negatieve) feedback &amp; slecht nieuws gesprekken</t>
  </si>
  <si>
    <t>Heeft, indien gevraagd, opbouwende feedback gegeven.</t>
  </si>
  <si>
    <t>Heeft, naast bovengenoemde, ongevraagd opbouwende feedback gegeven bij een gelijke machtsverhouding (peers/ consultants).</t>
  </si>
  <si>
    <t>Heeft, naast bovengenoemde, ongevraagd opbouwende feedback gegeven in een ongelijke machtsverhouding (leidinggevende/ opdrachtgever) en deze om weten te buigen naar een toekomstbestendige situatie en/ of relatie.</t>
  </si>
  <si>
    <t>Heeft, naast bovengenoemde, slecht nieuws gesprek gevoerd vanuit de begeleidend consultant/ leidinggevende rol, daarin stellingname moeten nemen en om moeten buigen naar een toekomstbestendige situatie.</t>
  </si>
  <si>
    <t>Heeft, naast bovengenoemde, slecht nieuws gesprek gevoerd vanuit de begeleidend consultant/ leidinggevende rol, daarin stellingname moeten nemen en een negatieve beslissing moeten nemen.</t>
  </si>
  <si>
    <t>1. Digital Power Basic Skills</t>
  </si>
  <si>
    <t>2. Domein Skills</t>
  </si>
  <si>
    <t>3. Hardskills</t>
  </si>
  <si>
    <t>4. Basic Consultancy Skills</t>
  </si>
  <si>
    <t>5. Business Skills</t>
  </si>
  <si>
    <t>6. Expert Consultancy Skills</t>
  </si>
  <si>
    <t>Domein kennis</t>
  </si>
  <si>
    <t>Metrics, KPIs en doelen</t>
  </si>
  <si>
    <t>Implememtatie &amp; data verzameling</t>
  </si>
  <si>
    <t>Wettelijke &amp; ethische kaders</t>
  </si>
  <si>
    <t>Verwachtings-management</t>
  </si>
  <si>
    <t>Schriftelijke en mondelinge communicatie</t>
  </si>
  <si>
    <t>Organisatie- en management-identificatie</t>
  </si>
  <si>
    <t>Verander-management</t>
  </si>
  <si>
    <t>Opbouwende feedback &amp; slecht nieuws gesprekken</t>
  </si>
  <si>
    <t>ID</t>
  </si>
  <si>
    <t>Naam</t>
  </si>
  <si>
    <t>Functie</t>
  </si>
  <si>
    <t>Specialisme</t>
  </si>
  <si>
    <t>Huidig</t>
  </si>
  <si>
    <t>Jijzelf (verplicht)</t>
  </si>
  <si>
    <t>Feedback gever 1 (optioneel)</t>
  </si>
  <si>
    <t>Feedback gever 2 (optioneel)</t>
  </si>
  <si>
    <t>Ambitie</t>
  </si>
  <si>
    <t>Score op huidig situatie</t>
  </si>
  <si>
    <t>Totaal Gem</t>
  </si>
  <si>
    <t>Score op ambitie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</si>
</sst>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i/>
      <sz val="11"/>
      <color theme="1"/>
      <name val="Calibri"/>
      <family val="2"/>
      <scheme val="minor"/>
    </font>
    <font>
      <b/>
      <i/>
      <sz val="18"/>
      <color theme="1"/>
      <name val="Calibri"/>
      <family val="2"/>
      <scheme val="minor"/>
    </font>
    <font>
      <i/>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style="thin">
        <color indexed="64"/>
      </top>
      <bottom style="hair">
        <color indexed="64"/>
      </bottom>
      <diagonal/>
    </border>
    <border>
      <left/>
      <right/>
      <top style="hair">
        <color indexed="64"/>
      </top>
      <bottom style="hair">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35">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0" fontId="0" fillId="0" borderId="28"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34" xfId="0" applyBorder="1" applyAlignment="1">
      <alignment horizontal="center"/>
    </xf>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9" xfId="0" applyFill="1" applyBorder="1" applyAlignment="1">
      <alignment horizontal="center"/>
    </xf>
    <xf numFmtId="0" fontId="0" fillId="5" borderId="33"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30"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1"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2"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8"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6"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5" fillId="0" borderId="0" xfId="0" applyFont="1" applyAlignment="1">
      <alignment horizontal="center" vertical="center" wrapText="1"/>
    </xf>
    <xf numFmtId="0" fontId="9"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wrapText="1"/>
    </xf>
    <xf numFmtId="0" fontId="4" fillId="4" borderId="1" xfId="0" applyFont="1" applyFill="1" applyBorder="1" applyAlignment="1">
      <alignment vertical="center" wrapText="1"/>
    </xf>
    <xf numFmtId="0" fontId="13" fillId="2" borderId="1" xfId="0" applyFont="1" applyFill="1" applyBorder="1" applyAlignment="1">
      <alignment vertical="center" wrapText="1"/>
    </xf>
    <xf numFmtId="0" fontId="9" fillId="7" borderId="1" xfId="0" applyFont="1" applyFill="1" applyBorder="1" applyAlignment="1">
      <alignment vertical="center" wrapText="1"/>
    </xf>
    <xf numFmtId="0" fontId="7" fillId="0" borderId="0" xfId="0" applyFont="1" applyAlignment="1">
      <alignment vertical="center"/>
    </xf>
    <xf numFmtId="0" fontId="12" fillId="0" borderId="0" xfId="0" applyFont="1" applyAlignment="1">
      <alignment vertical="center" wrapText="1"/>
    </xf>
    <xf numFmtId="0" fontId="4" fillId="4"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0" fillId="0" borderId="1" xfId="0" quotePrefix="1" applyBorder="1" applyAlignment="1">
      <alignment vertical="center" wrapText="1"/>
    </xf>
    <xf numFmtId="0" fontId="14" fillId="2" borderId="1" xfId="0" applyFont="1" applyFill="1" applyBorder="1" applyAlignment="1">
      <alignment vertical="center" wrapText="1"/>
    </xf>
    <xf numFmtId="0" fontId="10" fillId="4" borderId="1" xfId="0" applyFont="1" applyFill="1" applyBorder="1" applyAlignment="1">
      <alignment vertical="center" wrapText="1"/>
    </xf>
    <xf numFmtId="0" fontId="11" fillId="7" borderId="1" xfId="0" applyFont="1" applyFill="1" applyBorder="1" applyAlignment="1">
      <alignment vertical="center" wrapText="1"/>
    </xf>
    <xf numFmtId="0" fontId="10" fillId="8" borderId="1" xfId="0" applyFont="1" applyFill="1" applyBorder="1" applyAlignment="1">
      <alignment vertical="center" wrapText="1"/>
    </xf>
    <xf numFmtId="0" fontId="10" fillId="9" borderId="1" xfId="0" applyFont="1" applyFill="1" applyBorder="1" applyAlignment="1">
      <alignment vertical="center" wrapText="1"/>
    </xf>
    <xf numFmtId="0" fontId="10" fillId="10" borderId="1" xfId="0" applyFont="1" applyFill="1" applyBorder="1" applyAlignment="1">
      <alignment vertical="center" wrapText="1"/>
    </xf>
    <xf numFmtId="0" fontId="11" fillId="11" borderId="1" xfId="0" applyFont="1" applyFill="1" applyBorder="1" applyAlignment="1">
      <alignment vertical="center" wrapText="1"/>
    </xf>
    <xf numFmtId="0" fontId="6" fillId="0" borderId="0" xfId="0" quotePrefix="1" applyFont="1" applyAlignment="1">
      <alignment vertical="top" wrapText="1"/>
    </xf>
    <xf numFmtId="0" fontId="15" fillId="0" borderId="1" xfId="0" applyFont="1" applyBorder="1" applyAlignment="1">
      <alignment horizontal="center" vertical="center" wrapText="1"/>
    </xf>
    <xf numFmtId="0" fontId="14" fillId="2" borderId="2"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0" borderId="36" xfId="0" quotePrefix="1" applyFont="1" applyBorder="1" applyAlignment="1">
      <alignment horizontal="left" vertical="top" wrapText="1"/>
    </xf>
    <xf numFmtId="0" fontId="6" fillId="0" borderId="35" xfId="0" quotePrefix="1" applyFont="1" applyBorder="1" applyAlignment="1">
      <alignment horizontal="left" vertical="top" wrapText="1"/>
    </xf>
    <xf numFmtId="0" fontId="6" fillId="0" borderId="37" xfId="0" quotePrefix="1" applyFont="1" applyBorder="1" applyAlignment="1">
      <alignment horizontal="left" vertical="top" wrapText="1"/>
    </xf>
    <xf numFmtId="0" fontId="6" fillId="0" borderId="38" xfId="0" quotePrefix="1" applyFont="1" applyBorder="1" applyAlignment="1">
      <alignment horizontal="left" vertical="top" wrapText="1"/>
    </xf>
    <xf numFmtId="0" fontId="6" fillId="0" borderId="0" xfId="0" quotePrefix="1" applyFont="1" applyAlignment="1">
      <alignment horizontal="left" vertical="top" wrapText="1"/>
    </xf>
    <xf numFmtId="0" fontId="6" fillId="0" borderId="39" xfId="0" quotePrefix="1" applyFont="1" applyBorder="1" applyAlignment="1">
      <alignment horizontal="left" vertical="top" wrapText="1"/>
    </xf>
    <xf numFmtId="0" fontId="6" fillId="0" borderId="40" xfId="0" quotePrefix="1" applyFont="1" applyBorder="1" applyAlignment="1">
      <alignment horizontal="left" vertical="top" wrapText="1"/>
    </xf>
    <xf numFmtId="0" fontId="6" fillId="0" borderId="41" xfId="0" quotePrefix="1" applyFont="1" applyBorder="1" applyAlignment="1">
      <alignment horizontal="left" vertical="top" wrapText="1"/>
    </xf>
    <xf numFmtId="0" fontId="6" fillId="0" borderId="42" xfId="0" quotePrefix="1" applyFont="1" applyBorder="1" applyAlignment="1">
      <alignment horizontal="left" vertical="top" wrapText="1"/>
    </xf>
  </cellXfs>
  <cellStyles count="2">
    <cellStyle name="Procent" xfId="1" builtinId="5"/>
    <cellStyle name="Standaard" xfId="0" builtinId="0"/>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Huidige</a:t>
            </a:r>
            <a:r>
              <a:rPr lang="en-US" baseline="0"/>
              <a:t> skills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('Uitwerking (NIET BEWERKEN!!)'!$B$1,'Uitwerking (NIET BEWERKEN!!)'!$H$1,'Uitwerking (NIET BEWERKEN!!)'!$M$1,'Uitwerking (NIET BEWERKEN!!)'!$R$1,'Uitwerking (NIET BEWERKEN!!)'!$W$1,'Uitwerking (NIET BEWERKEN!!)'!$AB$1)</c:f>
              <c:strCache>
                <c:ptCount val="6"/>
                <c:pt idx="0">
                  <c:v>1. Digital Power Basic Skills</c:v>
                </c:pt>
                <c:pt idx="1">
                  <c:v>2. Domein Skills</c:v>
                </c:pt>
                <c:pt idx="2">
                  <c:v>3. Hardskills</c:v>
                </c:pt>
                <c:pt idx="3">
                  <c:v>4. Basic Consultancy Skills</c:v>
                </c:pt>
                <c:pt idx="4">
                  <c:v>5. Business Skills</c:v>
                </c:pt>
                <c:pt idx="5">
                  <c:v>6. Expert Consultancy Skills</c:v>
                </c:pt>
              </c:strCache>
            </c:strRef>
          </c:cat>
          <c:val>
            <c:numRef>
              <c:f>('Uitwerking (NIET BEWERKEN!!)'!$G$5,'Uitwerking (NIET BEWERKEN!!)'!$L$5,'Uitwerking (NIET BEWERKEN!!)'!$Q$5,'Uitwerking (NIET BEWERKEN!!)'!$V$5,'Uitwerking (NIET BEWERKEN!!)'!$AA$5,'Uitwerking (NIET BEWERKEN!!)'!$AF$5)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Ambitie</c:v>
          </c:tx>
          <c:spPr>
            <a:ln w="28575" cap="rnd">
              <a:solidFill>
                <a:schemeClr val="accent5"/>
              </a:solidFill>
              <a:round/>
            </a:ln>
            <a:effectLst/>
          </c:spPr>
          <c:marker>
            <c:symbol val="none"/>
          </c:marker>
          <c:cat>
            <c:strRef>
              <c:f>('Uitwerking (NIET BEWERKEN!!)'!$B$1,'Uitwerking (NIET BEWERKEN!!)'!$H$1,'Uitwerking (NIET BEWERKEN!!)'!$M$1,'Uitwerking (NIET BEWERKEN!!)'!$R$1,'Uitwerking (NIET BEWERKEN!!)'!$W$1,'Uitwerking (NIET BEWERKEN!!)'!$AB$1)</c:f>
              <c:strCache>
                <c:ptCount val="6"/>
                <c:pt idx="0">
                  <c:v>1. Digital Power Basic Skills</c:v>
                </c:pt>
                <c:pt idx="1">
                  <c:v>2. Domein Skills</c:v>
                </c:pt>
                <c:pt idx="2">
                  <c:v>3. Hardskills</c:v>
                </c:pt>
                <c:pt idx="3">
                  <c:v>4. Basic Consultancy Skills</c:v>
                </c:pt>
                <c:pt idx="4">
                  <c:v>5. Business Skills</c:v>
                </c:pt>
                <c:pt idx="5">
                  <c:v>6. Expert Consultancy Skills</c:v>
                </c:pt>
              </c:strCache>
            </c:strRef>
          </c:cat>
          <c:val>
            <c:numRef>
              <c:f>('Uitwerking (NIET BEWERKEN!!)'!$G$8,'Uitwerking (NIET BEWERKEN!!)'!$L$8,'Uitwerking (NIET BEWERKEN!!)'!$Q$8,'Uitwerking (NIET BEWERKEN!!)'!$V$8,'Uitwerking (NIET BEWERKEN!!)'!$AA$8,'Uitwerking (NIET BEWERKEN!!)'!$AF$8)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BEWERKEN!!)'!$B$4:$G$4</c:f>
              <c:numCache>
                <c:formatCode>0.0</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Ambitie</c:v>
          </c:tx>
          <c:spPr>
            <a:ln w="28575" cap="rnd">
              <a:solidFill>
                <a:schemeClr val="accent5"/>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BEWERKEN!!)'!$B$7:$G$7</c:f>
              <c:numCache>
                <c:formatCode>0.0</c:formatCode>
                <c:ptCount val="6"/>
                <c:pt idx="0">
                  <c:v>4</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Domein Skills (DA)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BEWERKEN!!)'!$H$2:$L$2</c:f>
              <c:strCache>
                <c:ptCount val="5"/>
                <c:pt idx="0">
                  <c:v>Domein kennis</c:v>
                </c:pt>
                <c:pt idx="1">
                  <c:v>Metrics, KPIs en doelen</c:v>
                </c:pt>
                <c:pt idx="2">
                  <c:v>Wiskunde &amp; statistiek</c:v>
                </c:pt>
                <c:pt idx="3">
                  <c:v>Data interpretatie &amp; analyse</c:v>
                </c:pt>
                <c:pt idx="4">
                  <c:v>Dashboarding &amp; reporting</c:v>
                </c:pt>
              </c:strCache>
            </c:strRef>
          </c:cat>
          <c:val>
            <c:numRef>
              <c:f>'Uitwerking (NIET BEWERKEN!!)'!$H$4:$L$4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4121-458C-ABA3-856BD7FC94F5}"/>
            </c:ext>
          </c:extLst>
        </c:ser>
        <c:ser>
          <c:idx val="1"/>
          <c:order val="1"/>
          <c:tx>
            <c:v>Ambitie</c:v>
          </c:tx>
          <c:spPr>
            <a:ln w="28575" cap="rnd">
              <a:solidFill>
                <a:schemeClr val="accent5"/>
              </a:solidFill>
              <a:round/>
            </a:ln>
            <a:effectLst/>
          </c:spPr>
          <c:marker>
            <c:symbol val="none"/>
          </c:marker>
          <c:cat>
            <c:strRef>
              <c:f>'Uitwerking (NIET BEWERKEN!!)'!$H$2:$L$2</c:f>
              <c:strCache>
                <c:ptCount val="5"/>
                <c:pt idx="0">
                  <c:v>Domein kennis</c:v>
                </c:pt>
                <c:pt idx="1">
                  <c:v>Metrics, KPIs en doelen</c:v>
                </c:pt>
                <c:pt idx="2">
                  <c:v>Wiskunde &amp; statistiek</c:v>
                </c:pt>
                <c:pt idx="3">
                  <c:v>Data interpretatie &amp; analyse</c:v>
                </c:pt>
                <c:pt idx="4">
                  <c:v>Dashboarding &amp; reporting</c:v>
                </c:pt>
              </c:strCache>
            </c:strRef>
          </c:cat>
          <c:val>
            <c:numRef>
              <c:f>'Uitwerking (NIET BEWERKEN!!)'!$H$7:$L$7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 (DA)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BEWERKEN!!)'!$M$2:$Q$2</c:f>
              <c:strCache>
                <c:ptCount val="5"/>
                <c:pt idx="0">
                  <c:v>Toolkennis</c:v>
                </c:pt>
                <c:pt idx="1">
                  <c:v>Implememtatie &amp; data verzameling</c:v>
                </c:pt>
                <c:pt idx="2">
                  <c:v>Data verwerking</c:v>
                </c:pt>
                <c:pt idx="3">
                  <c:v>Data visualisatie</c:v>
                </c:pt>
                <c:pt idx="4">
                  <c:v>Wettelijke &amp; ethische kaders</c:v>
                </c:pt>
              </c:strCache>
            </c:strRef>
          </c:cat>
          <c:val>
            <c:numRef>
              <c:f>'Uitwerking (NIET BEWERKEN!!)'!$M$4:$Q$4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D2-4679-8459-1DD705E21CE1}"/>
            </c:ext>
          </c:extLst>
        </c:ser>
        <c:ser>
          <c:idx val="1"/>
          <c:order val="1"/>
          <c:tx>
            <c:v>Ambitie</c:v>
          </c:tx>
          <c:spPr>
            <a:ln w="28575" cap="rnd">
              <a:solidFill>
                <a:schemeClr val="accent5"/>
              </a:solidFill>
              <a:round/>
            </a:ln>
            <a:effectLst/>
          </c:spPr>
          <c:marker>
            <c:symbol val="none"/>
          </c:marker>
          <c:cat>
            <c:strRef>
              <c:f>'Uitwerking (NIET BEWERKEN!!)'!$M$2:$Q$2</c:f>
              <c:strCache>
                <c:ptCount val="5"/>
                <c:pt idx="0">
                  <c:v>Toolkennis</c:v>
                </c:pt>
                <c:pt idx="1">
                  <c:v>Implememtatie &amp; data verzameling</c:v>
                </c:pt>
                <c:pt idx="2">
                  <c:v>Data verwerking</c:v>
                </c:pt>
                <c:pt idx="3">
                  <c:v>Data visualisatie</c:v>
                </c:pt>
                <c:pt idx="4">
                  <c:v>Wettelijke &amp; ethische kaders</c:v>
                </c:pt>
              </c:strCache>
            </c:strRef>
          </c:cat>
          <c:val>
            <c:numRef>
              <c:f>'Uitwerking (NIET BEWERKEN!!)'!$M$7:$Q$7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BEWERKEN!!)'!$R$2:$V$2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BEWERKEN!!)'!$R$4:$V$4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Ambitie</c:v>
          </c:tx>
          <c:spPr>
            <a:ln w="28575" cap="rnd">
              <a:solidFill>
                <a:schemeClr val="accent5"/>
              </a:solidFill>
              <a:round/>
            </a:ln>
            <a:effectLst/>
          </c:spPr>
          <c:marker>
            <c:symbol val="none"/>
          </c:marker>
          <c:cat>
            <c:strRef>
              <c:f>'Uitwerking (NIET BEWERKEN!!)'!$R$2:$V$2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BEWERKEN!!)'!$R$7:$V$7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Spreiding huidige</a:t>
            </a:r>
            <a:r>
              <a:rPr lang="en-US" baseline="0"/>
              <a:t>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filled"/>
        <c:varyColors val="0"/>
        <c:ser>
          <c:idx val="0"/>
          <c:order val="0"/>
          <c:tx>
            <c:strRef>
              <c:f>'Uitwerking (NIET BEWERKEN!!)'!$A$7</c:f>
              <c:strCache>
                <c:ptCount val="1"/>
                <c:pt idx="0">
                  <c:v>Score op ambitie</c:v>
                </c:pt>
              </c:strCache>
            </c:strRef>
          </c:tx>
          <c:spPr>
            <a:solidFill>
              <a:schemeClr val="accent6"/>
            </a:solidFill>
            <a:ln w="25400">
              <a:noFill/>
            </a:ln>
            <a:effectLst/>
          </c:spPr>
          <c:cat>
            <c:strRef>
              <c:f>'Uitwerking (NIET BEWERKEN!!)'!$B$2:$AF$2</c:f>
              <c:strCache>
                <c:ptCount val="31"/>
                <c:pt idx="0">
                  <c:v>Leren &amp; reflecteren</c:v>
                </c:pt>
                <c:pt idx="1">
                  <c:v>Ondersteunen &amp; samenwerken</c:v>
                </c:pt>
                <c:pt idx="2">
                  <c:v>Ondernemen &amp; resultaatgericht</c:v>
                </c:pt>
                <c:pt idx="3">
                  <c:v>Klantgericht</c:v>
                </c:pt>
                <c:pt idx="4">
                  <c:v>Kennisdeling</c:v>
                </c:pt>
                <c:pt idx="5">
                  <c:v>Coaching &amp; begeleiding</c:v>
                </c:pt>
                <c:pt idx="6">
                  <c:v>Domein kennis</c:v>
                </c:pt>
                <c:pt idx="7">
                  <c:v>Metrics, KPIs en doelen</c:v>
                </c:pt>
                <c:pt idx="8">
                  <c:v>Wiskunde &amp; statistiek</c:v>
                </c:pt>
                <c:pt idx="9">
                  <c:v>Data interpretatie &amp; analyse</c:v>
                </c:pt>
                <c:pt idx="10">
                  <c:v>Dashboarding &amp; reporting</c:v>
                </c:pt>
                <c:pt idx="11">
                  <c:v>Toolkennis</c:v>
                </c:pt>
                <c:pt idx="12">
                  <c:v>Implememtatie &amp; data verzameling</c:v>
                </c:pt>
                <c:pt idx="13">
                  <c:v>Data verwerking</c:v>
                </c:pt>
                <c:pt idx="14">
                  <c:v>Data visualisatie</c:v>
                </c:pt>
                <c:pt idx="15">
                  <c:v>Wettelijke &amp; ethische kaders</c:v>
                </c:pt>
                <c:pt idx="16">
                  <c:v>Adviseren</c:v>
                </c:pt>
                <c:pt idx="17">
                  <c:v>Doortastend &amp; probleemoplossend</c:v>
                </c:pt>
                <c:pt idx="18">
                  <c:v>Interpersoonlijk communicatie</c:v>
                </c:pt>
                <c:pt idx="19">
                  <c:v>Verwachtings-management</c:v>
                </c:pt>
                <c:pt idx="20">
                  <c:v>Schriftelijke en mondelinge communicatie</c:v>
                </c:pt>
                <c:pt idx="21">
                  <c:v>Organisatie- en management-identificatie</c:v>
                </c:pt>
                <c:pt idx="22">
                  <c:v>Strategische conceptualisatie</c:v>
                </c:pt>
                <c:pt idx="23">
                  <c:v>Projectmanagement</c:v>
                </c:pt>
                <c:pt idx="24">
                  <c:v>Verander-management</c:v>
                </c:pt>
                <c:pt idx="25">
                  <c:v>Leidinggeven</c:v>
                </c:pt>
                <c:pt idx="26">
                  <c:v>Situationele communicatie</c:v>
                </c:pt>
                <c:pt idx="27">
                  <c:v>Doelgerichte &amp; effectieve communicatie</c:v>
                </c:pt>
                <c:pt idx="28">
                  <c:v>Besluitvaardigheid</c:v>
                </c:pt>
                <c:pt idx="29">
                  <c:v>Overtuigen &amp; beinvloeden</c:v>
                </c:pt>
                <c:pt idx="30">
                  <c:v>Opbouwende feedback &amp; slecht nieuws gesprekken</c:v>
                </c:pt>
              </c:strCache>
            </c:strRef>
          </c:cat>
          <c:val>
            <c:numRef>
              <c:f>'Uitwerking (NIET BEWERKEN!!)'!$B$7:$AF$7</c:f>
              <c:numCache>
                <c:formatCode>0.0</c:formatCode>
                <c:ptCount val="31"/>
                <c:pt idx="0">
                  <c:v>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C510-45C6-AE4C-93012B94423C}"/>
            </c:ext>
          </c:extLst>
        </c:ser>
        <c:ser>
          <c:idx val="1"/>
          <c:order val="1"/>
          <c:tx>
            <c:strRef>
              <c:f>'Uitwerking (NIET BEWERKEN!!)'!$A$4</c:f>
              <c:strCache>
                <c:ptCount val="1"/>
                <c:pt idx="0">
                  <c:v>Score op huidig situatie</c:v>
                </c:pt>
              </c:strCache>
            </c:strRef>
          </c:tx>
          <c:spPr>
            <a:solidFill>
              <a:schemeClr val="accent5"/>
            </a:solidFill>
            <a:ln w="25400">
              <a:noFill/>
            </a:ln>
            <a:effectLst/>
          </c:spPr>
          <c:cat>
            <c:strRef>
              <c:f>'Uitwerking (NIET BEWERKEN!!)'!$B$2:$AF$2</c:f>
              <c:strCache>
                <c:ptCount val="31"/>
                <c:pt idx="0">
                  <c:v>Leren &amp; reflecteren</c:v>
                </c:pt>
                <c:pt idx="1">
                  <c:v>Ondersteunen &amp; samenwerken</c:v>
                </c:pt>
                <c:pt idx="2">
                  <c:v>Ondernemen &amp; resultaatgericht</c:v>
                </c:pt>
                <c:pt idx="3">
                  <c:v>Klantgericht</c:v>
                </c:pt>
                <c:pt idx="4">
                  <c:v>Kennisdeling</c:v>
                </c:pt>
                <c:pt idx="5">
                  <c:v>Coaching &amp; begeleiding</c:v>
                </c:pt>
                <c:pt idx="6">
                  <c:v>Domein kennis</c:v>
                </c:pt>
                <c:pt idx="7">
                  <c:v>Metrics, KPIs en doelen</c:v>
                </c:pt>
                <c:pt idx="8">
                  <c:v>Wiskunde &amp; statistiek</c:v>
                </c:pt>
                <c:pt idx="9">
                  <c:v>Data interpretatie &amp; analyse</c:v>
                </c:pt>
                <c:pt idx="10">
                  <c:v>Dashboarding &amp; reporting</c:v>
                </c:pt>
                <c:pt idx="11">
                  <c:v>Toolkennis</c:v>
                </c:pt>
                <c:pt idx="12">
                  <c:v>Implememtatie &amp; data verzameling</c:v>
                </c:pt>
                <c:pt idx="13">
                  <c:v>Data verwerking</c:v>
                </c:pt>
                <c:pt idx="14">
                  <c:v>Data visualisatie</c:v>
                </c:pt>
                <c:pt idx="15">
                  <c:v>Wettelijke &amp; ethische kaders</c:v>
                </c:pt>
                <c:pt idx="16">
                  <c:v>Adviseren</c:v>
                </c:pt>
                <c:pt idx="17">
                  <c:v>Doortastend &amp; probleemoplossend</c:v>
                </c:pt>
                <c:pt idx="18">
                  <c:v>Interpersoonlijk communicatie</c:v>
                </c:pt>
                <c:pt idx="19">
                  <c:v>Verwachtings-management</c:v>
                </c:pt>
                <c:pt idx="20">
                  <c:v>Schriftelijke en mondelinge communicatie</c:v>
                </c:pt>
                <c:pt idx="21">
                  <c:v>Organisatie- en management-identificatie</c:v>
                </c:pt>
                <c:pt idx="22">
                  <c:v>Strategische conceptualisatie</c:v>
                </c:pt>
                <c:pt idx="23">
                  <c:v>Projectmanagement</c:v>
                </c:pt>
                <c:pt idx="24">
                  <c:v>Verander-management</c:v>
                </c:pt>
                <c:pt idx="25">
                  <c:v>Leidinggeven</c:v>
                </c:pt>
                <c:pt idx="26">
                  <c:v>Situationele communicatie</c:v>
                </c:pt>
                <c:pt idx="27">
                  <c:v>Doelgerichte &amp; effectieve communicatie</c:v>
                </c:pt>
                <c:pt idx="28">
                  <c:v>Besluitvaardigheid</c:v>
                </c:pt>
                <c:pt idx="29">
                  <c:v>Overtuigen &amp; beinvloeden</c:v>
                </c:pt>
                <c:pt idx="30">
                  <c:v>Opbouwende feedback &amp; slecht nieuws gesprekken</c:v>
                </c:pt>
              </c:strCache>
            </c:strRef>
          </c:cat>
          <c:val>
            <c:numRef>
              <c:f>'Uitwerking (NIET BEWERKEN!!)'!$B$4:$AF$4</c:f>
              <c:numCache>
                <c:formatCode>0.0</c:formatCode>
                <c:ptCount val="31"/>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BEWERKEN!!)'!$W$2:$AA$2</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BEWERKEN!!)'!$W$4:$AA$4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Ambitie</c:v>
          </c:tx>
          <c:spPr>
            <a:ln w="28575" cap="rnd">
              <a:solidFill>
                <a:schemeClr val="accent5"/>
              </a:solidFill>
              <a:round/>
            </a:ln>
            <a:effectLst/>
          </c:spPr>
          <c:marker>
            <c:symbol val="none"/>
          </c:marker>
          <c:cat>
            <c:strRef>
              <c:f>'Uitwerking (NIET BEWERKEN!!)'!$W$2:$AA$2</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BEWERKEN!!)'!$W$7:$AA$7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baseline="0"/>
              <a:t>Senioriteit per subcategorie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barChart>
        <c:barDir val="bar"/>
        <c:grouping val="clustered"/>
        <c:varyColors val="0"/>
        <c:ser>
          <c:idx val="0"/>
          <c:order val="0"/>
          <c:tx>
            <c:v>Totaal</c:v>
          </c:tx>
          <c:spPr>
            <a:solidFill>
              <a:schemeClr val="accent6"/>
            </a:solidFill>
            <a:ln>
              <a:noFill/>
            </a:ln>
            <a:effectLst/>
          </c:spPr>
          <c:invertIfNegative val="0"/>
          <c:cat>
            <c:strRef>
              <c:f>('Uitwerking (NIET BEWERKEN!!)'!$B$1,'Uitwerking (NIET BEWERKEN!!)'!$H$1,'Uitwerking (NIET BEWERKEN!!)'!$M$1,'Uitwerking (NIET BEWERKEN!!)'!$R$1,'Uitwerking (NIET BEWERKEN!!)'!$W$1)</c:f>
              <c:strCache>
                <c:ptCount val="5"/>
                <c:pt idx="0">
                  <c:v>1. Digital Power Basic Skills</c:v>
                </c:pt>
                <c:pt idx="1">
                  <c:v>2. Domein Skills</c:v>
                </c:pt>
                <c:pt idx="2">
                  <c:v>3. Hardskills</c:v>
                </c:pt>
                <c:pt idx="3">
                  <c:v>4. Basic Consultancy Skills</c:v>
                </c:pt>
                <c:pt idx="4">
                  <c:v>5. Business Skills</c:v>
                </c:pt>
              </c:strCache>
            </c:strRef>
          </c:cat>
          <c:val>
            <c:numRef>
              <c:f>('Uitwerking (NIET BEWERKEN!!)'!$G$5,'Uitwerking (NIET BEWERKEN!!)'!$L$5,'Uitwerking (NIET BEWERKEN!!)'!$Q$5,'Uitwerking (NIET BEWERKEN!!)'!$V$5,'Uitwerking (NIET BEWERKEN!!)'!$AA$5,'Uitwerking (NIET BEWERKEN!!)'!$AF$5)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BEWERKEN!!)'!$AB$2:$AF$2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BEWERKEN!!)'!$AB$4:$AF$4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Ambitie</c:v>
          </c:tx>
          <c:spPr>
            <a:ln w="28575" cap="rnd">
              <a:solidFill>
                <a:schemeClr val="accent5"/>
              </a:solidFill>
              <a:round/>
            </a:ln>
            <a:effectLst/>
          </c:spPr>
          <c:marker>
            <c:symbol val="none"/>
          </c:marker>
          <c:cat>
            <c:strRef>
              <c:f>'Uitwerking (NIET BEWERKEN!!)'!$AB$2:$AF$2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BEWERKEN!!)'!$AB$7:$AF$7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Domein kennis</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D216417B-8724-4A89-97D4-DE24FD728663}">
      <dgm:prSet phldrT="[Tekst]" custT="1"/>
      <dgm:spPr/>
      <dgm:t>
        <a:bodyPr/>
        <a:lstStyle/>
        <a:p>
          <a:r>
            <a:rPr lang="nl-NL" sz="900"/>
            <a:t>Metrics, KPIs en doelen</a:t>
          </a:r>
        </a:p>
      </dgm:t>
    </dgm:pt>
    <dgm:pt modelId="{38AE1861-BF10-48F6-9902-51054B81E7B4}" type="parTrans" cxnId="{5B9BC363-A286-42FB-A533-6542AF21BB0B}">
      <dgm:prSet/>
      <dgm:spPr/>
      <dgm:t>
        <a:bodyPr/>
        <a:lstStyle/>
        <a:p>
          <a:endParaRPr lang="nl-NL" sz="2400"/>
        </a:p>
      </dgm:t>
    </dgm:pt>
    <dgm:pt modelId="{A41718D6-2FB8-4C3B-9ED4-B1EC2AF89F87}" type="sibTrans" cxnId="{5B9BC363-A286-42FB-A533-6542AF21BB0B}">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06EA25F0-C693-44AF-A06D-C0325E1809BB}">
      <dgm:prSet phldrT="[Tekst]" custT="1"/>
      <dgm:spPr/>
      <dgm:t>
        <a:bodyPr/>
        <a:lstStyle/>
        <a:p>
          <a:r>
            <a:rPr lang="nl-NL" sz="900"/>
            <a:t>Wiskunde &amp; statistiek</a:t>
          </a:r>
        </a:p>
      </dgm:t>
    </dgm:pt>
    <dgm:pt modelId="{40D3FB41-5F9E-4F3D-A379-6015BD01587B}" type="parTrans" cxnId="{B1B6FBD4-2E3E-4942-AB7B-5FE10B6043EA}">
      <dgm:prSet/>
      <dgm:spPr/>
      <dgm:t>
        <a:bodyPr/>
        <a:lstStyle/>
        <a:p>
          <a:endParaRPr lang="nl-NL"/>
        </a:p>
      </dgm:t>
    </dgm:pt>
    <dgm:pt modelId="{D32CBF9F-EBCD-4A05-9CFF-46EB798AAE6D}" type="sibTrans" cxnId="{B1B6FBD4-2E3E-4942-AB7B-5FE10B6043EA}">
      <dgm:prSet/>
      <dgm:spPr/>
      <dgm:t>
        <a:bodyPr/>
        <a:lstStyle/>
        <a:p>
          <a:endParaRPr lang="nl-NL"/>
        </a:p>
      </dgm:t>
    </dgm:pt>
    <dgm:pt modelId="{BAD6FA44-564E-46C6-8144-649F60D41AEE}">
      <dgm:prSet phldrT="[Tekst]" custT="1"/>
      <dgm:spPr/>
      <dgm:t>
        <a:bodyPr/>
        <a:lstStyle/>
        <a:p>
          <a:r>
            <a:rPr lang="nl-NL" sz="900"/>
            <a:t>Data interpretatie &amp; analyse</a:t>
          </a:r>
        </a:p>
      </dgm:t>
    </dgm:pt>
    <dgm:pt modelId="{BF0207BC-EB2C-466F-8BBA-5121346D5386}" type="parTrans" cxnId="{418645D6-B4DB-4342-9110-72D422B7C362}">
      <dgm:prSet/>
      <dgm:spPr/>
      <dgm:t>
        <a:bodyPr/>
        <a:lstStyle/>
        <a:p>
          <a:endParaRPr lang="nl-NL"/>
        </a:p>
      </dgm:t>
    </dgm:pt>
    <dgm:pt modelId="{AA7BD254-9782-4365-A4E4-BAC1FEA4984B}" type="sibTrans" cxnId="{418645D6-B4DB-4342-9110-72D422B7C362}">
      <dgm:prSet/>
      <dgm:spPr/>
      <dgm:t>
        <a:bodyPr/>
        <a:lstStyle/>
        <a:p>
          <a:endParaRPr lang="nl-NL"/>
        </a:p>
      </dgm:t>
    </dgm:pt>
    <dgm:pt modelId="{644F3895-1B83-4425-BC44-A86D9C44D344}">
      <dgm:prSet phldrT="[Tekst]" custT="1"/>
      <dgm:spPr/>
      <dgm:t>
        <a:bodyPr/>
        <a:lstStyle/>
        <a:p>
          <a:r>
            <a:rPr lang="nl-NL" sz="900"/>
            <a:t>Dashboarding &amp; reporting</a:t>
          </a:r>
        </a:p>
      </dgm:t>
    </dgm:pt>
    <dgm:pt modelId="{59CA7C89-29E4-4141-A455-C60FACF04E8F}" type="parTrans" cxnId="{72A3D78B-92D6-449C-98CC-23E3C2AD0451}">
      <dgm:prSet/>
      <dgm:spPr/>
      <dgm:t>
        <a:bodyPr/>
        <a:lstStyle/>
        <a:p>
          <a:endParaRPr lang="nl-NL"/>
        </a:p>
      </dgm:t>
    </dgm:pt>
    <dgm:pt modelId="{613F9AE0-B863-4E2D-9881-74B78479D5B3}" type="sibTrans" cxnId="{72A3D78B-92D6-449C-98CC-23E3C2AD0451}">
      <dgm:prSet/>
      <dgm:spPr/>
      <dgm:t>
        <a:bodyPr/>
        <a:lstStyle/>
        <a:p>
          <a:endParaRPr lang="nl-NL"/>
        </a:p>
      </dgm:t>
    </dgm:pt>
    <dgm:pt modelId="{D38A169C-73FA-404F-BBC1-E58D54FDBE12}">
      <dgm:prSet phldrT="[Tekst]" custT="1"/>
      <dgm:spPr/>
      <dgm:t>
        <a:bodyPr/>
        <a:lstStyle/>
        <a:p>
          <a:r>
            <a:rPr lang="nl-NL" sz="900"/>
            <a:t>Toolkennis</a:t>
          </a:r>
        </a:p>
      </dgm:t>
    </dgm:pt>
    <dgm:pt modelId="{A99A1C84-B8AD-4CE4-944A-AF6FBA84AD6E}" type="sibTrans" cxnId="{3FCEE895-271C-4136-B426-FE7F1582CEF1}">
      <dgm:prSet/>
      <dgm:spPr/>
      <dgm:t>
        <a:bodyPr/>
        <a:lstStyle/>
        <a:p>
          <a:endParaRPr lang="nl-NL" sz="2400"/>
        </a:p>
      </dgm:t>
    </dgm:pt>
    <dgm:pt modelId="{972BF931-FB6A-47EF-8701-10AC9CDA14F0}" type="parTrans" cxnId="{3FCEE895-271C-4136-B426-FE7F1582CEF1}">
      <dgm:prSet/>
      <dgm:spPr/>
      <dgm:t>
        <a:bodyPr/>
        <a:lstStyle/>
        <a:p>
          <a:endParaRPr lang="nl-NL" sz="2400"/>
        </a:p>
      </dgm:t>
    </dgm:pt>
    <dgm:pt modelId="{3E42AC28-EEB7-4C94-8498-EA993F736C06}">
      <dgm:prSet phldrT="[Tekst]" custT="1"/>
      <dgm:spPr/>
      <dgm:t>
        <a:bodyPr/>
        <a:lstStyle/>
        <a:p>
          <a:r>
            <a:rPr lang="nl-NL" sz="900"/>
            <a:t>Implementatie &amp; data verzameling</a:t>
          </a:r>
        </a:p>
      </dgm:t>
    </dgm:pt>
    <dgm:pt modelId="{BDAD4D43-7D69-4996-95FB-E406E9ACF010}" type="parTrans" cxnId="{A41119B6-F03E-4797-B579-489D1657FB93}">
      <dgm:prSet/>
      <dgm:spPr/>
      <dgm:t>
        <a:bodyPr/>
        <a:lstStyle/>
        <a:p>
          <a:endParaRPr lang="nl-NL"/>
        </a:p>
      </dgm:t>
    </dgm:pt>
    <dgm:pt modelId="{7E51D8FE-340D-45C3-B07B-C19DF8C135D3}" type="sibTrans" cxnId="{A41119B6-F03E-4797-B579-489D1657FB93}">
      <dgm:prSet/>
      <dgm:spPr/>
      <dgm:t>
        <a:bodyPr/>
        <a:lstStyle/>
        <a:p>
          <a:endParaRPr lang="nl-NL"/>
        </a:p>
      </dgm:t>
    </dgm:pt>
    <dgm:pt modelId="{F8D199BE-2EAA-413A-BFAB-C0BA083F3E62}">
      <dgm:prSet phldrT="[Tekst]" custT="1"/>
      <dgm:spPr/>
      <dgm:t>
        <a:bodyPr/>
        <a:lstStyle/>
        <a:p>
          <a:r>
            <a:rPr lang="nl-NL" sz="900"/>
            <a:t>Data verwerking</a:t>
          </a:r>
        </a:p>
      </dgm:t>
    </dgm:pt>
    <dgm:pt modelId="{62741218-0BA0-49F7-B6A0-2A8F7D149CA6}" type="parTrans" cxnId="{14FB9A86-01FF-47AB-9613-01533BB132DB}">
      <dgm:prSet/>
      <dgm:spPr/>
      <dgm:t>
        <a:bodyPr/>
        <a:lstStyle/>
        <a:p>
          <a:endParaRPr lang="nl-NL"/>
        </a:p>
      </dgm:t>
    </dgm:pt>
    <dgm:pt modelId="{6229AB4A-09DB-44F8-A5C4-0AF88257FEC8}" type="sibTrans" cxnId="{14FB9A86-01FF-47AB-9613-01533BB132DB}">
      <dgm:prSet/>
      <dgm:spPr/>
      <dgm:t>
        <a:bodyPr/>
        <a:lstStyle/>
        <a:p>
          <a:endParaRPr lang="nl-NL"/>
        </a:p>
      </dgm:t>
    </dgm:pt>
    <dgm:pt modelId="{449A3C1E-864C-4D99-A978-C16B25C957B0}">
      <dgm:prSet phldrT="[Tekst]" custT="1"/>
      <dgm:spPr/>
      <dgm:t>
        <a:bodyPr/>
        <a:lstStyle/>
        <a:p>
          <a:r>
            <a:rPr lang="nl-NL" sz="900"/>
            <a:t>Data visualisatie</a:t>
          </a:r>
        </a:p>
      </dgm:t>
    </dgm:pt>
    <dgm:pt modelId="{0A3446BE-D83A-4DAB-A0F2-925FF856AF77}" type="parTrans" cxnId="{D2E7AC78-1464-4D0F-946B-DE12F0DA1BA3}">
      <dgm:prSet/>
      <dgm:spPr/>
      <dgm:t>
        <a:bodyPr/>
        <a:lstStyle/>
        <a:p>
          <a:endParaRPr lang="nl-NL"/>
        </a:p>
      </dgm:t>
    </dgm:pt>
    <dgm:pt modelId="{54B93C63-1160-4AF5-A9A2-DFAB5D9F65A7}" type="sibTrans" cxnId="{D2E7AC78-1464-4D0F-946B-DE12F0DA1BA3}">
      <dgm:prSet/>
      <dgm:spPr/>
      <dgm:t>
        <a:bodyPr/>
        <a:lstStyle/>
        <a:p>
          <a:endParaRPr lang="nl-NL"/>
        </a:p>
      </dgm:t>
    </dgm:pt>
    <dgm:pt modelId="{4CEDA2CE-63E9-4816-99CB-517EA9D9302E}">
      <dgm:prSet phldrT="[Tekst]" custT="1"/>
      <dgm:spPr/>
      <dgm:t>
        <a:bodyPr/>
        <a:lstStyle/>
        <a:p>
          <a:r>
            <a:rPr lang="nl-NL" sz="900"/>
            <a:t>Wettelijke &amp; ethische kaders</a:t>
          </a:r>
        </a:p>
      </dgm:t>
    </dgm:pt>
    <dgm:pt modelId="{88CF59FD-DD75-452D-B8A6-7D19771C58BC}" type="parTrans" cxnId="{695E7359-E4C6-4AA4-9839-366B49BBB3B9}">
      <dgm:prSet/>
      <dgm:spPr/>
      <dgm:t>
        <a:bodyPr/>
        <a:lstStyle/>
        <a:p>
          <a:endParaRPr lang="nl-NL"/>
        </a:p>
      </dgm:t>
    </dgm:pt>
    <dgm:pt modelId="{26F4B49C-1D08-4075-AD89-4C420E1CB199}" type="sibTrans" cxnId="{695E7359-E4C6-4AA4-9839-366B49BBB3B9}">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31">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31">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31">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31">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31">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31">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31">
        <dgm:presLayoutVars>
          <dgm:bulletEnabled val="1"/>
        </dgm:presLayoutVars>
      </dgm:prSet>
      <dgm:spPr/>
    </dgm:pt>
    <dgm:pt modelId="{E6B89461-4A3D-42F9-9724-85D072F06CBB}" type="pres">
      <dgm:prSet presAssocID="{6C20051A-C227-4FCE-84B9-13E8355C6FE0}" presName="aSpace2" presStyleCnt="0"/>
      <dgm:spPr/>
    </dgm:pt>
    <dgm:pt modelId="{ED72BB4B-3283-4FB6-8CED-112A7127815D}" type="pres">
      <dgm:prSet presAssocID="{D216417B-8724-4A89-97D4-DE24FD728663}" presName="childNode" presStyleLbl="node1" presStyleIdx="7" presStyleCnt="31">
        <dgm:presLayoutVars>
          <dgm:bulletEnabled val="1"/>
        </dgm:presLayoutVars>
      </dgm:prSet>
      <dgm:spPr/>
    </dgm:pt>
    <dgm:pt modelId="{D367107A-E0F3-4662-86D0-A24CFBAFCFBD}" type="pres">
      <dgm:prSet presAssocID="{D216417B-8724-4A89-97D4-DE24FD728663}" presName="aSpace2" presStyleCnt="0"/>
      <dgm:spPr/>
    </dgm:pt>
    <dgm:pt modelId="{7690A3C0-559A-413A-80CB-EF7F0448F8BE}" type="pres">
      <dgm:prSet presAssocID="{06EA25F0-C693-44AF-A06D-C0325E1809BB}" presName="childNode" presStyleLbl="node1" presStyleIdx="8" presStyleCnt="31">
        <dgm:presLayoutVars>
          <dgm:bulletEnabled val="1"/>
        </dgm:presLayoutVars>
      </dgm:prSet>
      <dgm:spPr/>
    </dgm:pt>
    <dgm:pt modelId="{58704564-5E38-41D6-A13C-09493EB402C8}" type="pres">
      <dgm:prSet presAssocID="{06EA25F0-C693-44AF-A06D-C0325E1809BB}" presName="aSpace2" presStyleCnt="0"/>
      <dgm:spPr/>
    </dgm:pt>
    <dgm:pt modelId="{D903526D-479C-481C-A099-9D4B76AF7C8B}" type="pres">
      <dgm:prSet presAssocID="{BAD6FA44-564E-46C6-8144-649F60D41AEE}" presName="childNode" presStyleLbl="node1" presStyleIdx="9" presStyleCnt="31">
        <dgm:presLayoutVars>
          <dgm:bulletEnabled val="1"/>
        </dgm:presLayoutVars>
      </dgm:prSet>
      <dgm:spPr/>
    </dgm:pt>
    <dgm:pt modelId="{FDD3DE1F-0461-4B4E-A1AA-E45EF04D108E}" type="pres">
      <dgm:prSet presAssocID="{BAD6FA44-564E-46C6-8144-649F60D41AEE}" presName="aSpace2" presStyleCnt="0"/>
      <dgm:spPr/>
    </dgm:pt>
    <dgm:pt modelId="{44452195-DE33-436B-A472-C9844E86BA39}" type="pres">
      <dgm:prSet presAssocID="{644F3895-1B83-4425-BC44-A86D9C44D344}" presName="childNode" presStyleLbl="node1" presStyleIdx="10" presStyleCnt="31">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1" presStyleCnt="31">
        <dgm:presLayoutVars>
          <dgm:bulletEnabled val="1"/>
        </dgm:presLayoutVars>
      </dgm:prSet>
      <dgm:spPr/>
    </dgm:pt>
    <dgm:pt modelId="{DF1C0E16-9921-47F0-A6F2-1E91F143E5F6}" type="pres">
      <dgm:prSet presAssocID="{D38A169C-73FA-404F-BBC1-E58D54FDBE12}" presName="aSpace2" presStyleCnt="0"/>
      <dgm:spPr/>
    </dgm:pt>
    <dgm:pt modelId="{E2E1DA1B-0A76-431F-B9C4-BDBEA068BDB9}" type="pres">
      <dgm:prSet presAssocID="{3E42AC28-EEB7-4C94-8498-EA993F736C06}" presName="childNode" presStyleLbl="node1" presStyleIdx="12" presStyleCnt="31">
        <dgm:presLayoutVars>
          <dgm:bulletEnabled val="1"/>
        </dgm:presLayoutVars>
      </dgm:prSet>
      <dgm:spPr/>
    </dgm:pt>
    <dgm:pt modelId="{867C5404-DDD4-4835-90A2-32002DFE937E}" type="pres">
      <dgm:prSet presAssocID="{3E42AC28-EEB7-4C94-8498-EA993F736C06}" presName="aSpace2" presStyleCnt="0"/>
      <dgm:spPr/>
    </dgm:pt>
    <dgm:pt modelId="{D853A1B2-3770-4EED-904A-C0129498A003}" type="pres">
      <dgm:prSet presAssocID="{F8D199BE-2EAA-413A-BFAB-C0BA083F3E62}" presName="childNode" presStyleLbl="node1" presStyleIdx="13" presStyleCnt="31">
        <dgm:presLayoutVars>
          <dgm:bulletEnabled val="1"/>
        </dgm:presLayoutVars>
      </dgm:prSet>
      <dgm:spPr/>
    </dgm:pt>
    <dgm:pt modelId="{7E7CFDB6-7738-48DB-9D75-12AF33CCFC76}" type="pres">
      <dgm:prSet presAssocID="{F8D199BE-2EAA-413A-BFAB-C0BA083F3E62}" presName="aSpace2" presStyleCnt="0"/>
      <dgm:spPr/>
    </dgm:pt>
    <dgm:pt modelId="{4E4E0C84-B248-4A7C-85E8-2FD9EC6B9EC1}" type="pres">
      <dgm:prSet presAssocID="{449A3C1E-864C-4D99-A978-C16B25C957B0}" presName="childNode" presStyleLbl="node1" presStyleIdx="14" presStyleCnt="31">
        <dgm:presLayoutVars>
          <dgm:bulletEnabled val="1"/>
        </dgm:presLayoutVars>
      </dgm:prSet>
      <dgm:spPr/>
    </dgm:pt>
    <dgm:pt modelId="{3C2B07E6-77EB-424F-8346-DFFA37174642}" type="pres">
      <dgm:prSet presAssocID="{449A3C1E-864C-4D99-A978-C16B25C957B0}" presName="aSpace2" presStyleCnt="0"/>
      <dgm:spPr/>
    </dgm:pt>
    <dgm:pt modelId="{91C2F32A-F8FB-4AA3-9810-FF746F947A8A}" type="pres">
      <dgm:prSet presAssocID="{4CEDA2CE-63E9-4816-99CB-517EA9D9302E}" presName="childNode" presStyleLbl="node1" presStyleIdx="15" presStyleCnt="31">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6" presStyleCnt="31">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7" presStyleCnt="31">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18" presStyleCnt="31">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19" presStyleCnt="31">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20" presStyleCnt="31">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21" presStyleCnt="31">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2" presStyleCnt="31">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3" presStyleCnt="31">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4" presStyleCnt="31">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5" presStyleCnt="31">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6" presStyleCnt="31">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7" presStyleCnt="31">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28" presStyleCnt="31">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29" presStyleCnt="31">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30" presStyleCnt="31">
        <dgm:presLayoutVars>
          <dgm:bulletEnabled val="1"/>
        </dgm:presLayoutVars>
      </dgm:prSet>
      <dgm:spPr/>
    </dgm:pt>
  </dgm:ptLst>
  <dgm:cxnLst>
    <dgm:cxn modelId="{9AA6C102-B33A-45C3-AE7D-4BCB09515111}" srcId="{7ED69BD0-5C46-430C-BD11-1675B78445AF}" destId="{2E51DF25-B7C0-43DA-ADCE-0B6DAA3E9F7B}" srcOrd="3" destOrd="0" parTransId="{060E53C2-706B-40E2-B6B1-DC5694082B1A}" sibTransId="{54C986C0-7254-4D77-8EF8-B2E27153E9C6}"/>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9EC02B40-063D-46C5-BD33-C8B5C1E2EA67}" type="presOf" srcId="{449A3C1E-864C-4D99-A978-C16B25C957B0}" destId="{4E4E0C84-B248-4A7C-85E8-2FD9EC6B9EC1}" srcOrd="0" destOrd="0" presId="urn:microsoft.com/office/officeart/2005/8/layout/lProcess2"/>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5B9BC363-A286-42FB-A533-6542AF21BB0B}" srcId="{71C93146-8DBD-47BA-9B89-8D2FF25B6FDE}" destId="{D216417B-8724-4A89-97D4-DE24FD728663}" srcOrd="1" destOrd="0" parTransId="{38AE1861-BF10-48F6-9902-51054B81E7B4}" sibTransId="{A41718D6-2FB8-4C3B-9ED4-B1EC2AF89F87}"/>
    <dgm:cxn modelId="{3C0AD464-02F9-447E-A6D3-18CA9A9E3E97}" type="presOf" srcId="{E4B92491-EA9A-4D22-9CF8-82866D9BC210}" destId="{D9D4FC23-0730-4C6A-92D3-55905B566BDA}"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3C39BA76-36BD-45C8-9B8C-C56D6FC2B6E2}" type="presOf" srcId="{23669D9C-1B83-4042-BBDD-E437161DD5D6}" destId="{DED3F222-26E6-4809-AA91-F07F244295C3}" srcOrd="0" destOrd="0" presId="urn:microsoft.com/office/officeart/2005/8/layout/lProcess2"/>
    <dgm:cxn modelId="{FF4B5158-2282-42EF-8818-48BE7EC54C4F}" type="presOf" srcId="{9CC56A7C-11FF-4892-B122-891E65EB1004}" destId="{AAF2ACE6-5E38-4636-B080-BC2D37E74DD8}" srcOrd="0" destOrd="0" presId="urn:microsoft.com/office/officeart/2005/8/layout/lProcess2"/>
    <dgm:cxn modelId="{D2E7AC78-1464-4D0F-946B-DE12F0DA1BA3}" srcId="{CB339438-8F81-4836-B0D6-39E445779B2D}" destId="{449A3C1E-864C-4D99-A978-C16B25C957B0}" srcOrd="3" destOrd="0" parTransId="{0A3446BE-D83A-4DAB-A0F2-925FF856AF77}" sibTransId="{54B93C63-1160-4AF5-A9A2-DFAB5D9F65A7}"/>
    <dgm:cxn modelId="{695E7359-E4C6-4AA4-9839-366B49BBB3B9}" srcId="{CB339438-8F81-4836-B0D6-39E445779B2D}" destId="{4CEDA2CE-63E9-4816-99CB-517EA9D9302E}" srcOrd="4" destOrd="0" parTransId="{88CF59FD-DD75-452D-B8A6-7D19771C58BC}" sibTransId="{26F4B49C-1D08-4075-AD89-4C420E1CB199}"/>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14FB9A86-01FF-47AB-9613-01533BB132DB}" srcId="{CB339438-8F81-4836-B0D6-39E445779B2D}" destId="{F8D199BE-2EAA-413A-BFAB-C0BA083F3E62}" srcOrd="2" destOrd="0" parTransId="{62741218-0BA0-49F7-B6A0-2A8F7D149CA6}" sibTransId="{6229AB4A-09DB-44F8-A5C4-0AF88257FEC8}"/>
    <dgm:cxn modelId="{28396088-9F13-41F4-B6CB-6A5C0B3DD9F0}" type="presOf" srcId="{35F91573-84CF-4D05-97CE-0E5A3583D4E6}" destId="{8387A50E-865C-4F7E-BAF7-78F89B5F3C88}" srcOrd="0" destOrd="0" presId="urn:microsoft.com/office/officeart/2005/8/layout/lProcess2"/>
    <dgm:cxn modelId="{72A3D78B-92D6-449C-98CC-23E3C2AD0451}" srcId="{71C93146-8DBD-47BA-9B89-8D2FF25B6FDE}" destId="{644F3895-1B83-4425-BC44-A86D9C44D344}" srcOrd="4" destOrd="0" parTransId="{59CA7C89-29E4-4141-A455-C60FACF04E8F}" sibTransId="{613F9AE0-B863-4E2D-9881-74B78479D5B3}"/>
    <dgm:cxn modelId="{FA676D8E-DD10-4206-946E-A18DBBC548C9}" srcId="{3C8EFC9A-BDC9-4CB0-8DCF-FD6F89FD7C78}" destId="{CB339438-8F81-4836-B0D6-39E445779B2D}" srcOrd="2" destOrd="0" parTransId="{81844B2A-8DE3-4EEB-9E0E-031ED26B43F7}" sibTransId="{217513DC-7E70-4D8D-9CA4-5D4693EB7292}"/>
    <dgm:cxn modelId="{B67E0C91-C899-493F-882D-F22A8CFFE2EA}" type="presOf" srcId="{644F3895-1B83-4425-BC44-A86D9C44D344}" destId="{44452195-DE33-436B-A472-C9844E86BA39}" srcOrd="0" destOrd="0" presId="urn:microsoft.com/office/officeart/2005/8/layout/lProcess2"/>
    <dgm:cxn modelId="{CC0B9192-6ADB-42ED-A62D-0C2A56F3FA4F}" type="presOf" srcId="{71C93146-8DBD-47BA-9B89-8D2FF25B6FDE}" destId="{54671E33-5AC7-4CD0-91C9-A60A47022F3E}"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A41119B6-F03E-4797-B579-489D1657FB93}" srcId="{CB339438-8F81-4836-B0D6-39E445779B2D}" destId="{3E42AC28-EEB7-4C94-8498-EA993F736C06}" srcOrd="1" destOrd="0" parTransId="{BDAD4D43-7D69-4996-95FB-E406E9ACF010}" sibTransId="{7E51D8FE-340D-45C3-B07B-C19DF8C135D3}"/>
    <dgm:cxn modelId="{6515D1B7-B79C-467C-996D-26E8F0201521}" type="presOf" srcId="{06EA25F0-C693-44AF-A06D-C0325E1809BB}" destId="{7690A3C0-559A-413A-80CB-EF7F0448F8BE}" srcOrd="0"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5F74CBC7-1B4A-4A19-88D6-CD7B53DFA198}" type="presOf" srcId="{3E42AC28-EEB7-4C94-8498-EA993F736C06}" destId="{E2E1DA1B-0A76-431F-B9C4-BDBEA068BDB9}" srcOrd="0" destOrd="0" presId="urn:microsoft.com/office/officeart/2005/8/layout/lProcess2"/>
    <dgm:cxn modelId="{71D3D0CD-F1F8-4061-91D4-6440ABAD22A3}" type="presOf" srcId="{4CEDA2CE-63E9-4816-99CB-517EA9D9302E}" destId="{91C2F32A-F8FB-4AA3-9810-FF746F947A8A}"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B1B6FBD4-2E3E-4942-AB7B-5FE10B6043EA}" srcId="{71C93146-8DBD-47BA-9B89-8D2FF25B6FDE}" destId="{06EA25F0-C693-44AF-A06D-C0325E1809BB}" srcOrd="2" destOrd="0" parTransId="{40D3FB41-5F9E-4F3D-A379-6015BD01587B}" sibTransId="{D32CBF9F-EBCD-4A05-9CFF-46EB798AAE6D}"/>
    <dgm:cxn modelId="{418645D6-B4DB-4342-9110-72D422B7C362}" srcId="{71C93146-8DBD-47BA-9B89-8D2FF25B6FDE}" destId="{BAD6FA44-564E-46C6-8144-649F60D41AEE}" srcOrd="3" destOrd="0" parTransId="{BF0207BC-EB2C-466F-8BBA-5121346D5386}" sibTransId="{AA7BD254-9782-4365-A4E4-BAC1FEA4984B}"/>
    <dgm:cxn modelId="{B9770FDA-37FF-43F8-A310-12FA30D16BC1}" srcId="{731B959C-F05A-4425-AA8A-A0CC576E0CD6}" destId="{E4529BFC-7FBA-401E-83DC-ED21706EC71E}" srcOrd="0" destOrd="0" parTransId="{75EC726F-0F1A-4A9A-AAA4-BA5A62E7EF13}" sibTransId="{2694060A-8504-46CC-B366-F826D32B0115}"/>
    <dgm:cxn modelId="{D66B96E5-D839-4114-A804-BA00C3B6DAF0}" type="presOf" srcId="{BAD6FA44-564E-46C6-8144-649F60D41AEE}" destId="{D903526D-479C-481C-A099-9D4B76AF7C8B}" srcOrd="0" destOrd="0" presId="urn:microsoft.com/office/officeart/2005/8/layout/lProcess2"/>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55C2DFF2-EDBE-45FB-8FCB-121AEBAE19AA}" srcId="{35F91573-84CF-4D05-97CE-0E5A3583D4E6}" destId="{437562EF-45B9-4108-A430-E90D425350DB}" srcOrd="0" destOrd="0" parTransId="{5D122FFE-41EF-4D98-A656-471511B9F739}" sibTransId="{DA5646B2-415F-44CC-B454-6CDE34BFAF76}"/>
    <dgm:cxn modelId="{1BAAFAF2-950B-4CDF-A69C-D402BC589285}" type="presOf" srcId="{D216417B-8724-4A89-97D4-DE24FD728663}" destId="{ED72BB4B-3283-4FB6-8CED-112A7127815D}" srcOrd="0" destOrd="0" presId="urn:microsoft.com/office/officeart/2005/8/layout/lProcess2"/>
    <dgm:cxn modelId="{995880F7-F42F-4DFB-B43A-F901D033869D}" type="presOf" srcId="{F8D199BE-2EAA-413A-BFAB-C0BA083F3E62}" destId="{D853A1B2-3770-4EED-904A-C0129498A003}" srcOrd="0" destOrd="0" presId="urn:microsoft.com/office/officeart/2005/8/layout/lProcess2"/>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F5F776D9-CA4F-4208-B41C-1662B9990B85}" type="presParOf" srcId="{10201B17-1614-4D45-8D1F-E89E82CE147B}" destId="{E6B89461-4A3D-42F9-9724-85D072F06CBB}" srcOrd="1" destOrd="0" presId="urn:microsoft.com/office/officeart/2005/8/layout/lProcess2"/>
    <dgm:cxn modelId="{A763D499-898B-43C6-8A74-5B370EF3F50B}" type="presParOf" srcId="{10201B17-1614-4D45-8D1F-E89E82CE147B}" destId="{ED72BB4B-3283-4FB6-8CED-112A7127815D}" srcOrd="2" destOrd="0" presId="urn:microsoft.com/office/officeart/2005/8/layout/lProcess2"/>
    <dgm:cxn modelId="{3B28D20C-372B-46FB-9D36-2A67DE52AB5E}" type="presParOf" srcId="{10201B17-1614-4D45-8D1F-E89E82CE147B}" destId="{D367107A-E0F3-4662-86D0-A24CFBAFCFBD}" srcOrd="3" destOrd="0" presId="urn:microsoft.com/office/officeart/2005/8/layout/lProcess2"/>
    <dgm:cxn modelId="{524032EB-5300-49C2-AD94-98CF9CF39C22}" type="presParOf" srcId="{10201B17-1614-4D45-8D1F-E89E82CE147B}" destId="{7690A3C0-559A-413A-80CB-EF7F0448F8BE}" srcOrd="4" destOrd="0" presId="urn:microsoft.com/office/officeart/2005/8/layout/lProcess2"/>
    <dgm:cxn modelId="{F88C8E16-8F3A-4F4B-AD76-2685F596CF70}" type="presParOf" srcId="{10201B17-1614-4D45-8D1F-E89E82CE147B}" destId="{58704564-5E38-41D6-A13C-09493EB402C8}" srcOrd="5" destOrd="0" presId="urn:microsoft.com/office/officeart/2005/8/layout/lProcess2"/>
    <dgm:cxn modelId="{307C607C-A001-4009-B9CE-3E60A9B01B58}" type="presParOf" srcId="{10201B17-1614-4D45-8D1F-E89E82CE147B}" destId="{D903526D-479C-481C-A099-9D4B76AF7C8B}" srcOrd="6" destOrd="0" presId="urn:microsoft.com/office/officeart/2005/8/layout/lProcess2"/>
    <dgm:cxn modelId="{B9BA0E50-8C2A-419B-9FEB-6D06532EB621}" type="presParOf" srcId="{10201B17-1614-4D45-8D1F-E89E82CE147B}" destId="{FDD3DE1F-0461-4B4E-A1AA-E45EF04D108E}" srcOrd="7" destOrd="0" presId="urn:microsoft.com/office/officeart/2005/8/layout/lProcess2"/>
    <dgm:cxn modelId="{E95AF614-F345-4C6A-973D-774C48BEC537}" type="presParOf" srcId="{10201B17-1614-4D45-8D1F-E89E82CE147B}" destId="{44452195-DE33-436B-A472-C9844E86BA39}" srcOrd="8"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66969849-4E8A-430C-8F20-F63C1E99ADFE}" type="presParOf" srcId="{E3A1EC06-F8F1-47EA-A4C0-7BCCDF995841}" destId="{E2E1DA1B-0A76-431F-B9C4-BDBEA068BDB9}" srcOrd="2" destOrd="0" presId="urn:microsoft.com/office/officeart/2005/8/layout/lProcess2"/>
    <dgm:cxn modelId="{03343FCC-DCD9-4926-B8E9-83C5F19F6304}" type="presParOf" srcId="{E3A1EC06-F8F1-47EA-A4C0-7BCCDF995841}" destId="{867C5404-DDD4-4835-90A2-32002DFE937E}" srcOrd="3" destOrd="0" presId="urn:microsoft.com/office/officeart/2005/8/layout/lProcess2"/>
    <dgm:cxn modelId="{094F041E-1CE4-43F1-8913-461A895CCC7F}" type="presParOf" srcId="{E3A1EC06-F8F1-47EA-A4C0-7BCCDF995841}" destId="{D853A1B2-3770-4EED-904A-C0129498A003}" srcOrd="4" destOrd="0" presId="urn:microsoft.com/office/officeart/2005/8/layout/lProcess2"/>
    <dgm:cxn modelId="{AF51D15C-C377-41DC-9FD9-B12221ACFCE6}" type="presParOf" srcId="{E3A1EC06-F8F1-47EA-A4C0-7BCCDF995841}" destId="{7E7CFDB6-7738-48DB-9D75-12AF33CCFC76}" srcOrd="5" destOrd="0" presId="urn:microsoft.com/office/officeart/2005/8/layout/lProcess2"/>
    <dgm:cxn modelId="{2CA06481-34E6-4829-B00A-47153B43485E}" type="presParOf" srcId="{E3A1EC06-F8F1-47EA-A4C0-7BCCDF995841}" destId="{4E4E0C84-B248-4A7C-85E8-2FD9EC6B9EC1}" srcOrd="6" destOrd="0" presId="urn:microsoft.com/office/officeart/2005/8/layout/lProcess2"/>
    <dgm:cxn modelId="{5C518608-CA02-4D80-9B9B-455A8D2039C1}" type="presParOf" srcId="{E3A1EC06-F8F1-47EA-A4C0-7BCCDF995841}" destId="{3C2B07E6-77EB-424F-8346-DFFA37174642}" srcOrd="7" destOrd="0" presId="urn:microsoft.com/office/officeart/2005/8/layout/lProcess2"/>
    <dgm:cxn modelId="{FFD8B0B0-4FBB-4584-AF6E-3DEF68BDB88A}" type="presParOf" srcId="{E3A1EC06-F8F1-47EA-A4C0-7BCCDF995841}" destId="{91C2F32A-F8FB-4AA3-9810-FF746F947A8A}" srcOrd="8"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20415" cy="1396111"/>
      </dsp:txXfrm>
    </dsp:sp>
    <dsp:sp modelId="{D9D4FC23-0730-4C6A-92D3-55905B566BDA}">
      <dsp:nvSpPr>
        <dsp:cNvPr id="0" name=""/>
        <dsp:cNvSpPr/>
      </dsp:nvSpPr>
      <dsp:spPr>
        <a:xfrm>
          <a:off x="135383"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48469" y="1409424"/>
        <a:ext cx="1030160" cy="420622"/>
      </dsp:txXfrm>
    </dsp:sp>
    <dsp:sp modelId="{B92FF65D-7314-4281-8C61-D2E02ABB453E}">
      <dsp:nvSpPr>
        <dsp:cNvPr id="0" name=""/>
        <dsp:cNvSpPr/>
      </dsp:nvSpPr>
      <dsp:spPr>
        <a:xfrm>
          <a:off x="135383"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48469" y="1924956"/>
        <a:ext cx="1030160" cy="420622"/>
      </dsp:txXfrm>
    </dsp:sp>
    <dsp:sp modelId="{8BA67AC5-5D23-4E1E-BC34-5B51379E48E7}">
      <dsp:nvSpPr>
        <dsp:cNvPr id="0" name=""/>
        <dsp:cNvSpPr/>
      </dsp:nvSpPr>
      <dsp:spPr>
        <a:xfrm>
          <a:off x="135383"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48469" y="2440488"/>
        <a:ext cx="1030160" cy="420622"/>
      </dsp:txXfrm>
    </dsp:sp>
    <dsp:sp modelId="{EE4F65C3-F61D-4F57-82E6-6248AF681702}">
      <dsp:nvSpPr>
        <dsp:cNvPr id="0" name=""/>
        <dsp:cNvSpPr/>
      </dsp:nvSpPr>
      <dsp:spPr>
        <a:xfrm>
          <a:off x="135383"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48469" y="2956019"/>
        <a:ext cx="1030160" cy="420622"/>
      </dsp:txXfrm>
    </dsp:sp>
    <dsp:sp modelId="{4AA2C2D8-38AC-49A4-B325-32683F44EAF4}">
      <dsp:nvSpPr>
        <dsp:cNvPr id="0" name=""/>
        <dsp:cNvSpPr/>
      </dsp:nvSpPr>
      <dsp:spPr>
        <a:xfrm>
          <a:off x="135383"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48469" y="3471551"/>
        <a:ext cx="1030160" cy="420622"/>
      </dsp:txXfrm>
    </dsp:sp>
    <dsp:sp modelId="{211DDDCD-7378-4BEA-A98D-65ED33393EC4}">
      <dsp:nvSpPr>
        <dsp:cNvPr id="0" name=""/>
        <dsp:cNvSpPr/>
      </dsp:nvSpPr>
      <dsp:spPr>
        <a:xfrm>
          <a:off x="135383"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48469" y="3987083"/>
        <a:ext cx="1030160" cy="420622"/>
      </dsp:txXfrm>
    </dsp:sp>
    <dsp:sp modelId="{54671E33-5AC7-4CD0-91C9-A60A47022F3E}">
      <dsp:nvSpPr>
        <dsp:cNvPr id="0" name=""/>
        <dsp:cNvSpPr/>
      </dsp:nvSpPr>
      <dsp:spPr>
        <a:xfrm>
          <a:off x="142278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22788" y="0"/>
        <a:ext cx="1320415" cy="1396111"/>
      </dsp:txXfrm>
    </dsp:sp>
    <dsp:sp modelId="{9B677AB5-8643-43AB-A8BB-D8E12AD5A274}">
      <dsp:nvSpPr>
        <dsp:cNvPr id="0" name=""/>
        <dsp:cNvSpPr/>
      </dsp:nvSpPr>
      <dsp:spPr>
        <a:xfrm>
          <a:off x="155483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Domein kennis</a:t>
          </a:r>
        </a:p>
      </dsp:txBody>
      <dsp:txXfrm>
        <a:off x="1570598" y="1412759"/>
        <a:ext cx="1024796" cy="506832"/>
      </dsp:txXfrm>
    </dsp:sp>
    <dsp:sp modelId="{ED72BB4B-3283-4FB6-8CED-112A7127815D}">
      <dsp:nvSpPr>
        <dsp:cNvPr id="0" name=""/>
        <dsp:cNvSpPr/>
      </dsp:nvSpPr>
      <dsp:spPr>
        <a:xfrm>
          <a:off x="155483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Metrics, KPIs en doelen</a:t>
          </a:r>
        </a:p>
      </dsp:txBody>
      <dsp:txXfrm>
        <a:off x="1570598" y="2033954"/>
        <a:ext cx="1024796" cy="506832"/>
      </dsp:txXfrm>
    </dsp:sp>
    <dsp:sp modelId="{7690A3C0-559A-413A-80CB-EF7F0448F8BE}">
      <dsp:nvSpPr>
        <dsp:cNvPr id="0" name=""/>
        <dsp:cNvSpPr/>
      </dsp:nvSpPr>
      <dsp:spPr>
        <a:xfrm>
          <a:off x="155483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Wiskunde &amp; statistiek</a:t>
          </a:r>
        </a:p>
      </dsp:txBody>
      <dsp:txXfrm>
        <a:off x="1570598" y="2655148"/>
        <a:ext cx="1024796" cy="506832"/>
      </dsp:txXfrm>
    </dsp:sp>
    <dsp:sp modelId="{D903526D-479C-481C-A099-9D4B76AF7C8B}">
      <dsp:nvSpPr>
        <dsp:cNvPr id="0" name=""/>
        <dsp:cNvSpPr/>
      </dsp:nvSpPr>
      <dsp:spPr>
        <a:xfrm>
          <a:off x="155483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interpretatie &amp; analyse</a:t>
          </a:r>
        </a:p>
      </dsp:txBody>
      <dsp:txXfrm>
        <a:off x="1570598" y="3276343"/>
        <a:ext cx="1024796" cy="506832"/>
      </dsp:txXfrm>
    </dsp:sp>
    <dsp:sp modelId="{44452195-DE33-436B-A472-C9844E86BA39}">
      <dsp:nvSpPr>
        <dsp:cNvPr id="0" name=""/>
        <dsp:cNvSpPr/>
      </dsp:nvSpPr>
      <dsp:spPr>
        <a:xfrm>
          <a:off x="155483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Dashboarding &amp; reporting</a:t>
          </a:r>
        </a:p>
      </dsp:txBody>
      <dsp:txXfrm>
        <a:off x="1570598" y="3897537"/>
        <a:ext cx="1024796" cy="506832"/>
      </dsp:txXfrm>
    </dsp:sp>
    <dsp:sp modelId="{6D56517E-766B-45C1-B3BA-03A92A9F1628}">
      <dsp:nvSpPr>
        <dsp:cNvPr id="0" name=""/>
        <dsp:cNvSpPr/>
      </dsp:nvSpPr>
      <dsp:spPr>
        <a:xfrm>
          <a:off x="2859163"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859163" y="0"/>
        <a:ext cx="1320415" cy="1396111"/>
      </dsp:txXfrm>
    </dsp:sp>
    <dsp:sp modelId="{A239EC8B-8508-4BCF-8FEB-C4B29C102781}">
      <dsp:nvSpPr>
        <dsp:cNvPr id="0" name=""/>
        <dsp:cNvSpPr/>
      </dsp:nvSpPr>
      <dsp:spPr>
        <a:xfrm>
          <a:off x="297427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Toolkennis</a:t>
          </a:r>
        </a:p>
      </dsp:txBody>
      <dsp:txXfrm>
        <a:off x="2990044" y="1412759"/>
        <a:ext cx="1024796" cy="506832"/>
      </dsp:txXfrm>
    </dsp:sp>
    <dsp:sp modelId="{E2E1DA1B-0A76-431F-B9C4-BDBEA068BDB9}">
      <dsp:nvSpPr>
        <dsp:cNvPr id="0" name=""/>
        <dsp:cNvSpPr/>
      </dsp:nvSpPr>
      <dsp:spPr>
        <a:xfrm>
          <a:off x="297427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Implementatie &amp; data verzameling</a:t>
          </a:r>
        </a:p>
      </dsp:txBody>
      <dsp:txXfrm>
        <a:off x="2990044" y="2033954"/>
        <a:ext cx="1024796" cy="506832"/>
      </dsp:txXfrm>
    </dsp:sp>
    <dsp:sp modelId="{D853A1B2-3770-4EED-904A-C0129498A003}">
      <dsp:nvSpPr>
        <dsp:cNvPr id="0" name=""/>
        <dsp:cNvSpPr/>
      </dsp:nvSpPr>
      <dsp:spPr>
        <a:xfrm>
          <a:off x="297427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verwerking</a:t>
          </a:r>
        </a:p>
      </dsp:txBody>
      <dsp:txXfrm>
        <a:off x="2990044" y="2655148"/>
        <a:ext cx="1024796" cy="506832"/>
      </dsp:txXfrm>
    </dsp:sp>
    <dsp:sp modelId="{4E4E0C84-B248-4A7C-85E8-2FD9EC6B9EC1}">
      <dsp:nvSpPr>
        <dsp:cNvPr id="0" name=""/>
        <dsp:cNvSpPr/>
      </dsp:nvSpPr>
      <dsp:spPr>
        <a:xfrm>
          <a:off x="297427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visualisatie</a:t>
          </a:r>
        </a:p>
      </dsp:txBody>
      <dsp:txXfrm>
        <a:off x="2990044" y="3276343"/>
        <a:ext cx="1024796" cy="506832"/>
      </dsp:txXfrm>
    </dsp:sp>
    <dsp:sp modelId="{91C2F32A-F8FB-4AA3-9810-FF746F947A8A}">
      <dsp:nvSpPr>
        <dsp:cNvPr id="0" name=""/>
        <dsp:cNvSpPr/>
      </dsp:nvSpPr>
      <dsp:spPr>
        <a:xfrm>
          <a:off x="297427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Wettelijke &amp; ethische kaders</a:t>
          </a:r>
        </a:p>
      </dsp:txBody>
      <dsp:txXfrm>
        <a:off x="2990044" y="3897537"/>
        <a:ext cx="1024796" cy="506832"/>
      </dsp:txXfrm>
    </dsp:sp>
    <dsp:sp modelId="{D3D71071-A754-4C0E-9FFD-064FC19C1E19}">
      <dsp:nvSpPr>
        <dsp:cNvPr id="0" name=""/>
        <dsp:cNvSpPr/>
      </dsp:nvSpPr>
      <dsp:spPr>
        <a:xfrm>
          <a:off x="4261682"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261682" y="0"/>
        <a:ext cx="1320415" cy="1396111"/>
      </dsp:txXfrm>
    </dsp:sp>
    <dsp:sp modelId="{5FFDAE0D-01DD-4F48-856B-01906FDFAC4D}">
      <dsp:nvSpPr>
        <dsp:cNvPr id="0" name=""/>
        <dsp:cNvSpPr/>
      </dsp:nvSpPr>
      <dsp:spPr>
        <a:xfrm>
          <a:off x="4393723"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09491" y="1412759"/>
        <a:ext cx="1024796" cy="506832"/>
      </dsp:txXfrm>
    </dsp:sp>
    <dsp:sp modelId="{7BE6FBB6-2C7F-4090-924E-AD3A157FFABE}">
      <dsp:nvSpPr>
        <dsp:cNvPr id="0" name=""/>
        <dsp:cNvSpPr/>
      </dsp:nvSpPr>
      <dsp:spPr>
        <a:xfrm>
          <a:off x="4393723"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09491" y="2033954"/>
        <a:ext cx="1024796" cy="506832"/>
      </dsp:txXfrm>
    </dsp:sp>
    <dsp:sp modelId="{1BF27B21-0FAC-4F32-B691-48071D34A960}">
      <dsp:nvSpPr>
        <dsp:cNvPr id="0" name=""/>
        <dsp:cNvSpPr/>
      </dsp:nvSpPr>
      <dsp:spPr>
        <a:xfrm>
          <a:off x="4393723"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09491" y="2655148"/>
        <a:ext cx="1024796" cy="506832"/>
      </dsp:txXfrm>
    </dsp:sp>
    <dsp:sp modelId="{9821E4E8-E247-4525-A9DD-43D8B524714D}">
      <dsp:nvSpPr>
        <dsp:cNvPr id="0" name=""/>
        <dsp:cNvSpPr/>
      </dsp:nvSpPr>
      <dsp:spPr>
        <a:xfrm>
          <a:off x="4393723"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09491" y="3276343"/>
        <a:ext cx="1024796" cy="506832"/>
      </dsp:txXfrm>
    </dsp:sp>
    <dsp:sp modelId="{6081A0E7-3270-44D0-B4CD-B69CEEB69F68}">
      <dsp:nvSpPr>
        <dsp:cNvPr id="0" name=""/>
        <dsp:cNvSpPr/>
      </dsp:nvSpPr>
      <dsp:spPr>
        <a:xfrm>
          <a:off x="4393723"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09491" y="3897537"/>
        <a:ext cx="1024796" cy="506832"/>
      </dsp:txXfrm>
    </dsp:sp>
    <dsp:sp modelId="{8387A50E-865C-4F7E-BAF7-78F89B5F3C88}">
      <dsp:nvSpPr>
        <dsp:cNvPr id="0" name=""/>
        <dsp:cNvSpPr/>
      </dsp:nvSpPr>
      <dsp:spPr>
        <a:xfrm>
          <a:off x="568112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681128" y="0"/>
        <a:ext cx="1320415" cy="1396111"/>
      </dsp:txXfrm>
    </dsp:sp>
    <dsp:sp modelId="{45ED17EB-782D-462A-9CC1-E53FA40A33C7}">
      <dsp:nvSpPr>
        <dsp:cNvPr id="0" name=""/>
        <dsp:cNvSpPr/>
      </dsp:nvSpPr>
      <dsp:spPr>
        <a:xfrm>
          <a:off x="581317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828938" y="1412759"/>
        <a:ext cx="1024796" cy="506832"/>
      </dsp:txXfrm>
    </dsp:sp>
    <dsp:sp modelId="{0482D866-2B3F-412E-9D66-E84151969353}">
      <dsp:nvSpPr>
        <dsp:cNvPr id="0" name=""/>
        <dsp:cNvSpPr/>
      </dsp:nvSpPr>
      <dsp:spPr>
        <a:xfrm>
          <a:off x="581317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828938" y="2033954"/>
        <a:ext cx="1024796" cy="506832"/>
      </dsp:txXfrm>
    </dsp:sp>
    <dsp:sp modelId="{07A918F0-62D9-46AE-9F9F-62DB5B328CB3}">
      <dsp:nvSpPr>
        <dsp:cNvPr id="0" name=""/>
        <dsp:cNvSpPr/>
      </dsp:nvSpPr>
      <dsp:spPr>
        <a:xfrm>
          <a:off x="581317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828938" y="2655148"/>
        <a:ext cx="1024796" cy="506832"/>
      </dsp:txXfrm>
    </dsp:sp>
    <dsp:sp modelId="{DED3F222-26E6-4809-AA91-F07F244295C3}">
      <dsp:nvSpPr>
        <dsp:cNvPr id="0" name=""/>
        <dsp:cNvSpPr/>
      </dsp:nvSpPr>
      <dsp:spPr>
        <a:xfrm>
          <a:off x="581317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828938" y="3276343"/>
        <a:ext cx="1024796" cy="506832"/>
      </dsp:txXfrm>
    </dsp:sp>
    <dsp:sp modelId="{AAF2ACE6-5E38-4636-B080-BC2D37E74DD8}">
      <dsp:nvSpPr>
        <dsp:cNvPr id="0" name=""/>
        <dsp:cNvSpPr/>
      </dsp:nvSpPr>
      <dsp:spPr>
        <a:xfrm>
          <a:off x="581317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828938" y="3897537"/>
        <a:ext cx="1024796" cy="506832"/>
      </dsp:txXfrm>
    </dsp:sp>
    <dsp:sp modelId="{788DE979-FF1A-4219-BF84-8A28593CCB94}">
      <dsp:nvSpPr>
        <dsp:cNvPr id="0" name=""/>
        <dsp:cNvSpPr/>
      </dsp:nvSpPr>
      <dsp:spPr>
        <a:xfrm>
          <a:off x="7100575"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100575" y="0"/>
        <a:ext cx="1320415" cy="1396111"/>
      </dsp:txXfrm>
    </dsp:sp>
    <dsp:sp modelId="{F1F16BAE-86C3-4B1E-85EA-E74B55A21462}">
      <dsp:nvSpPr>
        <dsp:cNvPr id="0" name=""/>
        <dsp:cNvSpPr/>
      </dsp:nvSpPr>
      <dsp:spPr>
        <a:xfrm>
          <a:off x="723261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248384" y="1412759"/>
        <a:ext cx="1024796" cy="506832"/>
      </dsp:txXfrm>
    </dsp:sp>
    <dsp:sp modelId="{2EA20561-6CFD-4954-A64B-AB91B0668E80}">
      <dsp:nvSpPr>
        <dsp:cNvPr id="0" name=""/>
        <dsp:cNvSpPr/>
      </dsp:nvSpPr>
      <dsp:spPr>
        <a:xfrm>
          <a:off x="723261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248384" y="2033954"/>
        <a:ext cx="1024796" cy="506832"/>
      </dsp:txXfrm>
    </dsp:sp>
    <dsp:sp modelId="{23C873A2-9912-4FE4-BDE7-C88BA9B2ECB3}">
      <dsp:nvSpPr>
        <dsp:cNvPr id="0" name=""/>
        <dsp:cNvSpPr/>
      </dsp:nvSpPr>
      <dsp:spPr>
        <a:xfrm>
          <a:off x="723261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248384" y="2655148"/>
        <a:ext cx="1024796" cy="506832"/>
      </dsp:txXfrm>
    </dsp:sp>
    <dsp:sp modelId="{95E7D6F0-32A9-4AB9-8051-93F3945D429B}">
      <dsp:nvSpPr>
        <dsp:cNvPr id="0" name=""/>
        <dsp:cNvSpPr/>
      </dsp:nvSpPr>
      <dsp:spPr>
        <a:xfrm>
          <a:off x="723261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248384" y="3276343"/>
        <a:ext cx="1024796" cy="506832"/>
      </dsp:txXfrm>
    </dsp:sp>
    <dsp:sp modelId="{66D2E35F-6AA8-4674-9525-32D6D3B769C9}">
      <dsp:nvSpPr>
        <dsp:cNvPr id="0" name=""/>
        <dsp:cNvSpPr/>
      </dsp:nvSpPr>
      <dsp:spPr>
        <a:xfrm>
          <a:off x="723261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248384" y="3897537"/>
        <a:ext cx="1024796" cy="506832"/>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png"/><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1"/>
        <a:stretch>
          <a:fillRect/>
        </a:stretch>
      </xdr:blipFill>
      <xdr:spPr>
        <a:xfrm>
          <a:off x="0" y="815340"/>
          <a:ext cx="4496199" cy="3718210"/>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29765</xdr:colOff>
      <xdr:row>10</xdr:row>
      <xdr:rowOff>3571</xdr:rowOff>
    </xdr:from>
    <xdr:to>
      <xdr:col>9</xdr:col>
      <xdr:colOff>0</xdr:colOff>
      <xdr:row>24</xdr:row>
      <xdr:rowOff>79771</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10</xdr:row>
      <xdr:rowOff>0</xdr:rowOff>
    </xdr:from>
    <xdr:to>
      <xdr:col>21</xdr:col>
      <xdr:colOff>9525</xdr:colOff>
      <xdr:row>24</xdr:row>
      <xdr:rowOff>76200</xdr:rowOff>
    </xdr:to>
    <xdr:graphicFrame macro="">
      <xdr:nvGraphicFramePr>
        <xdr:cNvPr id="8" name="Grafiek 7">
          <a:extLst>
            <a:ext uri="{FF2B5EF4-FFF2-40B4-BE49-F238E27FC236}">
              <a16:creationId xmlns:a16="http://schemas.microsoft.com/office/drawing/2014/main" i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57150</xdr:colOff>
      <xdr:row>10</xdr:row>
      <xdr:rowOff>0</xdr:rowOff>
    </xdr:from>
    <xdr:to>
      <xdr:col>31</xdr:col>
      <xdr:colOff>261938</xdr:colOff>
      <xdr:row>24</xdr:row>
      <xdr:rowOff>76200</xdr:rowOff>
    </xdr:to>
    <xdr:graphicFrame macro="">
      <xdr:nvGraphicFramePr>
        <xdr:cNvPr id="9" name="Grafiek 8">
          <a:extLst>
            <a:ext uri="{FF2B5EF4-FFF2-40B4-BE49-F238E27FC236}">
              <a16:creationId xmlns:a16="http://schemas.microsoft.com/office/drawing/2014/main" i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35720</xdr:colOff>
      <xdr:row>25</xdr:row>
      <xdr:rowOff>0</xdr:rowOff>
    </xdr:from>
    <xdr:to>
      <xdr:col>9</xdr:col>
      <xdr:colOff>0</xdr:colOff>
      <xdr:row>39</xdr:row>
      <xdr:rowOff>76200</xdr:rowOff>
    </xdr:to>
    <xdr:graphicFrame macro="">
      <xdr:nvGraphicFramePr>
        <xdr:cNvPr id="10" name="Grafiek 9">
          <a:extLst>
            <a:ext uri="{FF2B5EF4-FFF2-40B4-BE49-F238E27FC236}">
              <a16:creationId xmlns:a16="http://schemas.microsoft.com/office/drawing/2014/main" i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85724</xdr:colOff>
      <xdr:row>25</xdr:row>
      <xdr:rowOff>0</xdr:rowOff>
    </xdr:from>
    <xdr:to>
      <xdr:col>20</xdr:col>
      <xdr:colOff>438149</xdr:colOff>
      <xdr:row>39</xdr:row>
      <xdr:rowOff>76200</xdr:rowOff>
    </xdr:to>
    <xdr:graphicFrame macro="">
      <xdr:nvGraphicFramePr>
        <xdr:cNvPr id="11" name="Grafiek 10">
          <a:extLst>
            <a:ext uri="{FF2B5EF4-FFF2-40B4-BE49-F238E27FC236}">
              <a16:creationId xmlns:a16="http://schemas.microsoft.com/office/drawing/2014/main" i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0</xdr:colOff>
      <xdr:row>0</xdr:row>
      <xdr:rowOff>0</xdr:rowOff>
    </xdr:from>
    <xdr:to>
      <xdr:col>46</xdr:col>
      <xdr:colOff>511967</xdr:colOff>
      <xdr:row>9</xdr:row>
      <xdr:rowOff>0</xdr:rowOff>
    </xdr:to>
    <xdr:graphicFrame macro="">
      <xdr:nvGraphicFramePr>
        <xdr:cNvPr id="13" name="Grafiek 12">
          <a:extLst>
            <a:ext uri="{FF2B5EF4-FFF2-40B4-BE49-F238E27FC236}">
              <a16:creationId xmlns:a16="http://schemas.microsoft.com/office/drawing/2014/main" i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57150</xdr:colOff>
      <xdr:row>25</xdr:row>
      <xdr:rowOff>0</xdr:rowOff>
    </xdr:from>
    <xdr:to>
      <xdr:col>31</xdr:col>
      <xdr:colOff>250032</xdr:colOff>
      <xdr:row>39</xdr:row>
      <xdr:rowOff>76200</xdr:rowOff>
    </xdr:to>
    <xdr:graphicFrame macro="">
      <xdr:nvGraphicFramePr>
        <xdr:cNvPr id="14" name="Grafiek 13">
          <a:extLst>
            <a:ext uri="{FF2B5EF4-FFF2-40B4-BE49-F238E27FC236}">
              <a16:creationId xmlns:a16="http://schemas.microsoft.com/office/drawing/2014/main" id="{411B7777-4200-495E-AA19-8871A37B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332184</xdr:colOff>
      <xdr:row>9</xdr:row>
      <xdr:rowOff>167878</xdr:rowOff>
    </xdr:from>
    <xdr:to>
      <xdr:col>39</xdr:col>
      <xdr:colOff>215503</xdr:colOff>
      <xdr:row>24</xdr:row>
      <xdr:rowOff>63103</xdr:rowOff>
    </xdr:to>
    <xdr:graphicFrame macro="">
      <xdr:nvGraphicFramePr>
        <xdr:cNvPr id="3" name="Grafiek 2">
          <a:extLst>
            <a:ext uri="{FF2B5EF4-FFF2-40B4-BE49-F238E27FC236}">
              <a16:creationId xmlns:a16="http://schemas.microsoft.com/office/drawing/2014/main" id="{7885E01C-CEA6-43D1-9C48-4F8189248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342900</xdr:colOff>
      <xdr:row>24</xdr:row>
      <xdr:rowOff>171450</xdr:rowOff>
    </xdr:from>
    <xdr:to>
      <xdr:col>39</xdr:col>
      <xdr:colOff>228600</xdr:colOff>
      <xdr:row>39</xdr:row>
      <xdr:rowOff>66675</xdr:rowOff>
    </xdr:to>
    <xdr:graphicFrame macro="">
      <xdr:nvGraphicFramePr>
        <xdr:cNvPr id="12" name="Grafiek 11">
          <a:extLst>
            <a:ext uri="{FF2B5EF4-FFF2-40B4-BE49-F238E27FC236}">
              <a16:creationId xmlns:a16="http://schemas.microsoft.com/office/drawing/2014/main" id="{4BBE5C71-09B1-486E-A48A-926591820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topLeftCell="A4" workbookViewId="0">
      <selection activeCell="E29" sqref="E29"/>
    </sheetView>
  </sheetViews>
  <sheetFormatPr defaultColWidth="8.7109375" defaultRowHeight="15" x14ac:dyDescent="0.25"/>
  <cols>
    <col min="1" max="9" width="8.7109375" style="50"/>
    <col min="10" max="16" width="19.42578125" style="51" customWidth="1"/>
    <col min="17" max="16384" width="8.7109375" style="50"/>
  </cols>
  <sheetData>
    <row r="2" spans="1:10" ht="21" x14ac:dyDescent="0.35">
      <c r="A2" s="49" t="s">
        <v>0</v>
      </c>
      <c r="J2" s="49"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32"/>
  <sheetViews>
    <sheetView showGridLines="0" tabSelected="1" zoomScale="80" zoomScaleNormal="80" workbookViewId="0">
      <selection activeCell="C17" sqref="C17"/>
    </sheetView>
  </sheetViews>
  <sheetFormatPr defaultColWidth="8.7109375" defaultRowHeight="15" x14ac:dyDescent="0.25"/>
  <cols>
    <col min="1" max="1" width="128.28515625" style="86" customWidth="1"/>
    <col min="2" max="3" width="18.5703125" style="87" customWidth="1"/>
    <col min="4" max="4" width="13.85546875" style="94" customWidth="1"/>
    <col min="5" max="16384" width="8.7109375" style="86"/>
  </cols>
  <sheetData>
    <row r="1" spans="1:13" ht="26.25" x14ac:dyDescent="0.25">
      <c r="A1" s="102" t="s">
        <v>2</v>
      </c>
    </row>
    <row r="2" spans="1:13" ht="14.45" customHeight="1" x14ac:dyDescent="0.25"/>
    <row r="3" spans="1:13" ht="29.45" customHeight="1" x14ac:dyDescent="0.25">
      <c r="A3" s="111" t="s">
        <v>3</v>
      </c>
      <c r="B3" s="123" t="s">
        <v>4</v>
      </c>
      <c r="C3" s="124"/>
      <c r="D3" s="125"/>
      <c r="F3" s="120" t="s">
        <v>5</v>
      </c>
      <c r="G3" s="121"/>
      <c r="H3" s="121"/>
      <c r="I3" s="121"/>
      <c r="J3" s="121"/>
      <c r="K3" s="121"/>
      <c r="L3" s="121"/>
      <c r="M3" s="122"/>
    </row>
    <row r="4" spans="1:13" ht="28.9" customHeight="1" x14ac:dyDescent="0.25">
      <c r="A4" s="100" t="s">
        <v>6</v>
      </c>
      <c r="B4" s="89" t="s">
        <v>7</v>
      </c>
      <c r="C4" s="89" t="s">
        <v>8</v>
      </c>
      <c r="D4" s="89" t="s">
        <v>9</v>
      </c>
      <c r="F4" s="126" t="s">
        <v>10</v>
      </c>
      <c r="G4" s="127"/>
      <c r="H4" s="127"/>
      <c r="I4" s="127"/>
      <c r="J4" s="127"/>
      <c r="K4" s="127"/>
      <c r="L4" s="127"/>
      <c r="M4" s="128"/>
    </row>
    <row r="5" spans="1:13" ht="14.45" customHeight="1" x14ac:dyDescent="0.25">
      <c r="A5" s="85" t="s">
        <v>11</v>
      </c>
      <c r="B5" s="93"/>
      <c r="C5" s="93"/>
      <c r="D5" s="90">
        <v>1</v>
      </c>
      <c r="F5" s="129"/>
      <c r="G5" s="130"/>
      <c r="H5" s="130"/>
      <c r="I5" s="130"/>
      <c r="J5" s="130"/>
      <c r="K5" s="130"/>
      <c r="L5" s="130"/>
      <c r="M5" s="131"/>
    </row>
    <row r="6" spans="1:13" ht="14.45" customHeight="1" x14ac:dyDescent="0.25">
      <c r="A6" s="85" t="s">
        <v>12</v>
      </c>
      <c r="B6" s="119">
        <v>1</v>
      </c>
      <c r="C6" s="93"/>
      <c r="D6" s="90">
        <v>2</v>
      </c>
      <c r="F6" s="129"/>
      <c r="G6" s="130"/>
      <c r="H6" s="130"/>
      <c r="I6" s="130"/>
      <c r="J6" s="130"/>
      <c r="K6" s="130"/>
      <c r="L6" s="130"/>
      <c r="M6" s="131"/>
    </row>
    <row r="7" spans="1:13" ht="14.45" customHeight="1" x14ac:dyDescent="0.25">
      <c r="A7" s="85" t="s">
        <v>13</v>
      </c>
      <c r="B7" s="93">
        <v>3</v>
      </c>
      <c r="C7" s="119">
        <v>5</v>
      </c>
      <c r="D7" s="90">
        <v>3</v>
      </c>
      <c r="F7" s="129"/>
      <c r="G7" s="130"/>
      <c r="H7" s="130"/>
      <c r="I7" s="130"/>
      <c r="J7" s="130"/>
      <c r="K7" s="130"/>
      <c r="L7" s="130"/>
      <c r="M7" s="131"/>
    </row>
    <row r="8" spans="1:13" ht="14.45" customHeight="1" x14ac:dyDescent="0.25">
      <c r="A8" s="85" t="s">
        <v>14</v>
      </c>
      <c r="B8" s="93"/>
      <c r="C8" s="93">
        <v>4</v>
      </c>
      <c r="D8" s="90">
        <v>4</v>
      </c>
      <c r="F8" s="129"/>
      <c r="G8" s="130"/>
      <c r="H8" s="130"/>
      <c r="I8" s="130"/>
      <c r="J8" s="130"/>
      <c r="K8" s="130"/>
      <c r="L8" s="130"/>
      <c r="M8" s="131"/>
    </row>
    <row r="9" spans="1:13" x14ac:dyDescent="0.25">
      <c r="A9" s="85" t="s">
        <v>15</v>
      </c>
      <c r="B9" s="93"/>
      <c r="C9" s="93"/>
      <c r="D9" s="90">
        <v>5</v>
      </c>
      <c r="F9" s="129"/>
      <c r="G9" s="130"/>
      <c r="H9" s="130"/>
      <c r="I9" s="130"/>
      <c r="J9" s="130"/>
      <c r="K9" s="130"/>
      <c r="L9" s="130"/>
      <c r="M9" s="131"/>
    </row>
    <row r="10" spans="1:13" x14ac:dyDescent="0.25">
      <c r="A10" s="88"/>
      <c r="F10" s="129"/>
      <c r="G10" s="130"/>
      <c r="H10" s="130"/>
      <c r="I10" s="130"/>
      <c r="J10" s="130"/>
      <c r="K10" s="130"/>
      <c r="L10" s="130"/>
      <c r="M10" s="131"/>
    </row>
    <row r="11" spans="1:13" ht="23.25" x14ac:dyDescent="0.25">
      <c r="A11" s="112" t="s">
        <v>16</v>
      </c>
      <c r="F11" s="129"/>
      <c r="G11" s="130"/>
      <c r="H11" s="130"/>
      <c r="I11" s="130"/>
      <c r="J11" s="130"/>
      <c r="K11" s="130"/>
      <c r="L11" s="130"/>
      <c r="M11" s="131"/>
    </row>
    <row r="12" spans="1:13" ht="45" x14ac:dyDescent="0.25">
      <c r="A12" s="99" t="s">
        <v>17</v>
      </c>
      <c r="B12" s="104" t="s">
        <v>7</v>
      </c>
      <c r="C12" s="104" t="s">
        <v>8</v>
      </c>
      <c r="D12" s="89" t="s">
        <v>9</v>
      </c>
      <c r="F12" s="129"/>
      <c r="G12" s="130"/>
      <c r="H12" s="130"/>
      <c r="I12" s="130"/>
      <c r="J12" s="130"/>
      <c r="K12" s="130"/>
      <c r="L12" s="130"/>
      <c r="M12" s="131"/>
    </row>
    <row r="13" spans="1:13" x14ac:dyDescent="0.25">
      <c r="A13" s="91" t="s">
        <v>18</v>
      </c>
      <c r="B13" s="92">
        <v>1</v>
      </c>
      <c r="C13" s="92"/>
      <c r="D13" s="90">
        <v>1</v>
      </c>
      <c r="F13" s="129"/>
      <c r="G13" s="130"/>
      <c r="H13" s="130"/>
      <c r="I13" s="130"/>
      <c r="J13" s="130"/>
      <c r="K13" s="130"/>
      <c r="L13" s="130"/>
      <c r="M13" s="131"/>
    </row>
    <row r="14" spans="1:13" ht="30" x14ac:dyDescent="0.25">
      <c r="A14" s="91" t="s">
        <v>19</v>
      </c>
      <c r="B14" s="92"/>
      <c r="C14" s="92"/>
      <c r="D14" s="90">
        <v>2</v>
      </c>
      <c r="F14" s="129"/>
      <c r="G14" s="130"/>
      <c r="H14" s="130"/>
      <c r="I14" s="130"/>
      <c r="J14" s="130"/>
      <c r="K14" s="130"/>
      <c r="L14" s="130"/>
      <c r="M14" s="131"/>
    </row>
    <row r="15" spans="1:13" ht="30" x14ac:dyDescent="0.25">
      <c r="A15" s="91" t="s">
        <v>20</v>
      </c>
      <c r="B15" s="92"/>
      <c r="C15" s="92"/>
      <c r="D15" s="90">
        <v>3</v>
      </c>
      <c r="F15" s="129"/>
      <c r="G15" s="130"/>
      <c r="H15" s="130"/>
      <c r="I15" s="130"/>
      <c r="J15" s="130"/>
      <c r="K15" s="130"/>
      <c r="L15" s="130"/>
      <c r="M15" s="131"/>
    </row>
    <row r="16" spans="1:13" ht="30" x14ac:dyDescent="0.25">
      <c r="A16" s="91" t="s">
        <v>21</v>
      </c>
      <c r="B16" s="92"/>
      <c r="C16" s="92">
        <v>4</v>
      </c>
      <c r="D16" s="90">
        <v>4</v>
      </c>
      <c r="F16" s="129"/>
      <c r="G16" s="130"/>
      <c r="H16" s="130"/>
      <c r="I16" s="130"/>
      <c r="J16" s="130"/>
      <c r="K16" s="130"/>
      <c r="L16" s="130"/>
      <c r="M16" s="131"/>
    </row>
    <row r="17" spans="1:13" ht="30" x14ac:dyDescent="0.25">
      <c r="A17" s="91" t="s">
        <v>22</v>
      </c>
      <c r="B17" s="92"/>
      <c r="C17" s="92"/>
      <c r="D17" s="90">
        <v>5</v>
      </c>
      <c r="F17" s="129"/>
      <c r="G17" s="130"/>
      <c r="H17" s="130"/>
      <c r="I17" s="130"/>
      <c r="J17" s="130"/>
      <c r="K17" s="130"/>
      <c r="L17" s="130"/>
      <c r="M17" s="131"/>
    </row>
    <row r="18" spans="1:13" x14ac:dyDescent="0.25">
      <c r="A18" s="91"/>
      <c r="B18" s="92"/>
      <c r="C18" s="92"/>
      <c r="D18" s="90"/>
      <c r="F18" s="129"/>
      <c r="G18" s="130"/>
      <c r="H18" s="130"/>
      <c r="I18" s="130"/>
      <c r="J18" s="130"/>
      <c r="K18" s="130"/>
      <c r="L18" s="130"/>
      <c r="M18" s="131"/>
    </row>
    <row r="19" spans="1:13" ht="45" x14ac:dyDescent="0.25">
      <c r="A19" s="99" t="s">
        <v>23</v>
      </c>
      <c r="B19" s="104" t="s">
        <v>7</v>
      </c>
      <c r="C19" s="104" t="s">
        <v>8</v>
      </c>
      <c r="D19" s="89" t="s">
        <v>9</v>
      </c>
      <c r="F19" s="129"/>
      <c r="G19" s="130"/>
      <c r="H19" s="130"/>
      <c r="I19" s="130"/>
      <c r="J19" s="130"/>
      <c r="K19" s="130"/>
      <c r="L19" s="130"/>
      <c r="M19" s="131"/>
    </row>
    <row r="20" spans="1:13" x14ac:dyDescent="0.25">
      <c r="A20" s="91" t="s">
        <v>24</v>
      </c>
      <c r="B20" s="92"/>
      <c r="C20" s="92"/>
      <c r="D20" s="90">
        <v>1</v>
      </c>
      <c r="F20" s="129"/>
      <c r="G20" s="130"/>
      <c r="H20" s="130"/>
      <c r="I20" s="130"/>
      <c r="J20" s="130"/>
      <c r="K20" s="130"/>
      <c r="L20" s="130"/>
      <c r="M20" s="131"/>
    </row>
    <row r="21" spans="1:13" x14ac:dyDescent="0.25">
      <c r="A21" s="91" t="s">
        <v>25</v>
      </c>
      <c r="B21" s="92"/>
      <c r="C21" s="92"/>
      <c r="D21" s="90">
        <v>2</v>
      </c>
      <c r="F21" s="129"/>
      <c r="G21" s="130"/>
      <c r="H21" s="130"/>
      <c r="I21" s="130"/>
      <c r="J21" s="130"/>
      <c r="K21" s="130"/>
      <c r="L21" s="130"/>
      <c r="M21" s="131"/>
    </row>
    <row r="22" spans="1:13" x14ac:dyDescent="0.25">
      <c r="A22" s="91" t="s">
        <v>26</v>
      </c>
      <c r="B22" s="92"/>
      <c r="C22" s="92"/>
      <c r="D22" s="90">
        <v>3</v>
      </c>
      <c r="F22" s="132"/>
      <c r="G22" s="133"/>
      <c r="H22" s="133"/>
      <c r="I22" s="133"/>
      <c r="J22" s="133"/>
      <c r="K22" s="133"/>
      <c r="L22" s="133"/>
      <c r="M22" s="134"/>
    </row>
    <row r="23" spans="1:13" ht="30" x14ac:dyDescent="0.25">
      <c r="A23" s="91" t="s">
        <v>27</v>
      </c>
      <c r="B23" s="92"/>
      <c r="C23" s="92"/>
      <c r="D23" s="90">
        <v>4</v>
      </c>
      <c r="F23" s="118"/>
      <c r="G23" s="118"/>
      <c r="H23" s="118"/>
      <c r="I23" s="118"/>
      <c r="J23" s="118"/>
      <c r="K23" s="118"/>
      <c r="L23" s="118"/>
      <c r="M23" s="118"/>
    </row>
    <row r="24" spans="1:13" x14ac:dyDescent="0.25">
      <c r="A24" s="91" t="s">
        <v>28</v>
      </c>
      <c r="B24" s="92"/>
      <c r="C24" s="92"/>
      <c r="D24" s="90">
        <v>5</v>
      </c>
      <c r="F24" s="118"/>
      <c r="G24" s="118"/>
      <c r="H24" s="118"/>
      <c r="I24" s="118"/>
      <c r="J24" s="118"/>
      <c r="K24" s="118"/>
      <c r="L24" s="118"/>
      <c r="M24" s="118"/>
    </row>
    <row r="25" spans="1:13" x14ac:dyDescent="0.25">
      <c r="A25" s="91"/>
      <c r="B25" s="92"/>
      <c r="C25" s="92"/>
      <c r="D25" s="90"/>
      <c r="F25" s="118"/>
      <c r="G25" s="118"/>
      <c r="H25" s="118"/>
      <c r="I25" s="118"/>
      <c r="J25" s="118"/>
      <c r="K25" s="118"/>
      <c r="L25" s="118"/>
      <c r="M25" s="118"/>
    </row>
    <row r="26" spans="1:13" ht="45" x14ac:dyDescent="0.25">
      <c r="A26" s="99" t="s">
        <v>29</v>
      </c>
      <c r="B26" s="104" t="s">
        <v>7</v>
      </c>
      <c r="C26" s="104" t="s">
        <v>8</v>
      </c>
      <c r="D26" s="89" t="s">
        <v>9</v>
      </c>
    </row>
    <row r="27" spans="1:13" x14ac:dyDescent="0.25">
      <c r="A27" s="91" t="s">
        <v>30</v>
      </c>
      <c r="B27" s="92"/>
      <c r="C27" s="92"/>
      <c r="D27" s="90">
        <v>1</v>
      </c>
    </row>
    <row r="28" spans="1:13" x14ac:dyDescent="0.25">
      <c r="A28" s="91" t="s">
        <v>31</v>
      </c>
      <c r="B28" s="92"/>
      <c r="C28" s="92"/>
      <c r="D28" s="90">
        <v>2</v>
      </c>
    </row>
    <row r="29" spans="1:13" ht="30" x14ac:dyDescent="0.25">
      <c r="A29" s="91" t="s">
        <v>32</v>
      </c>
      <c r="B29" s="92"/>
      <c r="C29" s="92"/>
      <c r="D29" s="90">
        <v>3</v>
      </c>
    </row>
    <row r="30" spans="1:13" ht="30" x14ac:dyDescent="0.25">
      <c r="A30" s="91" t="s">
        <v>33</v>
      </c>
      <c r="B30" s="92"/>
      <c r="C30" s="92"/>
      <c r="D30" s="90">
        <v>4</v>
      </c>
    </row>
    <row r="31" spans="1:13" ht="30" x14ac:dyDescent="0.25">
      <c r="A31" s="91" t="s">
        <v>34</v>
      </c>
      <c r="B31" s="92"/>
      <c r="C31" s="92"/>
      <c r="D31" s="90">
        <v>5</v>
      </c>
    </row>
    <row r="32" spans="1:13" x14ac:dyDescent="0.25">
      <c r="A32" s="91"/>
      <c r="B32" s="92"/>
      <c r="C32" s="92"/>
      <c r="D32" s="90"/>
    </row>
    <row r="33" spans="1:4" ht="45" x14ac:dyDescent="0.25">
      <c r="A33" s="99" t="s">
        <v>35</v>
      </c>
      <c r="B33" s="104" t="s">
        <v>7</v>
      </c>
      <c r="C33" s="104" t="s">
        <v>8</v>
      </c>
      <c r="D33" s="89" t="s">
        <v>9</v>
      </c>
    </row>
    <row r="34" spans="1:4" x14ac:dyDescent="0.25">
      <c r="A34" s="91" t="s">
        <v>36</v>
      </c>
      <c r="B34" s="92"/>
      <c r="C34" s="92"/>
      <c r="D34" s="90">
        <v>1</v>
      </c>
    </row>
    <row r="35" spans="1:4" ht="30" x14ac:dyDescent="0.25">
      <c r="A35" s="91" t="s">
        <v>37</v>
      </c>
      <c r="B35" s="92"/>
      <c r="C35" s="92"/>
      <c r="D35" s="90">
        <v>2</v>
      </c>
    </row>
    <row r="36" spans="1:4" ht="30" x14ac:dyDescent="0.25">
      <c r="A36" s="91" t="s">
        <v>38</v>
      </c>
      <c r="B36" s="92"/>
      <c r="C36" s="92"/>
      <c r="D36" s="90">
        <v>3</v>
      </c>
    </row>
    <row r="37" spans="1:4" ht="30" x14ac:dyDescent="0.25">
      <c r="A37" s="91" t="s">
        <v>39</v>
      </c>
      <c r="B37" s="92"/>
      <c r="C37" s="92"/>
      <c r="D37" s="90">
        <v>4</v>
      </c>
    </row>
    <row r="38" spans="1:4" ht="30" x14ac:dyDescent="0.25">
      <c r="A38" s="91" t="s">
        <v>40</v>
      </c>
      <c r="B38" s="92"/>
      <c r="C38" s="92"/>
      <c r="D38" s="90">
        <v>5</v>
      </c>
    </row>
    <row r="39" spans="1:4" x14ac:dyDescent="0.25">
      <c r="A39" s="91"/>
      <c r="B39" s="92"/>
      <c r="C39" s="92"/>
      <c r="D39" s="90"/>
    </row>
    <row r="40" spans="1:4" ht="45" x14ac:dyDescent="0.25">
      <c r="A40" s="99" t="s">
        <v>41</v>
      </c>
      <c r="B40" s="104" t="s">
        <v>7</v>
      </c>
      <c r="C40" s="104" t="s">
        <v>8</v>
      </c>
      <c r="D40" s="89" t="s">
        <v>9</v>
      </c>
    </row>
    <row r="41" spans="1:4" x14ac:dyDescent="0.25">
      <c r="A41" s="91" t="s">
        <v>42</v>
      </c>
      <c r="B41" s="92"/>
      <c r="C41" s="92"/>
      <c r="D41" s="90">
        <v>1</v>
      </c>
    </row>
    <row r="42" spans="1:4" x14ac:dyDescent="0.25">
      <c r="A42" s="91" t="s">
        <v>43</v>
      </c>
      <c r="B42" s="92"/>
      <c r="C42" s="92"/>
      <c r="D42" s="90">
        <v>2</v>
      </c>
    </row>
    <row r="43" spans="1:4" ht="30" x14ac:dyDescent="0.25">
      <c r="A43" s="91" t="s">
        <v>44</v>
      </c>
      <c r="B43" s="92"/>
      <c r="C43" s="92"/>
      <c r="D43" s="90">
        <v>3</v>
      </c>
    </row>
    <row r="44" spans="1:4" ht="30" x14ac:dyDescent="0.25">
      <c r="A44" s="91" t="s">
        <v>45</v>
      </c>
      <c r="B44" s="92"/>
      <c r="C44" s="92"/>
      <c r="D44" s="90">
        <v>4</v>
      </c>
    </row>
    <row r="45" spans="1:4" ht="30" x14ac:dyDescent="0.25">
      <c r="A45" s="91" t="s">
        <v>46</v>
      </c>
      <c r="B45" s="92"/>
      <c r="C45" s="92"/>
      <c r="D45" s="90">
        <v>5</v>
      </c>
    </row>
    <row r="46" spans="1:4" x14ac:dyDescent="0.25">
      <c r="A46" s="91"/>
      <c r="B46" s="92"/>
      <c r="C46" s="92"/>
      <c r="D46" s="90"/>
    </row>
    <row r="47" spans="1:4" ht="45" x14ac:dyDescent="0.25">
      <c r="A47" s="99" t="s">
        <v>47</v>
      </c>
      <c r="B47" s="104" t="s">
        <v>7</v>
      </c>
      <c r="C47" s="104" t="s">
        <v>8</v>
      </c>
      <c r="D47" s="89" t="s">
        <v>9</v>
      </c>
    </row>
    <row r="48" spans="1:4" x14ac:dyDescent="0.25">
      <c r="A48" s="91" t="s">
        <v>48</v>
      </c>
      <c r="B48" s="92"/>
      <c r="C48" s="92"/>
      <c r="D48" s="90">
        <v>1</v>
      </c>
    </row>
    <row r="49" spans="1:4" x14ac:dyDescent="0.25">
      <c r="A49" s="91" t="s">
        <v>49</v>
      </c>
      <c r="B49" s="92"/>
      <c r="C49" s="92"/>
      <c r="D49" s="90">
        <v>2</v>
      </c>
    </row>
    <row r="50" spans="1:4" x14ac:dyDescent="0.25">
      <c r="A50" s="91" t="s">
        <v>50</v>
      </c>
      <c r="B50" s="92"/>
      <c r="C50" s="92"/>
      <c r="D50" s="90">
        <v>3</v>
      </c>
    </row>
    <row r="51" spans="1:4" x14ac:dyDescent="0.25">
      <c r="A51" s="91" t="s">
        <v>51</v>
      </c>
      <c r="B51" s="92"/>
      <c r="C51" s="92"/>
      <c r="D51" s="90">
        <v>4</v>
      </c>
    </row>
    <row r="52" spans="1:4" ht="30" x14ac:dyDescent="0.25">
      <c r="A52" s="91" t="s">
        <v>52</v>
      </c>
      <c r="B52" s="92"/>
      <c r="C52" s="92"/>
      <c r="D52" s="90">
        <v>5</v>
      </c>
    </row>
    <row r="54" spans="1:4" ht="23.25" x14ac:dyDescent="0.25">
      <c r="A54" s="113" t="s">
        <v>53</v>
      </c>
    </row>
    <row r="55" spans="1:4" ht="45" x14ac:dyDescent="0.25">
      <c r="A55" s="101" t="s">
        <v>54</v>
      </c>
      <c r="B55" s="105" t="s">
        <v>7</v>
      </c>
      <c r="C55" s="105" t="s">
        <v>8</v>
      </c>
      <c r="D55" s="89" t="s">
        <v>9</v>
      </c>
    </row>
    <row r="56" spans="1:4" x14ac:dyDescent="0.25">
      <c r="A56" s="91" t="s">
        <v>55</v>
      </c>
      <c r="B56" s="92"/>
      <c r="C56" s="92"/>
      <c r="D56" s="90">
        <v>1</v>
      </c>
    </row>
    <row r="57" spans="1:4" ht="30" x14ac:dyDescent="0.25">
      <c r="A57" s="91" t="s">
        <v>56</v>
      </c>
      <c r="B57" s="92"/>
      <c r="C57" s="92"/>
      <c r="D57" s="90">
        <v>2</v>
      </c>
    </row>
    <row r="58" spans="1:4" x14ac:dyDescent="0.25">
      <c r="A58" s="91" t="s">
        <v>57</v>
      </c>
      <c r="B58" s="92"/>
      <c r="C58" s="92"/>
      <c r="D58" s="90">
        <v>3</v>
      </c>
    </row>
    <row r="59" spans="1:4" x14ac:dyDescent="0.25">
      <c r="A59" s="91" t="s">
        <v>58</v>
      </c>
      <c r="B59" s="92"/>
      <c r="C59" s="92"/>
      <c r="D59" s="90">
        <v>4</v>
      </c>
    </row>
    <row r="60" spans="1:4" x14ac:dyDescent="0.25">
      <c r="A60" s="91" t="s">
        <v>59</v>
      </c>
      <c r="B60" s="92"/>
      <c r="C60" s="92"/>
      <c r="D60" s="90">
        <v>5</v>
      </c>
    </row>
    <row r="61" spans="1:4" x14ac:dyDescent="0.25">
      <c r="A61" s="91"/>
      <c r="B61" s="92"/>
      <c r="C61" s="92"/>
      <c r="D61" s="90"/>
    </row>
    <row r="62" spans="1:4" ht="45" x14ac:dyDescent="0.25">
      <c r="A62" s="101" t="s">
        <v>60</v>
      </c>
      <c r="B62" s="105" t="s">
        <v>7</v>
      </c>
      <c r="C62" s="105" t="s">
        <v>8</v>
      </c>
      <c r="D62" s="89" t="s">
        <v>9</v>
      </c>
    </row>
    <row r="63" spans="1:4" x14ac:dyDescent="0.25">
      <c r="A63" s="91" t="s">
        <v>61</v>
      </c>
      <c r="B63" s="92"/>
      <c r="C63" s="92"/>
      <c r="D63" s="90">
        <v>1</v>
      </c>
    </row>
    <row r="64" spans="1:4" x14ac:dyDescent="0.25">
      <c r="A64" s="91" t="s">
        <v>62</v>
      </c>
      <c r="B64" s="92"/>
      <c r="C64" s="92"/>
      <c r="D64" s="90">
        <v>2</v>
      </c>
    </row>
    <row r="65" spans="1:4" x14ac:dyDescent="0.25">
      <c r="A65" s="91" t="s">
        <v>63</v>
      </c>
      <c r="B65" s="92"/>
      <c r="C65" s="92"/>
      <c r="D65" s="90">
        <v>3</v>
      </c>
    </row>
    <row r="66" spans="1:4" x14ac:dyDescent="0.25">
      <c r="A66" s="91" t="s">
        <v>64</v>
      </c>
      <c r="B66" s="92"/>
      <c r="C66" s="92"/>
      <c r="D66" s="90">
        <v>4</v>
      </c>
    </row>
    <row r="67" spans="1:4" ht="45" x14ac:dyDescent="0.25">
      <c r="A67" s="91" t="s">
        <v>65</v>
      </c>
      <c r="B67" s="92"/>
      <c r="C67" s="92"/>
      <c r="D67" s="90">
        <v>5</v>
      </c>
    </row>
    <row r="68" spans="1:4" x14ac:dyDescent="0.25">
      <c r="A68" s="91"/>
      <c r="B68" s="92"/>
      <c r="C68" s="92"/>
      <c r="D68" s="90"/>
    </row>
    <row r="69" spans="1:4" ht="45" x14ac:dyDescent="0.25">
      <c r="A69" s="101" t="s">
        <v>66</v>
      </c>
      <c r="B69" s="105" t="s">
        <v>7</v>
      </c>
      <c r="C69" s="105" t="s">
        <v>8</v>
      </c>
      <c r="D69" s="89" t="s">
        <v>9</v>
      </c>
    </row>
    <row r="70" spans="1:4" x14ac:dyDescent="0.25">
      <c r="A70" s="91" t="s">
        <v>67</v>
      </c>
      <c r="B70" s="92"/>
      <c r="C70" s="92"/>
      <c r="D70" s="90">
        <v>1</v>
      </c>
    </row>
    <row r="71" spans="1:4" ht="30" x14ac:dyDescent="0.25">
      <c r="A71" s="91" t="s">
        <v>68</v>
      </c>
      <c r="B71" s="92"/>
      <c r="C71" s="92"/>
      <c r="D71" s="90">
        <v>2</v>
      </c>
    </row>
    <row r="72" spans="1:4" x14ac:dyDescent="0.25">
      <c r="A72" s="91" t="s">
        <v>69</v>
      </c>
      <c r="B72" s="92"/>
      <c r="C72" s="92"/>
      <c r="D72" s="90">
        <v>3</v>
      </c>
    </row>
    <row r="73" spans="1:4" x14ac:dyDescent="0.25">
      <c r="A73" s="91" t="s">
        <v>70</v>
      </c>
      <c r="B73" s="92"/>
      <c r="C73" s="92"/>
      <c r="D73" s="90">
        <v>4</v>
      </c>
    </row>
    <row r="74" spans="1:4" x14ac:dyDescent="0.25">
      <c r="A74" s="91" t="s">
        <v>71</v>
      </c>
      <c r="B74" s="92"/>
      <c r="C74" s="92"/>
      <c r="D74" s="90">
        <v>5</v>
      </c>
    </row>
    <row r="75" spans="1:4" x14ac:dyDescent="0.25">
      <c r="A75" s="91"/>
      <c r="B75" s="92"/>
      <c r="C75" s="92"/>
      <c r="D75" s="90"/>
    </row>
    <row r="76" spans="1:4" ht="45" x14ac:dyDescent="0.25">
      <c r="A76" s="101" t="s">
        <v>72</v>
      </c>
      <c r="B76" s="105" t="s">
        <v>7</v>
      </c>
      <c r="C76" s="105" t="s">
        <v>8</v>
      </c>
      <c r="D76" s="89" t="s">
        <v>9</v>
      </c>
    </row>
    <row r="77" spans="1:4" x14ac:dyDescent="0.25">
      <c r="A77" s="91" t="s">
        <v>73</v>
      </c>
      <c r="B77" s="92"/>
      <c r="C77" s="92"/>
      <c r="D77" s="90">
        <v>1</v>
      </c>
    </row>
    <row r="78" spans="1:4" x14ac:dyDescent="0.25">
      <c r="A78" s="91" t="s">
        <v>74</v>
      </c>
      <c r="B78" s="92"/>
      <c r="C78" s="92"/>
      <c r="D78" s="90">
        <v>2</v>
      </c>
    </row>
    <row r="79" spans="1:4" ht="45" x14ac:dyDescent="0.25">
      <c r="A79" s="91" t="s">
        <v>75</v>
      </c>
      <c r="B79" s="92"/>
      <c r="C79" s="92"/>
      <c r="D79" s="90">
        <v>3</v>
      </c>
    </row>
    <row r="80" spans="1:4" ht="60" x14ac:dyDescent="0.25">
      <c r="A80" s="91" t="s">
        <v>76</v>
      </c>
      <c r="B80" s="92"/>
      <c r="C80" s="92"/>
      <c r="D80" s="90">
        <v>4</v>
      </c>
    </row>
    <row r="81" spans="1:4" ht="30" x14ac:dyDescent="0.25">
      <c r="A81" s="91" t="s">
        <v>77</v>
      </c>
      <c r="B81" s="92"/>
      <c r="C81" s="92"/>
      <c r="D81" s="90">
        <v>5</v>
      </c>
    </row>
    <row r="82" spans="1:4" x14ac:dyDescent="0.25">
      <c r="A82" s="91"/>
      <c r="B82" s="92"/>
      <c r="C82" s="92"/>
      <c r="D82" s="90"/>
    </row>
    <row r="83" spans="1:4" ht="45" x14ac:dyDescent="0.25">
      <c r="A83" s="101" t="s">
        <v>78</v>
      </c>
      <c r="B83" s="105" t="s">
        <v>7</v>
      </c>
      <c r="C83" s="105" t="s">
        <v>8</v>
      </c>
      <c r="D83" s="89" t="s">
        <v>9</v>
      </c>
    </row>
    <row r="84" spans="1:4" x14ac:dyDescent="0.25">
      <c r="A84" s="91" t="s">
        <v>79</v>
      </c>
      <c r="B84" s="92"/>
      <c r="C84" s="92"/>
      <c r="D84" s="90">
        <v>1</v>
      </c>
    </row>
    <row r="85" spans="1:4" ht="30" x14ac:dyDescent="0.25">
      <c r="A85" s="91" t="s">
        <v>80</v>
      </c>
      <c r="B85" s="92"/>
      <c r="C85" s="92"/>
      <c r="D85" s="90">
        <v>2</v>
      </c>
    </row>
    <row r="86" spans="1:4" ht="30" x14ac:dyDescent="0.25">
      <c r="A86" s="91" t="s">
        <v>81</v>
      </c>
      <c r="B86" s="92"/>
      <c r="C86" s="92"/>
      <c r="D86" s="90">
        <v>3</v>
      </c>
    </row>
    <row r="87" spans="1:4" ht="30" x14ac:dyDescent="0.25">
      <c r="A87" s="91" t="s">
        <v>82</v>
      </c>
      <c r="B87" s="92"/>
      <c r="C87" s="92"/>
      <c r="D87" s="90">
        <v>4</v>
      </c>
    </row>
    <row r="88" spans="1:4" ht="30" x14ac:dyDescent="0.25">
      <c r="A88" s="91" t="s">
        <v>83</v>
      </c>
      <c r="B88" s="92"/>
      <c r="C88" s="92"/>
      <c r="D88" s="90">
        <v>5</v>
      </c>
    </row>
    <row r="90" spans="1:4" ht="23.25" x14ac:dyDescent="0.25">
      <c r="A90" s="114" t="s">
        <v>84</v>
      </c>
    </row>
    <row r="91" spans="1:4" ht="45" x14ac:dyDescent="0.25">
      <c r="A91" s="98" t="s">
        <v>85</v>
      </c>
      <c r="B91" s="106" t="s">
        <v>7</v>
      </c>
      <c r="C91" s="106" t="s">
        <v>8</v>
      </c>
      <c r="D91" s="89" t="s">
        <v>9</v>
      </c>
    </row>
    <row r="92" spans="1:4" x14ac:dyDescent="0.25">
      <c r="A92" s="91" t="s">
        <v>86</v>
      </c>
      <c r="B92" s="92"/>
      <c r="C92" s="92"/>
      <c r="D92" s="90">
        <v>1</v>
      </c>
    </row>
    <row r="93" spans="1:4" ht="30" x14ac:dyDescent="0.25">
      <c r="A93" s="91" t="s">
        <v>87</v>
      </c>
      <c r="B93" s="92"/>
      <c r="C93" s="92"/>
      <c r="D93" s="90">
        <v>2</v>
      </c>
    </row>
    <row r="94" spans="1:4" ht="30" x14ac:dyDescent="0.25">
      <c r="A94" s="91" t="s">
        <v>88</v>
      </c>
      <c r="B94" s="92"/>
      <c r="C94" s="92"/>
      <c r="D94" s="90">
        <v>3</v>
      </c>
    </row>
    <row r="95" spans="1:4" ht="30" x14ac:dyDescent="0.25">
      <c r="A95" s="91" t="s">
        <v>89</v>
      </c>
      <c r="B95" s="92"/>
      <c r="C95" s="92"/>
      <c r="D95" s="90">
        <v>4</v>
      </c>
    </row>
    <row r="96" spans="1:4" x14ac:dyDescent="0.25">
      <c r="A96" s="91" t="s">
        <v>90</v>
      </c>
      <c r="B96" s="92"/>
      <c r="C96" s="92"/>
      <c r="D96" s="90">
        <v>5</v>
      </c>
    </row>
    <row r="97" spans="1:4" x14ac:dyDescent="0.25">
      <c r="A97" s="91"/>
      <c r="B97" s="92"/>
      <c r="C97" s="92"/>
      <c r="D97" s="90"/>
    </row>
    <row r="98" spans="1:4" ht="45" x14ac:dyDescent="0.25">
      <c r="A98" s="98" t="s">
        <v>91</v>
      </c>
      <c r="B98" s="106" t="s">
        <v>7</v>
      </c>
      <c r="C98" s="106" t="s">
        <v>8</v>
      </c>
      <c r="D98" s="89" t="s">
        <v>9</v>
      </c>
    </row>
    <row r="99" spans="1:4" x14ac:dyDescent="0.25">
      <c r="A99" s="91" t="s">
        <v>92</v>
      </c>
      <c r="B99" s="92"/>
      <c r="C99" s="92"/>
      <c r="D99" s="90">
        <v>1</v>
      </c>
    </row>
    <row r="100" spans="1:4" x14ac:dyDescent="0.25">
      <c r="A100" s="91" t="s">
        <v>93</v>
      </c>
      <c r="B100" s="92"/>
      <c r="C100" s="92"/>
      <c r="D100" s="90">
        <v>2</v>
      </c>
    </row>
    <row r="101" spans="1:4" ht="75" x14ac:dyDescent="0.25">
      <c r="A101" s="91" t="s">
        <v>94</v>
      </c>
      <c r="B101" s="92"/>
      <c r="C101" s="92"/>
      <c r="D101" s="90">
        <v>3</v>
      </c>
    </row>
    <row r="102" spans="1:4" ht="30" x14ac:dyDescent="0.25">
      <c r="A102" s="91" t="s">
        <v>95</v>
      </c>
      <c r="B102" s="92"/>
      <c r="C102" s="92"/>
      <c r="D102" s="90">
        <v>4</v>
      </c>
    </row>
    <row r="103" spans="1:4" x14ac:dyDescent="0.25">
      <c r="A103" s="91" t="s">
        <v>96</v>
      </c>
      <c r="B103" s="92"/>
      <c r="C103" s="92"/>
      <c r="D103" s="90">
        <v>5</v>
      </c>
    </row>
    <row r="104" spans="1:4" x14ac:dyDescent="0.25">
      <c r="A104" s="91"/>
      <c r="B104" s="92"/>
      <c r="C104" s="92"/>
      <c r="D104" s="90"/>
    </row>
    <row r="105" spans="1:4" ht="45" x14ac:dyDescent="0.25">
      <c r="A105" s="98" t="s">
        <v>97</v>
      </c>
      <c r="B105" s="106" t="s">
        <v>7</v>
      </c>
      <c r="C105" s="106" t="s">
        <v>8</v>
      </c>
      <c r="D105" s="89" t="s">
        <v>9</v>
      </c>
    </row>
    <row r="106" spans="1:4" x14ac:dyDescent="0.25">
      <c r="A106" s="91" t="s">
        <v>98</v>
      </c>
      <c r="B106" s="92"/>
      <c r="C106" s="92"/>
      <c r="D106" s="90">
        <v>1</v>
      </c>
    </row>
    <row r="107" spans="1:4" x14ac:dyDescent="0.25">
      <c r="A107" s="91" t="s">
        <v>99</v>
      </c>
      <c r="B107" s="92"/>
      <c r="C107" s="92"/>
      <c r="D107" s="90">
        <v>2</v>
      </c>
    </row>
    <row r="108" spans="1:4" ht="30" x14ac:dyDescent="0.25">
      <c r="A108" s="91" t="s">
        <v>100</v>
      </c>
      <c r="B108" s="92"/>
      <c r="C108" s="92"/>
      <c r="D108" s="90">
        <v>3</v>
      </c>
    </row>
    <row r="109" spans="1:4" x14ac:dyDescent="0.25">
      <c r="A109" s="91" t="s">
        <v>101</v>
      </c>
      <c r="B109" s="92"/>
      <c r="C109" s="92"/>
      <c r="D109" s="90">
        <v>4</v>
      </c>
    </row>
    <row r="110" spans="1:4" x14ac:dyDescent="0.25">
      <c r="A110" s="91" t="s">
        <v>102</v>
      </c>
      <c r="B110" s="92"/>
      <c r="C110" s="92"/>
      <c r="D110" s="90">
        <v>5</v>
      </c>
    </row>
    <row r="111" spans="1:4" x14ac:dyDescent="0.25">
      <c r="A111" s="91"/>
      <c r="B111" s="92"/>
      <c r="C111" s="92"/>
      <c r="D111" s="90"/>
    </row>
    <row r="112" spans="1:4" ht="45" x14ac:dyDescent="0.25">
      <c r="A112" s="98" t="s">
        <v>103</v>
      </c>
      <c r="B112" s="106" t="s">
        <v>7</v>
      </c>
      <c r="C112" s="106" t="s">
        <v>8</v>
      </c>
      <c r="D112" s="89" t="s">
        <v>9</v>
      </c>
    </row>
    <row r="113" spans="1:4" x14ac:dyDescent="0.25">
      <c r="A113" s="91" t="s">
        <v>104</v>
      </c>
      <c r="B113" s="92"/>
      <c r="C113" s="92"/>
      <c r="D113" s="90">
        <v>1</v>
      </c>
    </row>
    <row r="114" spans="1:4" x14ac:dyDescent="0.25">
      <c r="A114" s="91" t="s">
        <v>105</v>
      </c>
      <c r="B114" s="92"/>
      <c r="C114" s="92"/>
      <c r="D114" s="90">
        <v>2</v>
      </c>
    </row>
    <row r="115" spans="1:4" x14ac:dyDescent="0.25">
      <c r="A115" s="91" t="s">
        <v>106</v>
      </c>
      <c r="B115" s="92"/>
      <c r="C115" s="92"/>
      <c r="D115" s="90">
        <v>3</v>
      </c>
    </row>
    <row r="116" spans="1:4" ht="30" x14ac:dyDescent="0.25">
      <c r="A116" s="91" t="s">
        <v>107</v>
      </c>
      <c r="B116" s="92"/>
      <c r="C116" s="92"/>
      <c r="D116" s="90">
        <v>4</v>
      </c>
    </row>
    <row r="117" spans="1:4" ht="30" x14ac:dyDescent="0.25">
      <c r="A117" s="91" t="s">
        <v>108</v>
      </c>
      <c r="B117" s="92"/>
      <c r="C117" s="92"/>
      <c r="D117" s="90">
        <v>5</v>
      </c>
    </row>
    <row r="118" spans="1:4" x14ac:dyDescent="0.25">
      <c r="A118" s="91"/>
      <c r="B118" s="92"/>
      <c r="C118" s="92"/>
      <c r="D118" s="90"/>
    </row>
    <row r="119" spans="1:4" ht="45" x14ac:dyDescent="0.25">
      <c r="A119" s="98" t="s">
        <v>109</v>
      </c>
      <c r="B119" s="106" t="s">
        <v>7</v>
      </c>
      <c r="C119" s="106" t="s">
        <v>8</v>
      </c>
      <c r="D119" s="89" t="s">
        <v>9</v>
      </c>
    </row>
    <row r="120" spans="1:4" x14ac:dyDescent="0.25">
      <c r="A120" s="91" t="s">
        <v>110</v>
      </c>
      <c r="B120" s="92"/>
      <c r="C120" s="92"/>
      <c r="D120" s="90">
        <v>1</v>
      </c>
    </row>
    <row r="121" spans="1:4" ht="30" x14ac:dyDescent="0.25">
      <c r="A121" s="91" t="s">
        <v>111</v>
      </c>
      <c r="B121" s="92"/>
      <c r="C121" s="92"/>
      <c r="D121" s="90">
        <v>2</v>
      </c>
    </row>
    <row r="122" spans="1:4" x14ac:dyDescent="0.25">
      <c r="A122" s="91" t="s">
        <v>112</v>
      </c>
      <c r="B122" s="92"/>
      <c r="C122" s="92"/>
      <c r="D122" s="90">
        <v>3</v>
      </c>
    </row>
    <row r="123" spans="1:4" ht="30" x14ac:dyDescent="0.25">
      <c r="A123" s="91" t="s">
        <v>113</v>
      </c>
      <c r="B123" s="92"/>
      <c r="C123" s="92"/>
      <c r="D123" s="90">
        <v>4</v>
      </c>
    </row>
    <row r="124" spans="1:4" x14ac:dyDescent="0.25">
      <c r="A124" s="91" t="s">
        <v>114</v>
      </c>
      <c r="B124" s="92"/>
      <c r="C124" s="92"/>
      <c r="D124" s="90">
        <v>5</v>
      </c>
    </row>
    <row r="126" spans="1:4" ht="23.25" x14ac:dyDescent="0.25">
      <c r="A126" s="115" t="s">
        <v>115</v>
      </c>
    </row>
    <row r="127" spans="1:4" ht="45" x14ac:dyDescent="0.25">
      <c r="A127" s="97" t="s">
        <v>116</v>
      </c>
      <c r="B127" s="107" t="s">
        <v>7</v>
      </c>
      <c r="C127" s="107" t="s">
        <v>8</v>
      </c>
      <c r="D127" s="89" t="s">
        <v>9</v>
      </c>
    </row>
    <row r="128" spans="1:4" x14ac:dyDescent="0.25">
      <c r="A128" s="91"/>
      <c r="B128" s="92"/>
      <c r="C128" s="92"/>
      <c r="D128" s="90">
        <v>1</v>
      </c>
    </row>
    <row r="129" spans="1:4" x14ac:dyDescent="0.25">
      <c r="A129" s="91" t="s">
        <v>117</v>
      </c>
      <c r="B129" s="92"/>
      <c r="C129" s="92"/>
      <c r="D129" s="90">
        <v>2</v>
      </c>
    </row>
    <row r="130" spans="1:4" ht="30" x14ac:dyDescent="0.25">
      <c r="A130" s="91" t="s">
        <v>118</v>
      </c>
      <c r="B130" s="92"/>
      <c r="C130" s="92"/>
      <c r="D130" s="90">
        <v>3</v>
      </c>
    </row>
    <row r="131" spans="1:4" x14ac:dyDescent="0.25">
      <c r="A131" s="91" t="s">
        <v>119</v>
      </c>
      <c r="B131" s="92"/>
      <c r="C131" s="92"/>
      <c r="D131" s="90">
        <v>4</v>
      </c>
    </row>
    <row r="132" spans="1:4" x14ac:dyDescent="0.25">
      <c r="A132" s="91" t="s">
        <v>120</v>
      </c>
      <c r="B132" s="92"/>
      <c r="C132" s="92"/>
      <c r="D132" s="90">
        <v>5</v>
      </c>
    </row>
    <row r="133" spans="1:4" x14ac:dyDescent="0.25">
      <c r="A133" s="91"/>
      <c r="B133" s="92"/>
      <c r="C133" s="92"/>
      <c r="D133" s="90"/>
    </row>
    <row r="134" spans="1:4" ht="45" x14ac:dyDescent="0.25">
      <c r="A134" s="97" t="s">
        <v>121</v>
      </c>
      <c r="B134" s="107" t="s">
        <v>7</v>
      </c>
      <c r="C134" s="107" t="s">
        <v>8</v>
      </c>
      <c r="D134" s="89" t="s">
        <v>9</v>
      </c>
    </row>
    <row r="135" spans="1:4" x14ac:dyDescent="0.25">
      <c r="A135" s="91" t="s">
        <v>122</v>
      </c>
      <c r="B135" s="92"/>
      <c r="C135" s="92"/>
      <c r="D135" s="90">
        <v>1</v>
      </c>
    </row>
    <row r="136" spans="1:4" ht="30" x14ac:dyDescent="0.25">
      <c r="A136" s="91" t="s">
        <v>123</v>
      </c>
      <c r="B136" s="92"/>
      <c r="C136" s="92"/>
      <c r="D136" s="90">
        <v>2</v>
      </c>
    </row>
    <row r="137" spans="1:4" ht="30" x14ac:dyDescent="0.25">
      <c r="A137" s="91" t="s">
        <v>124</v>
      </c>
      <c r="B137" s="92"/>
      <c r="C137" s="92"/>
      <c r="D137" s="90">
        <v>3</v>
      </c>
    </row>
    <row r="138" spans="1:4" x14ac:dyDescent="0.25">
      <c r="A138" s="91" t="s">
        <v>125</v>
      </c>
      <c r="B138" s="92"/>
      <c r="C138" s="92"/>
      <c r="D138" s="90">
        <v>4</v>
      </c>
    </row>
    <row r="139" spans="1:4" ht="30" x14ac:dyDescent="0.25">
      <c r="A139" s="91" t="s">
        <v>126</v>
      </c>
      <c r="B139" s="92"/>
      <c r="C139" s="92"/>
      <c r="D139" s="90">
        <v>5</v>
      </c>
    </row>
    <row r="140" spans="1:4" x14ac:dyDescent="0.25">
      <c r="A140" s="91"/>
      <c r="B140" s="92"/>
      <c r="C140" s="92"/>
      <c r="D140" s="90"/>
    </row>
    <row r="141" spans="1:4" ht="45" x14ac:dyDescent="0.25">
      <c r="A141" s="97" t="s">
        <v>127</v>
      </c>
      <c r="B141" s="107" t="s">
        <v>7</v>
      </c>
      <c r="C141" s="107" t="s">
        <v>8</v>
      </c>
      <c r="D141" s="89" t="s">
        <v>9</v>
      </c>
    </row>
    <row r="142" spans="1:4" x14ac:dyDescent="0.25">
      <c r="A142" s="91" t="s">
        <v>128</v>
      </c>
      <c r="B142" s="92"/>
      <c r="C142" s="92"/>
      <c r="D142" s="90">
        <v>1</v>
      </c>
    </row>
    <row r="143" spans="1:4" x14ac:dyDescent="0.25">
      <c r="A143" s="91" t="s">
        <v>129</v>
      </c>
      <c r="B143" s="92"/>
      <c r="C143" s="92"/>
      <c r="D143" s="90">
        <v>2</v>
      </c>
    </row>
    <row r="144" spans="1:4" ht="30" x14ac:dyDescent="0.25">
      <c r="A144" s="91" t="s">
        <v>130</v>
      </c>
      <c r="B144" s="92"/>
      <c r="C144" s="92"/>
      <c r="D144" s="90">
        <v>3</v>
      </c>
    </row>
    <row r="145" spans="1:4" ht="30" x14ac:dyDescent="0.25">
      <c r="A145" s="91" t="s">
        <v>131</v>
      </c>
      <c r="B145" s="92"/>
      <c r="C145" s="92"/>
      <c r="D145" s="90">
        <v>4</v>
      </c>
    </row>
    <row r="146" spans="1:4" ht="30" x14ac:dyDescent="0.25">
      <c r="A146" s="91" t="s">
        <v>132</v>
      </c>
      <c r="B146" s="92"/>
      <c r="C146" s="92"/>
      <c r="D146" s="90">
        <v>5</v>
      </c>
    </row>
    <row r="147" spans="1:4" x14ac:dyDescent="0.25">
      <c r="A147" s="91"/>
      <c r="B147" s="92"/>
      <c r="C147" s="92"/>
      <c r="D147" s="90"/>
    </row>
    <row r="148" spans="1:4" ht="45" x14ac:dyDescent="0.25">
      <c r="A148" s="97" t="s">
        <v>133</v>
      </c>
      <c r="B148" s="107" t="s">
        <v>7</v>
      </c>
      <c r="C148" s="107" t="s">
        <v>8</v>
      </c>
      <c r="D148" s="89" t="s">
        <v>9</v>
      </c>
    </row>
    <row r="149" spans="1:4" x14ac:dyDescent="0.25">
      <c r="A149" s="91"/>
      <c r="B149" s="92"/>
      <c r="C149" s="92"/>
      <c r="D149" s="90">
        <v>1</v>
      </c>
    </row>
    <row r="150" spans="1:4" x14ac:dyDescent="0.25">
      <c r="A150" s="91" t="s">
        <v>134</v>
      </c>
      <c r="B150" s="92"/>
      <c r="C150" s="92"/>
      <c r="D150" s="90">
        <v>2</v>
      </c>
    </row>
    <row r="151" spans="1:4" ht="30" x14ac:dyDescent="0.25">
      <c r="A151" s="91" t="s">
        <v>135</v>
      </c>
      <c r="B151" s="92"/>
      <c r="C151" s="92"/>
      <c r="D151" s="90">
        <v>3</v>
      </c>
    </row>
    <row r="152" spans="1:4" ht="30" x14ac:dyDescent="0.25">
      <c r="A152" s="91" t="s">
        <v>136</v>
      </c>
      <c r="B152" s="92"/>
      <c r="C152" s="92"/>
      <c r="D152" s="90">
        <v>4</v>
      </c>
    </row>
    <row r="153" spans="1:4" ht="30" x14ac:dyDescent="0.25">
      <c r="A153" s="91" t="s">
        <v>137</v>
      </c>
      <c r="B153" s="92"/>
      <c r="C153" s="92"/>
      <c r="D153" s="90">
        <v>5</v>
      </c>
    </row>
    <row r="154" spans="1:4" x14ac:dyDescent="0.25">
      <c r="A154" s="91"/>
      <c r="B154" s="92"/>
      <c r="C154" s="92"/>
      <c r="D154" s="90"/>
    </row>
    <row r="155" spans="1:4" ht="45" x14ac:dyDescent="0.25">
      <c r="A155" s="97" t="s">
        <v>138</v>
      </c>
      <c r="B155" s="107" t="s">
        <v>7</v>
      </c>
      <c r="C155" s="107" t="s">
        <v>8</v>
      </c>
      <c r="D155" s="89" t="s">
        <v>9</v>
      </c>
    </row>
    <row r="156" spans="1:4" ht="30" x14ac:dyDescent="0.25">
      <c r="A156" s="91" t="s">
        <v>139</v>
      </c>
      <c r="B156" s="92"/>
      <c r="C156" s="92"/>
      <c r="D156" s="90">
        <v>1</v>
      </c>
    </row>
    <row r="157" spans="1:4" ht="30" x14ac:dyDescent="0.25">
      <c r="A157" s="91" t="s">
        <v>140</v>
      </c>
      <c r="B157" s="92"/>
      <c r="C157" s="92"/>
      <c r="D157" s="90">
        <v>2</v>
      </c>
    </row>
    <row r="158" spans="1:4" ht="30" x14ac:dyDescent="0.25">
      <c r="A158" s="91" t="s">
        <v>141</v>
      </c>
      <c r="B158" s="92"/>
      <c r="C158" s="92"/>
      <c r="D158" s="90">
        <v>3</v>
      </c>
    </row>
    <row r="159" spans="1:4" ht="30" x14ac:dyDescent="0.25">
      <c r="A159" s="91" t="s">
        <v>142</v>
      </c>
      <c r="B159" s="92"/>
      <c r="C159" s="92"/>
      <c r="D159" s="90">
        <v>4</v>
      </c>
    </row>
    <row r="160" spans="1:4" ht="30" x14ac:dyDescent="0.25">
      <c r="A160" s="91" t="s">
        <v>143</v>
      </c>
      <c r="B160" s="92"/>
      <c r="C160" s="92"/>
      <c r="D160" s="90">
        <v>5</v>
      </c>
    </row>
    <row r="162" spans="1:4" ht="23.25" x14ac:dyDescent="0.25">
      <c r="A162" s="116" t="s">
        <v>144</v>
      </c>
    </row>
    <row r="163" spans="1:4" ht="45" x14ac:dyDescent="0.25">
      <c r="A163" s="96" t="s">
        <v>145</v>
      </c>
      <c r="B163" s="108" t="s">
        <v>7</v>
      </c>
      <c r="C163" s="108" t="s">
        <v>8</v>
      </c>
      <c r="D163" s="89" t="s">
        <v>9</v>
      </c>
    </row>
    <row r="164" spans="1:4" x14ac:dyDescent="0.25">
      <c r="A164" s="91" t="s">
        <v>146</v>
      </c>
      <c r="B164" s="92"/>
      <c r="C164" s="92"/>
      <c r="D164" s="90">
        <v>1</v>
      </c>
    </row>
    <row r="165" spans="1:4" x14ac:dyDescent="0.25">
      <c r="A165" s="91" t="s">
        <v>147</v>
      </c>
      <c r="B165" s="92"/>
      <c r="C165" s="92"/>
      <c r="D165" s="90">
        <v>2</v>
      </c>
    </row>
    <row r="166" spans="1:4" x14ac:dyDescent="0.25">
      <c r="A166" s="91" t="s">
        <v>148</v>
      </c>
      <c r="B166" s="92"/>
      <c r="C166" s="92"/>
      <c r="D166" s="90">
        <v>3</v>
      </c>
    </row>
    <row r="167" spans="1:4" ht="30" x14ac:dyDescent="0.25">
      <c r="A167" s="91" t="s">
        <v>149</v>
      </c>
      <c r="B167" s="92"/>
      <c r="C167" s="92"/>
      <c r="D167" s="90">
        <v>4</v>
      </c>
    </row>
    <row r="168" spans="1:4" x14ac:dyDescent="0.25">
      <c r="A168" s="91" t="s">
        <v>150</v>
      </c>
      <c r="B168" s="92"/>
      <c r="C168" s="92"/>
      <c r="D168" s="90">
        <v>5</v>
      </c>
    </row>
    <row r="169" spans="1:4" x14ac:dyDescent="0.25">
      <c r="A169" s="91"/>
      <c r="B169" s="92"/>
      <c r="C169" s="92"/>
      <c r="D169" s="90"/>
    </row>
    <row r="170" spans="1:4" ht="45" x14ac:dyDescent="0.25">
      <c r="A170" s="96" t="s">
        <v>151</v>
      </c>
      <c r="B170" s="108" t="s">
        <v>7</v>
      </c>
      <c r="C170" s="108" t="s">
        <v>8</v>
      </c>
      <c r="D170" s="89" t="s">
        <v>9</v>
      </c>
    </row>
    <row r="171" spans="1:4" x14ac:dyDescent="0.25">
      <c r="A171" s="91" t="s">
        <v>152</v>
      </c>
      <c r="B171" s="92"/>
      <c r="C171" s="92"/>
      <c r="D171" s="90">
        <v>1</v>
      </c>
    </row>
    <row r="172" spans="1:4" x14ac:dyDescent="0.25">
      <c r="A172" s="91" t="s">
        <v>153</v>
      </c>
      <c r="B172" s="92"/>
      <c r="C172" s="92"/>
      <c r="D172" s="90">
        <v>2</v>
      </c>
    </row>
    <row r="173" spans="1:4" x14ac:dyDescent="0.25">
      <c r="A173" s="91" t="s">
        <v>154</v>
      </c>
      <c r="B173" s="92"/>
      <c r="C173" s="92"/>
      <c r="D173" s="90">
        <v>3</v>
      </c>
    </row>
    <row r="174" spans="1:4" x14ac:dyDescent="0.25">
      <c r="A174" s="91" t="s">
        <v>155</v>
      </c>
      <c r="B174" s="92"/>
      <c r="C174" s="92"/>
      <c r="D174" s="90">
        <v>4</v>
      </c>
    </row>
    <row r="175" spans="1:4" x14ac:dyDescent="0.25">
      <c r="A175" s="91" t="s">
        <v>156</v>
      </c>
      <c r="B175" s="92"/>
      <c r="C175" s="92"/>
      <c r="D175" s="90">
        <v>5</v>
      </c>
    </row>
    <row r="176" spans="1:4" x14ac:dyDescent="0.25">
      <c r="A176" s="91"/>
      <c r="B176" s="92"/>
      <c r="C176" s="92"/>
      <c r="D176" s="90"/>
    </row>
    <row r="177" spans="1:4" ht="45" x14ac:dyDescent="0.25">
      <c r="A177" s="96" t="s">
        <v>157</v>
      </c>
      <c r="B177" s="108" t="s">
        <v>7</v>
      </c>
      <c r="C177" s="108" t="s">
        <v>8</v>
      </c>
      <c r="D177" s="90" t="s">
        <v>9</v>
      </c>
    </row>
    <row r="178" spans="1:4" x14ac:dyDescent="0.25">
      <c r="A178" s="91" t="s">
        <v>158</v>
      </c>
      <c r="B178" s="92"/>
      <c r="C178" s="92"/>
      <c r="D178" s="90">
        <v>1</v>
      </c>
    </row>
    <row r="179" spans="1:4" x14ac:dyDescent="0.25">
      <c r="A179" s="91" t="s">
        <v>159</v>
      </c>
      <c r="B179" s="92"/>
      <c r="C179" s="92"/>
      <c r="D179" s="90">
        <v>2</v>
      </c>
    </row>
    <row r="180" spans="1:4" x14ac:dyDescent="0.25">
      <c r="A180" s="91" t="s">
        <v>160</v>
      </c>
      <c r="B180" s="92"/>
      <c r="C180" s="92"/>
      <c r="D180" s="90">
        <v>3</v>
      </c>
    </row>
    <row r="181" spans="1:4" ht="30" x14ac:dyDescent="0.25">
      <c r="A181" s="91" t="s">
        <v>161</v>
      </c>
      <c r="B181" s="92"/>
      <c r="C181" s="92"/>
      <c r="D181" s="90">
        <v>4</v>
      </c>
    </row>
    <row r="182" spans="1:4" x14ac:dyDescent="0.25">
      <c r="A182" s="91" t="s">
        <v>162</v>
      </c>
      <c r="B182" s="92"/>
      <c r="C182" s="92"/>
      <c r="D182" s="90">
        <v>5</v>
      </c>
    </row>
    <row r="183" spans="1:4" x14ac:dyDescent="0.25">
      <c r="A183" s="91"/>
      <c r="B183" s="92"/>
      <c r="C183" s="92"/>
      <c r="D183" s="90"/>
    </row>
    <row r="184" spans="1:4" ht="45" x14ac:dyDescent="0.25">
      <c r="A184" s="96" t="s">
        <v>163</v>
      </c>
      <c r="B184" s="108" t="s">
        <v>7</v>
      </c>
      <c r="C184" s="108" t="s">
        <v>8</v>
      </c>
      <c r="D184" s="89" t="s">
        <v>9</v>
      </c>
    </row>
    <row r="185" spans="1:4" x14ac:dyDescent="0.25">
      <c r="A185" s="91" t="s">
        <v>164</v>
      </c>
      <c r="B185" s="92"/>
      <c r="C185" s="92"/>
      <c r="D185" s="90">
        <v>1</v>
      </c>
    </row>
    <row r="186" spans="1:4" x14ac:dyDescent="0.25">
      <c r="A186" s="91" t="s">
        <v>165</v>
      </c>
      <c r="B186" s="92"/>
      <c r="C186" s="92"/>
      <c r="D186" s="90">
        <v>2</v>
      </c>
    </row>
    <row r="187" spans="1:4" ht="30" x14ac:dyDescent="0.25">
      <c r="A187" s="91" t="s">
        <v>166</v>
      </c>
      <c r="B187" s="92"/>
      <c r="C187" s="92"/>
      <c r="D187" s="90">
        <v>3</v>
      </c>
    </row>
    <row r="188" spans="1:4" x14ac:dyDescent="0.25">
      <c r="A188" s="91" t="s">
        <v>167</v>
      </c>
      <c r="B188" s="92"/>
      <c r="C188" s="92"/>
      <c r="D188" s="90">
        <v>4</v>
      </c>
    </row>
    <row r="189" spans="1:4" x14ac:dyDescent="0.25">
      <c r="A189" s="91" t="s">
        <v>168</v>
      </c>
      <c r="B189" s="92"/>
      <c r="C189" s="92"/>
      <c r="D189" s="90">
        <v>5</v>
      </c>
    </row>
    <row r="190" spans="1:4" x14ac:dyDescent="0.25">
      <c r="A190" s="91"/>
      <c r="B190" s="92"/>
      <c r="C190" s="92"/>
      <c r="D190" s="90"/>
    </row>
    <row r="191" spans="1:4" ht="45" x14ac:dyDescent="0.25">
      <c r="A191" s="96" t="s">
        <v>169</v>
      </c>
      <c r="B191" s="108" t="s">
        <v>7</v>
      </c>
      <c r="C191" s="108" t="s">
        <v>8</v>
      </c>
      <c r="D191" s="89" t="s">
        <v>9</v>
      </c>
    </row>
    <row r="192" spans="1:4" x14ac:dyDescent="0.25">
      <c r="A192" s="91" t="s">
        <v>170</v>
      </c>
      <c r="B192" s="92"/>
      <c r="C192" s="92"/>
      <c r="D192" s="90">
        <v>1</v>
      </c>
    </row>
    <row r="193" spans="1:4" x14ac:dyDescent="0.25">
      <c r="A193" s="91" t="s">
        <v>171</v>
      </c>
      <c r="B193" s="92"/>
      <c r="C193" s="92"/>
      <c r="D193" s="90">
        <v>2</v>
      </c>
    </row>
    <row r="194" spans="1:4" x14ac:dyDescent="0.25">
      <c r="A194" s="91" t="s">
        <v>172</v>
      </c>
      <c r="B194" s="92"/>
      <c r="C194" s="92"/>
      <c r="D194" s="90">
        <v>3</v>
      </c>
    </row>
    <row r="195" spans="1:4" ht="30" x14ac:dyDescent="0.25">
      <c r="A195" s="91" t="s">
        <v>173</v>
      </c>
      <c r="B195" s="92"/>
      <c r="C195" s="92"/>
      <c r="D195" s="90">
        <v>4</v>
      </c>
    </row>
    <row r="196" spans="1:4" ht="30" x14ac:dyDescent="0.25">
      <c r="A196" s="91" t="s">
        <v>174</v>
      </c>
      <c r="B196" s="92"/>
      <c r="C196" s="92"/>
      <c r="D196" s="90">
        <v>5</v>
      </c>
    </row>
    <row r="198" spans="1:4" ht="23.25" x14ac:dyDescent="0.25">
      <c r="A198" s="117" t="s">
        <v>175</v>
      </c>
    </row>
    <row r="199" spans="1:4" ht="45" x14ac:dyDescent="0.25">
      <c r="A199" s="95" t="s">
        <v>176</v>
      </c>
      <c r="B199" s="109" t="s">
        <v>7</v>
      </c>
      <c r="C199" s="109" t="s">
        <v>8</v>
      </c>
      <c r="D199" s="89" t="s">
        <v>9</v>
      </c>
    </row>
    <row r="200" spans="1:4" x14ac:dyDescent="0.25">
      <c r="A200" s="91" t="s">
        <v>177</v>
      </c>
      <c r="B200" s="92"/>
      <c r="C200" s="92"/>
      <c r="D200" s="90">
        <v>1</v>
      </c>
    </row>
    <row r="201" spans="1:4" x14ac:dyDescent="0.25">
      <c r="A201" s="91" t="s">
        <v>178</v>
      </c>
      <c r="B201" s="92"/>
      <c r="C201" s="92"/>
      <c r="D201" s="90">
        <v>2</v>
      </c>
    </row>
    <row r="202" spans="1:4" ht="30" x14ac:dyDescent="0.25">
      <c r="A202" s="91" t="s">
        <v>179</v>
      </c>
      <c r="B202" s="92"/>
      <c r="C202" s="92"/>
      <c r="D202" s="90">
        <v>3</v>
      </c>
    </row>
    <row r="203" spans="1:4" x14ac:dyDescent="0.25">
      <c r="A203" s="91" t="s">
        <v>180</v>
      </c>
      <c r="B203" s="92"/>
      <c r="C203" s="92"/>
      <c r="D203" s="90">
        <v>4</v>
      </c>
    </row>
    <row r="204" spans="1:4" x14ac:dyDescent="0.25">
      <c r="A204" s="91" t="s">
        <v>181</v>
      </c>
      <c r="B204" s="92"/>
      <c r="C204" s="92"/>
      <c r="D204" s="90">
        <v>5</v>
      </c>
    </row>
    <row r="205" spans="1:4" x14ac:dyDescent="0.25">
      <c r="A205" s="91"/>
      <c r="B205" s="92"/>
      <c r="C205" s="92"/>
      <c r="D205" s="90"/>
    </row>
    <row r="206" spans="1:4" ht="45" x14ac:dyDescent="0.25">
      <c r="A206" s="95" t="s">
        <v>182</v>
      </c>
      <c r="B206" s="109" t="s">
        <v>7</v>
      </c>
      <c r="C206" s="109" t="s">
        <v>8</v>
      </c>
      <c r="D206" s="89" t="s">
        <v>9</v>
      </c>
    </row>
    <row r="207" spans="1:4" x14ac:dyDescent="0.25">
      <c r="A207" s="91" t="s">
        <v>183</v>
      </c>
      <c r="B207" s="92"/>
      <c r="C207" s="92"/>
      <c r="D207" s="90">
        <v>1</v>
      </c>
    </row>
    <row r="208" spans="1:4" x14ac:dyDescent="0.25">
      <c r="A208" s="91" t="s">
        <v>184</v>
      </c>
      <c r="B208" s="92"/>
      <c r="C208" s="92"/>
      <c r="D208" s="90">
        <v>2</v>
      </c>
    </row>
    <row r="209" spans="1:9" ht="30" x14ac:dyDescent="0.25">
      <c r="A209" s="91" t="s">
        <v>185</v>
      </c>
      <c r="B209" s="92"/>
      <c r="C209" s="92"/>
      <c r="D209" s="90">
        <v>3</v>
      </c>
    </row>
    <row r="210" spans="1:9" ht="30" x14ac:dyDescent="0.25">
      <c r="A210" s="91" t="s">
        <v>186</v>
      </c>
      <c r="B210" s="92"/>
      <c r="C210" s="92"/>
      <c r="D210" s="90">
        <v>4</v>
      </c>
    </row>
    <row r="211" spans="1:9" x14ac:dyDescent="0.25">
      <c r="A211" s="91" t="s">
        <v>187</v>
      </c>
      <c r="B211" s="92"/>
      <c r="C211" s="92"/>
      <c r="D211" s="90">
        <v>5</v>
      </c>
    </row>
    <row r="212" spans="1:9" x14ac:dyDescent="0.25">
      <c r="A212" s="91"/>
      <c r="B212" s="92"/>
      <c r="C212" s="92"/>
      <c r="D212" s="90"/>
    </row>
    <row r="213" spans="1:9" ht="45" x14ac:dyDescent="0.25">
      <c r="A213" s="95" t="s">
        <v>188</v>
      </c>
      <c r="B213" s="109" t="s">
        <v>7</v>
      </c>
      <c r="C213" s="109" t="s">
        <v>8</v>
      </c>
      <c r="D213" s="89" t="s">
        <v>9</v>
      </c>
    </row>
    <row r="214" spans="1:9" x14ac:dyDescent="0.25">
      <c r="A214" s="91" t="s">
        <v>189</v>
      </c>
      <c r="B214" s="92"/>
      <c r="C214" s="92"/>
      <c r="D214" s="90">
        <v>1</v>
      </c>
    </row>
    <row r="215" spans="1:9" ht="30" x14ac:dyDescent="0.25">
      <c r="A215" s="91" t="s">
        <v>190</v>
      </c>
      <c r="B215" s="92"/>
      <c r="C215" s="92"/>
      <c r="D215" s="90">
        <v>2</v>
      </c>
    </row>
    <row r="216" spans="1:9" x14ac:dyDescent="0.25">
      <c r="A216" s="91" t="s">
        <v>191</v>
      </c>
      <c r="B216" s="92"/>
      <c r="C216" s="92"/>
      <c r="D216" s="90">
        <v>3</v>
      </c>
    </row>
    <row r="217" spans="1:9" x14ac:dyDescent="0.25">
      <c r="A217" s="91" t="s">
        <v>192</v>
      </c>
      <c r="B217" s="92"/>
      <c r="C217" s="92"/>
      <c r="D217" s="90">
        <v>4</v>
      </c>
    </row>
    <row r="218" spans="1:9" x14ac:dyDescent="0.25">
      <c r="A218" s="91" t="s">
        <v>193</v>
      </c>
      <c r="B218" s="92"/>
      <c r="C218" s="92"/>
      <c r="D218" s="90">
        <v>5</v>
      </c>
    </row>
    <row r="219" spans="1:9" x14ac:dyDescent="0.25">
      <c r="A219" s="91"/>
      <c r="B219" s="92"/>
      <c r="C219" s="92"/>
      <c r="D219" s="90"/>
    </row>
    <row r="220" spans="1:9" ht="45" x14ac:dyDescent="0.25">
      <c r="A220" s="95" t="s">
        <v>194</v>
      </c>
      <c r="B220" s="109" t="s">
        <v>7</v>
      </c>
      <c r="C220" s="109" t="s">
        <v>8</v>
      </c>
      <c r="D220" s="89" t="s">
        <v>9</v>
      </c>
    </row>
    <row r="221" spans="1:9" x14ac:dyDescent="0.25">
      <c r="A221" s="110" t="s">
        <v>183</v>
      </c>
      <c r="B221" s="92"/>
      <c r="C221" s="92"/>
      <c r="D221" s="90">
        <v>1</v>
      </c>
    </row>
    <row r="222" spans="1:9" x14ac:dyDescent="0.25">
      <c r="A222" s="91" t="s">
        <v>195</v>
      </c>
      <c r="B222" s="92"/>
      <c r="C222" s="92"/>
      <c r="D222" s="90">
        <v>2</v>
      </c>
    </row>
    <row r="223" spans="1:9" ht="30" x14ac:dyDescent="0.25">
      <c r="A223" s="91" t="s">
        <v>196</v>
      </c>
      <c r="B223" s="92"/>
      <c r="C223" s="92"/>
      <c r="D223" s="90">
        <v>3</v>
      </c>
    </row>
    <row r="224" spans="1:9" ht="45" x14ac:dyDescent="0.25">
      <c r="A224" s="91" t="s">
        <v>197</v>
      </c>
      <c r="B224" s="92"/>
      <c r="C224" s="92"/>
      <c r="D224" s="90">
        <v>4</v>
      </c>
      <c r="I224" s="103"/>
    </row>
    <row r="225" spans="1:4" ht="30" x14ac:dyDescent="0.25">
      <c r="A225" s="91" t="s">
        <v>198</v>
      </c>
      <c r="B225" s="92"/>
      <c r="C225" s="92"/>
      <c r="D225" s="90">
        <v>5</v>
      </c>
    </row>
    <row r="226" spans="1:4" x14ac:dyDescent="0.25">
      <c r="A226" s="91"/>
      <c r="B226" s="92"/>
      <c r="C226" s="92"/>
      <c r="D226" s="90"/>
    </row>
    <row r="227" spans="1:4" ht="45" x14ac:dyDescent="0.25">
      <c r="A227" s="95" t="s">
        <v>199</v>
      </c>
      <c r="B227" s="109" t="s">
        <v>7</v>
      </c>
      <c r="C227" s="109" t="s">
        <v>8</v>
      </c>
      <c r="D227" s="89" t="s">
        <v>9</v>
      </c>
    </row>
    <row r="228" spans="1:4" x14ac:dyDescent="0.25">
      <c r="A228" s="91" t="s">
        <v>200</v>
      </c>
      <c r="B228" s="92"/>
      <c r="C228" s="92"/>
      <c r="D228" s="90">
        <v>1</v>
      </c>
    </row>
    <row r="229" spans="1:4" x14ac:dyDescent="0.25">
      <c r="A229" s="91" t="s">
        <v>201</v>
      </c>
      <c r="B229" s="92"/>
      <c r="C229" s="92"/>
      <c r="D229" s="90">
        <v>2</v>
      </c>
    </row>
    <row r="230" spans="1:4" ht="30" x14ac:dyDescent="0.25">
      <c r="A230" s="91" t="s">
        <v>202</v>
      </c>
      <c r="B230" s="92"/>
      <c r="C230" s="92"/>
      <c r="D230" s="90">
        <v>3</v>
      </c>
    </row>
    <row r="231" spans="1:4" ht="30" x14ac:dyDescent="0.25">
      <c r="A231" s="91" t="s">
        <v>203</v>
      </c>
      <c r="B231" s="92"/>
      <c r="C231" s="92"/>
      <c r="D231" s="90">
        <v>4</v>
      </c>
    </row>
    <row r="232" spans="1:4" ht="30" x14ac:dyDescent="0.25">
      <c r="A232" s="91" t="s">
        <v>204</v>
      </c>
      <c r="B232" s="92"/>
      <c r="C232" s="92"/>
      <c r="D232" s="90">
        <v>5</v>
      </c>
    </row>
  </sheetData>
  <mergeCells count="3">
    <mergeCell ref="F3:M3"/>
    <mergeCell ref="B3:D3"/>
    <mergeCell ref="F4:M22"/>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I27"/>
  <sheetViews>
    <sheetView showGridLines="0" zoomScale="80" zoomScaleNormal="80" workbookViewId="0">
      <selection activeCell="C10" sqref="C10"/>
    </sheetView>
  </sheetViews>
  <sheetFormatPr defaultColWidth="8.7109375" defaultRowHeight="15" x14ac:dyDescent="0.25"/>
  <cols>
    <col min="1" max="1" width="8.7109375" bestFit="1" customWidth="1"/>
    <col min="2" max="4" width="25.7109375" customWidth="1"/>
    <col min="5" max="35" width="6.42578125" style="27" customWidth="1"/>
  </cols>
  <sheetData>
    <row r="1" spans="1:35" s="1" customFormat="1" ht="100.9" customHeight="1" x14ac:dyDescent="0.25">
      <c r="A1" s="36"/>
      <c r="B1" s="37"/>
      <c r="C1" s="37"/>
      <c r="D1" s="38"/>
      <c r="E1" s="39" t="s">
        <v>205</v>
      </c>
      <c r="F1" s="40" t="s">
        <v>205</v>
      </c>
      <c r="G1" s="40" t="s">
        <v>205</v>
      </c>
      <c r="H1" s="40" t="s">
        <v>205</v>
      </c>
      <c r="I1" s="41" t="s">
        <v>205</v>
      </c>
      <c r="J1" s="42" t="s">
        <v>205</v>
      </c>
      <c r="K1" s="39" t="s">
        <v>206</v>
      </c>
      <c r="L1" s="40" t="s">
        <v>206</v>
      </c>
      <c r="M1" s="40" t="s">
        <v>206</v>
      </c>
      <c r="N1" s="40" t="s">
        <v>206</v>
      </c>
      <c r="O1" s="41" t="s">
        <v>206</v>
      </c>
      <c r="P1" s="43" t="s">
        <v>207</v>
      </c>
      <c r="Q1" s="40" t="s">
        <v>207</v>
      </c>
      <c r="R1" s="40" t="s">
        <v>207</v>
      </c>
      <c r="S1" s="40" t="s">
        <v>207</v>
      </c>
      <c r="T1" s="40" t="s">
        <v>207</v>
      </c>
      <c r="U1" s="39" t="s">
        <v>208</v>
      </c>
      <c r="V1" s="40" t="s">
        <v>208</v>
      </c>
      <c r="W1" s="40" t="s">
        <v>208</v>
      </c>
      <c r="X1" s="40" t="s">
        <v>208</v>
      </c>
      <c r="Y1" s="40" t="s">
        <v>208</v>
      </c>
      <c r="Z1" s="43" t="s">
        <v>209</v>
      </c>
      <c r="AA1" s="40" t="s">
        <v>209</v>
      </c>
      <c r="AB1" s="40" t="s">
        <v>209</v>
      </c>
      <c r="AC1" s="40" t="s">
        <v>209</v>
      </c>
      <c r="AD1" s="42" t="s">
        <v>209</v>
      </c>
      <c r="AE1" s="43" t="s">
        <v>210</v>
      </c>
      <c r="AF1" s="40" t="s">
        <v>210</v>
      </c>
      <c r="AG1" s="40" t="s">
        <v>210</v>
      </c>
      <c r="AH1" s="40" t="s">
        <v>210</v>
      </c>
      <c r="AI1" s="42" t="s">
        <v>210</v>
      </c>
    </row>
    <row r="2" spans="1:35" s="1" customFormat="1" ht="150.4" customHeight="1" x14ac:dyDescent="0.25">
      <c r="A2" s="8"/>
      <c r="B2" s="9"/>
      <c r="C2" s="9"/>
      <c r="D2" s="10"/>
      <c r="E2" s="11" t="s">
        <v>17</v>
      </c>
      <c r="F2" s="12" t="s">
        <v>23</v>
      </c>
      <c r="G2" s="12" t="s">
        <v>29</v>
      </c>
      <c r="H2" s="12" t="s">
        <v>35</v>
      </c>
      <c r="I2" s="15" t="s">
        <v>41</v>
      </c>
      <c r="J2" s="13" t="s">
        <v>47</v>
      </c>
      <c r="K2" s="11" t="s">
        <v>211</v>
      </c>
      <c r="L2" s="12" t="s">
        <v>212</v>
      </c>
      <c r="M2" s="12" t="s">
        <v>66</v>
      </c>
      <c r="N2" s="12" t="s">
        <v>72</v>
      </c>
      <c r="O2" s="15" t="s">
        <v>78</v>
      </c>
      <c r="P2" s="14" t="s">
        <v>85</v>
      </c>
      <c r="Q2" s="12" t="s">
        <v>213</v>
      </c>
      <c r="R2" s="12" t="s">
        <v>97</v>
      </c>
      <c r="S2" s="12" t="s">
        <v>103</v>
      </c>
      <c r="T2" s="15" t="s">
        <v>214</v>
      </c>
      <c r="U2" s="11" t="s">
        <v>116</v>
      </c>
      <c r="V2" s="12" t="s">
        <v>121</v>
      </c>
      <c r="W2" s="12" t="s">
        <v>127</v>
      </c>
      <c r="X2" s="12" t="s">
        <v>215</v>
      </c>
      <c r="Y2" s="12" t="s">
        <v>216</v>
      </c>
      <c r="Z2" s="14" t="s">
        <v>217</v>
      </c>
      <c r="AA2" s="12" t="s">
        <v>151</v>
      </c>
      <c r="AB2" s="12" t="s">
        <v>157</v>
      </c>
      <c r="AC2" s="12" t="s">
        <v>218</v>
      </c>
      <c r="AD2" s="13" t="s">
        <v>169</v>
      </c>
      <c r="AE2" s="14" t="s">
        <v>176</v>
      </c>
      <c r="AF2" s="12" t="s">
        <v>182</v>
      </c>
      <c r="AG2" s="12" t="s">
        <v>188</v>
      </c>
      <c r="AH2" s="12" t="s">
        <v>194</v>
      </c>
      <c r="AI2" s="13" t="s">
        <v>219</v>
      </c>
    </row>
    <row r="3" spans="1:35" x14ac:dyDescent="0.25">
      <c r="A3" s="6" t="s">
        <v>220</v>
      </c>
      <c r="B3" s="2" t="s">
        <v>221</v>
      </c>
      <c r="C3" s="2" t="s">
        <v>222</v>
      </c>
      <c r="D3" s="3" t="s">
        <v>223</v>
      </c>
      <c r="E3" s="16">
        <v>1</v>
      </c>
      <c r="F3" s="17">
        <v>2</v>
      </c>
      <c r="G3" s="17">
        <v>3</v>
      </c>
      <c r="H3" s="17">
        <v>4</v>
      </c>
      <c r="I3" s="20">
        <v>5</v>
      </c>
      <c r="J3" s="18">
        <v>6</v>
      </c>
      <c r="K3" s="16">
        <v>1</v>
      </c>
      <c r="L3" s="17">
        <v>2</v>
      </c>
      <c r="M3" s="17">
        <v>3</v>
      </c>
      <c r="N3" s="17">
        <v>4</v>
      </c>
      <c r="O3" s="20">
        <v>5</v>
      </c>
      <c r="P3" s="19">
        <v>1</v>
      </c>
      <c r="Q3" s="17">
        <v>2</v>
      </c>
      <c r="R3" s="17">
        <v>3</v>
      </c>
      <c r="S3" s="17">
        <v>4</v>
      </c>
      <c r="T3" s="20">
        <v>5</v>
      </c>
      <c r="U3" s="16">
        <v>1</v>
      </c>
      <c r="V3" s="17">
        <v>2</v>
      </c>
      <c r="W3" s="17">
        <v>3</v>
      </c>
      <c r="X3" s="17">
        <v>4</v>
      </c>
      <c r="Y3" s="17">
        <v>5</v>
      </c>
      <c r="Z3" s="19">
        <v>1</v>
      </c>
      <c r="AA3" s="17">
        <v>2</v>
      </c>
      <c r="AB3" s="17">
        <v>3</v>
      </c>
      <c r="AC3" s="17">
        <v>4</v>
      </c>
      <c r="AD3" s="18">
        <v>5</v>
      </c>
      <c r="AE3" s="19">
        <v>1</v>
      </c>
      <c r="AF3" s="17">
        <v>2</v>
      </c>
      <c r="AG3" s="17">
        <v>3</v>
      </c>
      <c r="AH3" s="17">
        <v>4</v>
      </c>
      <c r="AI3" s="18">
        <v>5</v>
      </c>
    </row>
    <row r="4" spans="1:35" x14ac:dyDescent="0.25">
      <c r="A4" s="33" t="s">
        <v>224</v>
      </c>
      <c r="B4" s="5"/>
      <c r="C4" s="5"/>
      <c r="D4" s="5"/>
      <c r="E4" s="21"/>
      <c r="F4" s="22"/>
      <c r="G4" s="22"/>
      <c r="H4" s="22"/>
      <c r="I4" s="22"/>
      <c r="J4" s="23"/>
      <c r="K4" s="21"/>
      <c r="L4" s="22"/>
      <c r="M4" s="22"/>
      <c r="N4" s="22"/>
      <c r="O4" s="22"/>
      <c r="P4" s="22"/>
      <c r="Q4" s="22"/>
      <c r="R4" s="22"/>
      <c r="S4" s="22"/>
      <c r="T4" s="22"/>
      <c r="U4" s="21"/>
      <c r="V4" s="22"/>
      <c r="W4" s="22"/>
      <c r="X4" s="22"/>
      <c r="Y4" s="22"/>
      <c r="Z4" s="22"/>
      <c r="AA4" s="22"/>
      <c r="AB4" s="22"/>
      <c r="AC4" s="22"/>
      <c r="AD4" s="23"/>
      <c r="AE4" s="22"/>
      <c r="AF4" s="22"/>
      <c r="AG4" s="22"/>
      <c r="AH4" s="22"/>
      <c r="AI4" s="23"/>
    </row>
    <row r="5" spans="1:35" x14ac:dyDescent="0.25">
      <c r="A5" s="6">
        <v>1</v>
      </c>
      <c r="B5" s="34" t="s">
        <v>225</v>
      </c>
      <c r="C5" s="2"/>
      <c r="D5" s="3"/>
      <c r="E5" s="44">
        <f>SUM(Vragenlijst!$B13:$B17)/COUNT(Vragenlijst!$B13:$B17)</f>
        <v>1</v>
      </c>
      <c r="F5" s="45" t="e">
        <f>SUM(Vragenlijst!$B20:$B24)/COUNT(Vragenlijst!$B20:$B24)</f>
        <v>#DIV/0!</v>
      </c>
      <c r="G5" s="45" t="e">
        <f>SUM(Vragenlijst!$B27:$B31)/COUNT(Vragenlijst!$B27:$B31)</f>
        <v>#DIV/0!</v>
      </c>
      <c r="H5" s="45" t="e">
        <f>SUM(Vragenlijst!$B34:$B38)/COUNT(Vragenlijst!$B34:$B38)</f>
        <v>#DIV/0!</v>
      </c>
      <c r="I5" s="45" t="e">
        <f>SUM(Vragenlijst!$B41:$B45)/COUNT(Vragenlijst!$B41:$B45)</f>
        <v>#DIV/0!</v>
      </c>
      <c r="J5" s="46" t="e">
        <f>SUM(Vragenlijst!$B48:$B52)/COUNT(Vragenlijst!$B48:$B52)</f>
        <v>#DIV/0!</v>
      </c>
      <c r="K5" s="44" t="e">
        <f>SUM(Vragenlijst!$B56:$B60)/COUNT(Vragenlijst!$B56:$B60)</f>
        <v>#DIV/0!</v>
      </c>
      <c r="L5" s="45" t="e">
        <f>SUM(Vragenlijst!$B63:$B67)/COUNT(Vragenlijst!$B63:$B67)</f>
        <v>#DIV/0!</v>
      </c>
      <c r="M5" s="47" t="e">
        <f>SUM(Vragenlijst!$B70:$B74)/COUNT(Vragenlijst!$B70:$B74)</f>
        <v>#DIV/0!</v>
      </c>
      <c r="N5" s="45" t="e">
        <f>SUM(Vragenlijst!$B77:$B81)/COUNT(Vragenlijst!$B77:$B81)</f>
        <v>#DIV/0!</v>
      </c>
      <c r="O5" s="48" t="e">
        <f>SUM(Vragenlijst!$B84:$B88)/COUNT(Vragenlijst!$B84:$B88)</f>
        <v>#DIV/0!</v>
      </c>
      <c r="P5" s="44" t="e">
        <f>SUM(Vragenlijst!$B92:$B96)/COUNT(Vragenlijst!$B92:$B96)</f>
        <v>#DIV/0!</v>
      </c>
      <c r="Q5" s="45" t="e">
        <f>SUM(Vragenlijst!$B99:$B103)/COUNT(Vragenlijst!$B99:$B103)</f>
        <v>#DIV/0!</v>
      </c>
      <c r="R5" s="45" t="e">
        <f>SUM(Vragenlijst!$B106:$B110)/COUNT(Vragenlijst!$B106:$B110)</f>
        <v>#DIV/0!</v>
      </c>
      <c r="S5" s="45" t="e">
        <f>SUM(Vragenlijst!$B113:$B117)/COUNT(Vragenlijst!$B113:$B117)</f>
        <v>#DIV/0!</v>
      </c>
      <c r="T5" s="45" t="e">
        <f>SUM(Vragenlijst!$B120:$B124)/COUNT(Vragenlijst!$B120:$B124)</f>
        <v>#DIV/0!</v>
      </c>
      <c r="U5" s="44" t="e">
        <f>SUM(Vragenlijst!$B128:$B132)/COUNT(Vragenlijst!$B128:$B132)</f>
        <v>#DIV/0!</v>
      </c>
      <c r="V5" s="45" t="e">
        <f>SUM(Vragenlijst!$B135:$B139)/COUNT(Vragenlijst!$B135:$B139)</f>
        <v>#DIV/0!</v>
      </c>
      <c r="W5" s="45" t="e">
        <f>SUM(Vragenlijst!$B142:$B146)/COUNT(Vragenlijst!$B142:$B146)</f>
        <v>#DIV/0!</v>
      </c>
      <c r="X5" s="45" t="e">
        <f>SUM(Vragenlijst!$B149:$B153)/COUNT(Vragenlijst!$B149:$B153)</f>
        <v>#DIV/0!</v>
      </c>
      <c r="Y5" s="45" t="e">
        <f>SUM(Vragenlijst!$B156:$B160)/COUNT(Vragenlijst!$B156:$B160)</f>
        <v>#DIV/0!</v>
      </c>
      <c r="Z5" s="44" t="e">
        <f>SUM(Vragenlijst!$B164:$B168)/COUNT(Vragenlijst!$B164:$B168)</f>
        <v>#DIV/0!</v>
      </c>
      <c r="AA5" s="45" t="e">
        <f>SUM(Vragenlijst!$B171:$B175)/COUNT(Vragenlijst!$B171:$B175)</f>
        <v>#DIV/0!</v>
      </c>
      <c r="AB5" s="45" t="e">
        <f>SUM(Vragenlijst!$B178:$B182)/COUNT(Vragenlijst!$B178:$B182)</f>
        <v>#DIV/0!</v>
      </c>
      <c r="AC5" s="45" t="e">
        <f>SUM(Vragenlijst!$B185:$B189)/COUNT(Vragenlijst!$B185:$B189)</f>
        <v>#DIV/0!</v>
      </c>
      <c r="AD5" s="46" t="e">
        <f>SUM(Vragenlijst!$B192:$B196)/COUNT(Vragenlijst!$B192:$B196)</f>
        <v>#DIV/0!</v>
      </c>
      <c r="AE5" s="44" t="e">
        <f>SUM(Vragenlijst!$B200:$B204)/COUNT(Vragenlijst!$B200:$B204)</f>
        <v>#DIV/0!</v>
      </c>
      <c r="AF5" s="45" t="e">
        <f>SUM(Vragenlijst!$B207:$B211)/COUNT(Vragenlijst!$B207:$B211)</f>
        <v>#DIV/0!</v>
      </c>
      <c r="AG5" s="45" t="e">
        <f>SUM(Vragenlijst!$B214:$B218)/COUNT(Vragenlijst!$B214:$B218)</f>
        <v>#DIV/0!</v>
      </c>
      <c r="AH5" s="45" t="e">
        <f>SUM(Vragenlijst!$B221:$B225)/COUNT(Vragenlijst!$B221:$B225)</f>
        <v>#DIV/0!</v>
      </c>
      <c r="AI5" s="46" t="e">
        <f>SUM(Vragenlijst!$B228:$B232)/COUNT(Vragenlijst!$B228:$B232)</f>
        <v>#DIV/0!</v>
      </c>
    </row>
    <row r="6" spans="1:35" x14ac:dyDescent="0.25">
      <c r="A6" s="6">
        <v>2</v>
      </c>
      <c r="B6" s="28" t="s">
        <v>226</v>
      </c>
      <c r="C6" s="2"/>
      <c r="D6" s="3"/>
      <c r="E6" s="24"/>
      <c r="F6" s="25"/>
      <c r="G6" s="25"/>
      <c r="H6" s="25"/>
      <c r="I6" s="29"/>
      <c r="J6" s="26"/>
      <c r="K6" s="24"/>
      <c r="L6" s="29"/>
      <c r="M6" s="32"/>
      <c r="N6" s="30"/>
      <c r="O6" s="35"/>
      <c r="P6" s="24"/>
      <c r="Q6" s="25"/>
      <c r="R6" s="25"/>
      <c r="S6" s="25"/>
      <c r="T6" s="29"/>
      <c r="U6" s="24"/>
      <c r="V6" s="25"/>
      <c r="W6" s="25"/>
      <c r="X6" s="25"/>
      <c r="Y6" s="25"/>
      <c r="Z6" s="24"/>
      <c r="AA6" s="25"/>
      <c r="AB6" s="25"/>
      <c r="AC6" s="25"/>
      <c r="AD6" s="26"/>
      <c r="AE6" s="24"/>
      <c r="AF6" s="25"/>
      <c r="AG6" s="25"/>
      <c r="AH6" s="25"/>
      <c r="AI6" s="26"/>
    </row>
    <row r="7" spans="1:35" x14ac:dyDescent="0.25">
      <c r="A7" s="6">
        <v>3</v>
      </c>
      <c r="B7" s="28" t="s">
        <v>227</v>
      </c>
      <c r="C7" s="2"/>
      <c r="D7" s="3"/>
      <c r="E7" s="24"/>
      <c r="F7" s="25"/>
      <c r="G7" s="25"/>
      <c r="H7" s="25"/>
      <c r="I7" s="29"/>
      <c r="J7" s="26"/>
      <c r="K7" s="24"/>
      <c r="L7" s="25"/>
      <c r="M7" s="32"/>
      <c r="N7" s="25"/>
      <c r="O7" s="29"/>
      <c r="P7" s="24"/>
      <c r="Q7" s="25"/>
      <c r="R7" s="25"/>
      <c r="S7" s="25"/>
      <c r="T7" s="29"/>
      <c r="U7" s="24"/>
      <c r="V7" s="25"/>
      <c r="W7" s="25"/>
      <c r="X7" s="25"/>
      <c r="Y7" s="25"/>
      <c r="Z7" s="24"/>
      <c r="AA7" s="25"/>
      <c r="AB7" s="25"/>
      <c r="AC7" s="25"/>
      <c r="AD7" s="26"/>
      <c r="AE7" s="24"/>
      <c r="AF7" s="25"/>
      <c r="AG7" s="25"/>
      <c r="AH7" s="25"/>
      <c r="AI7" s="26"/>
    </row>
    <row r="8" spans="1:35" x14ac:dyDescent="0.25">
      <c r="A8" s="6">
        <v>4</v>
      </c>
      <c r="B8" s="2"/>
      <c r="C8" s="2"/>
      <c r="D8" s="3"/>
      <c r="E8" s="24"/>
      <c r="F8" s="25"/>
      <c r="G8" s="25"/>
      <c r="H8" s="25"/>
      <c r="I8" s="29"/>
      <c r="J8" s="31"/>
      <c r="K8" s="24"/>
      <c r="L8" s="25"/>
      <c r="M8" s="32"/>
      <c r="N8" s="25"/>
      <c r="O8" s="29"/>
      <c r="P8" s="24"/>
      <c r="Q8" s="25"/>
      <c r="R8" s="25"/>
      <c r="S8" s="25"/>
      <c r="T8" s="29"/>
      <c r="U8" s="24"/>
      <c r="V8" s="25"/>
      <c r="W8" s="25"/>
      <c r="X8" s="25"/>
      <c r="Y8" s="25"/>
      <c r="Z8" s="24"/>
      <c r="AA8" s="25"/>
      <c r="AB8" s="25"/>
      <c r="AC8" s="25"/>
      <c r="AD8" s="26"/>
      <c r="AE8" s="24"/>
      <c r="AF8" s="25"/>
      <c r="AG8" s="25"/>
      <c r="AH8" s="25"/>
      <c r="AI8" s="26"/>
    </row>
    <row r="9" spans="1:35" x14ac:dyDescent="0.25">
      <c r="A9" s="6">
        <v>5</v>
      </c>
      <c r="B9" s="3"/>
      <c r="C9" s="3"/>
      <c r="D9" s="3"/>
      <c r="E9" s="24"/>
      <c r="F9" s="25"/>
      <c r="G9" s="25"/>
      <c r="H9" s="25"/>
      <c r="I9" s="29"/>
      <c r="J9" s="26"/>
      <c r="K9" s="24"/>
      <c r="L9" s="25"/>
      <c r="M9" s="32"/>
      <c r="N9" s="25"/>
      <c r="O9" s="29"/>
      <c r="P9" s="24"/>
      <c r="Q9" s="25"/>
      <c r="R9" s="25"/>
      <c r="S9" s="25"/>
      <c r="T9" s="29"/>
      <c r="U9" s="24"/>
      <c r="V9" s="25"/>
      <c r="W9" s="25"/>
      <c r="X9" s="25"/>
      <c r="Y9" s="25"/>
      <c r="Z9" s="24"/>
      <c r="AA9" s="25"/>
      <c r="AB9" s="25"/>
      <c r="AC9" s="25"/>
      <c r="AD9" s="26"/>
      <c r="AE9" s="24"/>
      <c r="AF9" s="25"/>
      <c r="AG9" s="25"/>
      <c r="AH9" s="25"/>
      <c r="AI9" s="26"/>
    </row>
    <row r="10" spans="1:35" x14ac:dyDescent="0.25">
      <c r="A10" s="6">
        <v>6</v>
      </c>
      <c r="B10" s="2"/>
      <c r="C10" s="2"/>
      <c r="D10" s="3"/>
      <c r="E10" s="24"/>
      <c r="F10" s="25"/>
      <c r="G10" s="25"/>
      <c r="J10" s="26"/>
      <c r="K10" s="24"/>
      <c r="L10" s="25"/>
      <c r="M10" s="32"/>
      <c r="N10" s="25"/>
      <c r="O10" s="29"/>
      <c r="P10" s="24"/>
      <c r="Q10" s="25"/>
      <c r="R10" s="25"/>
      <c r="S10" s="25"/>
      <c r="T10" s="29"/>
      <c r="U10" s="24"/>
      <c r="V10" s="25"/>
      <c r="W10" s="25"/>
      <c r="X10" s="25"/>
      <c r="Y10" s="25"/>
      <c r="Z10" s="24"/>
      <c r="AA10" s="25"/>
      <c r="AB10" s="25"/>
      <c r="AC10" s="25"/>
      <c r="AD10" s="26"/>
      <c r="AE10" s="24"/>
      <c r="AF10" s="25"/>
      <c r="AG10" s="25"/>
      <c r="AH10" s="25"/>
      <c r="AI10" s="26"/>
    </row>
    <row r="11" spans="1:35" x14ac:dyDescent="0.25">
      <c r="A11" s="6">
        <v>7</v>
      </c>
      <c r="B11" s="2"/>
      <c r="C11" s="2"/>
      <c r="D11" s="3"/>
      <c r="E11" s="24"/>
      <c r="F11" s="25"/>
      <c r="G11" s="25"/>
      <c r="H11" s="25"/>
      <c r="I11" s="29"/>
      <c r="J11" s="26"/>
      <c r="K11" s="24"/>
      <c r="L11" s="25"/>
      <c r="M11" s="32"/>
      <c r="N11" s="25"/>
      <c r="O11" s="29"/>
      <c r="P11" s="24"/>
      <c r="Q11" s="25"/>
      <c r="R11" s="25"/>
      <c r="S11" s="25"/>
      <c r="T11" s="29"/>
      <c r="U11" s="24"/>
      <c r="V11" s="25"/>
      <c r="W11" s="25"/>
      <c r="X11" s="25"/>
      <c r="Y11" s="25"/>
      <c r="Z11" s="24"/>
      <c r="AA11" s="25"/>
      <c r="AB11" s="25"/>
      <c r="AC11" s="25"/>
      <c r="AD11" s="26"/>
      <c r="AE11" s="24"/>
      <c r="AF11" s="25"/>
      <c r="AG11" s="25"/>
      <c r="AH11" s="25"/>
      <c r="AI11" s="26"/>
    </row>
    <row r="12" spans="1:35" x14ac:dyDescent="0.25">
      <c r="A12" s="6">
        <v>8</v>
      </c>
      <c r="B12" s="2"/>
      <c r="C12" s="2"/>
      <c r="D12" s="3"/>
      <c r="E12" s="24"/>
      <c r="F12" s="25"/>
      <c r="G12" s="25"/>
      <c r="H12" s="25"/>
      <c r="I12" s="29"/>
      <c r="J12" s="26"/>
      <c r="K12" s="24"/>
      <c r="L12" s="25"/>
      <c r="M12" s="32"/>
      <c r="N12" s="25"/>
      <c r="O12" s="29"/>
      <c r="P12" s="24"/>
      <c r="Q12" s="25"/>
      <c r="R12" s="25"/>
      <c r="S12" s="25"/>
      <c r="T12" s="29"/>
      <c r="U12" s="24"/>
      <c r="V12" s="25"/>
      <c r="W12" s="25"/>
      <c r="X12" s="25"/>
      <c r="Y12" s="25"/>
      <c r="Z12" s="24"/>
      <c r="AA12" s="25"/>
      <c r="AB12" s="25"/>
      <c r="AC12" s="32"/>
      <c r="AD12" s="26"/>
      <c r="AE12" s="24"/>
      <c r="AF12" s="25"/>
      <c r="AG12" s="25"/>
      <c r="AH12" s="32"/>
      <c r="AI12" s="26"/>
    </row>
    <row r="13" spans="1:35" x14ac:dyDescent="0.25">
      <c r="A13" s="6">
        <v>9</v>
      </c>
      <c r="B13" s="2"/>
      <c r="C13" s="2"/>
      <c r="D13" s="3"/>
      <c r="E13" s="24"/>
      <c r="F13" s="25"/>
      <c r="G13" s="25"/>
      <c r="H13" s="25"/>
      <c r="I13" s="29"/>
      <c r="J13" s="26"/>
      <c r="K13" s="24"/>
      <c r="L13" s="25"/>
      <c r="M13" s="32"/>
      <c r="N13" s="25"/>
      <c r="O13" s="29"/>
      <c r="P13" s="24"/>
      <c r="Q13" s="25"/>
      <c r="R13" s="25"/>
      <c r="S13" s="25"/>
      <c r="T13" s="29"/>
      <c r="U13" s="24"/>
      <c r="V13" s="25"/>
      <c r="W13" s="25"/>
      <c r="X13" s="25"/>
      <c r="Y13" s="25"/>
      <c r="Z13" s="24"/>
      <c r="AA13" s="25"/>
      <c r="AB13" s="25"/>
      <c r="AC13" s="25"/>
      <c r="AD13" s="26"/>
      <c r="AE13" s="24"/>
      <c r="AF13" s="25"/>
      <c r="AG13" s="25"/>
      <c r="AH13" s="25"/>
      <c r="AI13" s="26"/>
    </row>
    <row r="14" spans="1:35" x14ac:dyDescent="0.25">
      <c r="A14" s="6">
        <v>10</v>
      </c>
      <c r="B14" s="2"/>
      <c r="C14" s="2"/>
      <c r="D14" s="3"/>
      <c r="E14" s="24"/>
      <c r="F14" s="25"/>
      <c r="G14" s="25"/>
      <c r="H14" s="25"/>
      <c r="I14" s="29"/>
      <c r="J14" s="26"/>
      <c r="K14" s="24"/>
      <c r="L14" s="25"/>
      <c r="M14" s="32"/>
      <c r="N14" s="25"/>
      <c r="O14" s="29"/>
      <c r="P14" s="24"/>
      <c r="Q14" s="25"/>
      <c r="R14" s="25"/>
      <c r="S14" s="25"/>
      <c r="T14" s="29"/>
      <c r="U14" s="24"/>
      <c r="V14" s="25"/>
      <c r="W14" s="25"/>
      <c r="X14" s="25"/>
      <c r="Y14" s="25"/>
      <c r="Z14" s="24"/>
      <c r="AA14" s="25"/>
      <c r="AB14" s="25"/>
      <c r="AC14" s="25"/>
      <c r="AD14" s="26"/>
      <c r="AE14" s="24"/>
      <c r="AF14" s="25"/>
      <c r="AG14" s="25"/>
      <c r="AH14" s="25"/>
      <c r="AI14" s="26"/>
    </row>
    <row r="15" spans="1:35" x14ac:dyDescent="0.25">
      <c r="A15" s="7"/>
      <c r="C15" s="4"/>
    </row>
    <row r="16" spans="1:35" x14ac:dyDescent="0.25">
      <c r="A16" s="33" t="s">
        <v>228</v>
      </c>
      <c r="B16" s="5"/>
      <c r="C16" s="5"/>
      <c r="D16" s="5"/>
      <c r="E16" s="21"/>
      <c r="F16" s="22"/>
      <c r="G16" s="22"/>
      <c r="H16" s="22"/>
      <c r="I16" s="22"/>
      <c r="J16" s="23"/>
      <c r="K16" s="21"/>
      <c r="L16" s="22"/>
      <c r="M16" s="22"/>
      <c r="N16" s="22"/>
      <c r="O16" s="22"/>
      <c r="P16" s="22"/>
      <c r="Q16" s="22"/>
      <c r="R16" s="22"/>
      <c r="S16" s="22"/>
      <c r="T16" s="22"/>
      <c r="U16" s="21"/>
      <c r="V16" s="22"/>
      <c r="W16" s="22"/>
      <c r="X16" s="22"/>
      <c r="Y16" s="22"/>
      <c r="Z16" s="22"/>
      <c r="AA16" s="22"/>
      <c r="AB16" s="22"/>
      <c r="AC16" s="22"/>
      <c r="AD16" s="23"/>
      <c r="AE16" s="22"/>
      <c r="AF16" s="22"/>
      <c r="AG16" s="22"/>
      <c r="AH16" s="22"/>
      <c r="AI16" s="23"/>
    </row>
    <row r="17" spans="1:35" x14ac:dyDescent="0.25">
      <c r="A17" s="6" t="s">
        <v>220</v>
      </c>
      <c r="B17" s="2" t="s">
        <v>221</v>
      </c>
      <c r="C17" s="2" t="s">
        <v>222</v>
      </c>
      <c r="D17" s="3" t="s">
        <v>223</v>
      </c>
      <c r="E17" s="16">
        <v>1</v>
      </c>
      <c r="F17" s="17">
        <v>2</v>
      </c>
      <c r="G17" s="17">
        <v>3</v>
      </c>
      <c r="H17" s="17">
        <v>4</v>
      </c>
      <c r="I17" s="20">
        <v>5</v>
      </c>
      <c r="J17" s="18">
        <v>6</v>
      </c>
      <c r="K17" s="16">
        <v>1</v>
      </c>
      <c r="L17" s="17">
        <v>2</v>
      </c>
      <c r="M17" s="17">
        <v>3</v>
      </c>
      <c r="N17" s="17">
        <v>4</v>
      </c>
      <c r="O17" s="20">
        <v>5</v>
      </c>
      <c r="P17" s="19">
        <v>1</v>
      </c>
      <c r="Q17" s="17">
        <v>2</v>
      </c>
      <c r="R17" s="17">
        <v>3</v>
      </c>
      <c r="S17" s="17">
        <v>4</v>
      </c>
      <c r="T17" s="20">
        <v>5</v>
      </c>
      <c r="U17" s="16">
        <v>1</v>
      </c>
      <c r="V17" s="17">
        <v>2</v>
      </c>
      <c r="W17" s="17">
        <v>3</v>
      </c>
      <c r="X17" s="17">
        <v>4</v>
      </c>
      <c r="Y17" s="17">
        <v>5</v>
      </c>
      <c r="Z17" s="19">
        <v>1</v>
      </c>
      <c r="AA17" s="17">
        <v>2</v>
      </c>
      <c r="AB17" s="17">
        <v>3</v>
      </c>
      <c r="AC17" s="17">
        <v>4</v>
      </c>
      <c r="AD17" s="18">
        <v>5</v>
      </c>
      <c r="AE17" s="19">
        <v>1</v>
      </c>
      <c r="AF17" s="17">
        <v>2</v>
      </c>
      <c r="AG17" s="17">
        <v>3</v>
      </c>
      <c r="AH17" s="17">
        <v>4</v>
      </c>
      <c r="AI17" s="18">
        <v>5</v>
      </c>
    </row>
    <row r="18" spans="1:35" x14ac:dyDescent="0.25">
      <c r="A18" s="6">
        <f t="shared" ref="A18:D27" si="0">A5</f>
        <v>1</v>
      </c>
      <c r="B18" s="34" t="str">
        <f t="shared" si="0"/>
        <v>Jijzelf (verplicht)</v>
      </c>
      <c r="C18" s="2">
        <f t="shared" si="0"/>
        <v>0</v>
      </c>
      <c r="D18" s="2">
        <f t="shared" si="0"/>
        <v>0</v>
      </c>
      <c r="E18" s="44">
        <f>SUM(Vragenlijst!$C13:$C17)/COUNT(Vragenlijst!$C13:$C17)</f>
        <v>4</v>
      </c>
      <c r="F18" s="45" t="e">
        <f>SUM(Vragenlijst!$C20:$C24)/COUNT(Vragenlijst!$C20:$C24)</f>
        <v>#DIV/0!</v>
      </c>
      <c r="G18" s="45" t="e">
        <f>SUM(Vragenlijst!$C27:$C31)/COUNT(Vragenlijst!$C27:$C31)</f>
        <v>#DIV/0!</v>
      </c>
      <c r="H18" s="45" t="e">
        <f>SUM(Vragenlijst!$C34:$C38)/COUNT(Vragenlijst!$C34:$C38)</f>
        <v>#DIV/0!</v>
      </c>
      <c r="I18" s="45" t="e">
        <f>SUM(Vragenlijst!$C41:$C45)/COUNT(Vragenlijst!$C41:$C45)</f>
        <v>#DIV/0!</v>
      </c>
      <c r="J18" s="46" t="e">
        <f>SUM(Vragenlijst!$C48:$C52)/COUNT(Vragenlijst!$C48:$C52)</f>
        <v>#DIV/0!</v>
      </c>
      <c r="K18" s="44" t="e">
        <f>SUM(Vragenlijst!$C56:$C60)/COUNT(Vragenlijst!$C56:$C60)</f>
        <v>#DIV/0!</v>
      </c>
      <c r="L18" s="45" t="e">
        <f>SUM(Vragenlijst!$C63:$C67)/COUNT(Vragenlijst!$C63:$C67)</f>
        <v>#DIV/0!</v>
      </c>
      <c r="M18" s="47" t="e">
        <f>SUM(Vragenlijst!$C70:$C74)/COUNT(Vragenlijst!$C70:$C74)</f>
        <v>#DIV/0!</v>
      </c>
      <c r="N18" s="45" t="e">
        <f>SUM(Vragenlijst!$C77:$C81)/COUNT(Vragenlijst!$C77:$C81)</f>
        <v>#DIV/0!</v>
      </c>
      <c r="O18" s="48" t="e">
        <f>SUM(Vragenlijst!$C84:$C88)/COUNT(Vragenlijst!$C84:$C88)</f>
        <v>#DIV/0!</v>
      </c>
      <c r="P18" s="44" t="e">
        <f>SUM(Vragenlijst!$C92:$C96)/COUNT(Vragenlijst!$C92:$C96)</f>
        <v>#DIV/0!</v>
      </c>
      <c r="Q18" s="45" t="e">
        <f>SUM(Vragenlijst!$C99:$C103)/COUNT(Vragenlijst!$C99:$C103)</f>
        <v>#DIV/0!</v>
      </c>
      <c r="R18" s="45" t="e">
        <f>SUM(Vragenlijst!$C106:$C110)/COUNT(Vragenlijst!$C106:$C110)</f>
        <v>#DIV/0!</v>
      </c>
      <c r="S18" s="45" t="e">
        <f>SUM(Vragenlijst!$C113:$C117)/COUNT(Vragenlijst!$C113:$C117)</f>
        <v>#DIV/0!</v>
      </c>
      <c r="T18" s="45" t="e">
        <f>SUM(Vragenlijst!$C120:$C124)/COUNT(Vragenlijst!$C120:$C124)</f>
        <v>#DIV/0!</v>
      </c>
      <c r="U18" s="44" t="e">
        <f>SUM(Vragenlijst!$C128:$C132)/COUNT(Vragenlijst!$C128:$C132)</f>
        <v>#DIV/0!</v>
      </c>
      <c r="V18" s="45" t="e">
        <f>SUM(Vragenlijst!$C135:$C139)/COUNT(Vragenlijst!$C135:$C139)</f>
        <v>#DIV/0!</v>
      </c>
      <c r="W18" s="45" t="e">
        <f>SUM(Vragenlijst!$C142:$C146)/COUNT(Vragenlijst!$C142:$C146)</f>
        <v>#DIV/0!</v>
      </c>
      <c r="X18" s="45" t="e">
        <f>SUM(Vragenlijst!$C149:$C153)/COUNT(Vragenlijst!$C149:$C153)</f>
        <v>#DIV/0!</v>
      </c>
      <c r="Y18" s="45" t="e">
        <f>SUM(Vragenlijst!$C156:$C160)/COUNT(Vragenlijst!$C156:$C160)</f>
        <v>#DIV/0!</v>
      </c>
      <c r="Z18" s="44" t="e">
        <f>SUM(Vragenlijst!$C164:$C168)/COUNT(Vragenlijst!$C164:$C168)</f>
        <v>#DIV/0!</v>
      </c>
      <c r="AA18" s="45" t="e">
        <f>SUM(Vragenlijst!$C171:$C175)/COUNT(Vragenlijst!$C171:$C175)</f>
        <v>#DIV/0!</v>
      </c>
      <c r="AB18" s="45" t="e">
        <f>SUM(Vragenlijst!$C178:$C182)/COUNT(Vragenlijst!$C178:$C182)</f>
        <v>#DIV/0!</v>
      </c>
      <c r="AC18" s="45" t="e">
        <f>SUM(Vragenlijst!$C185:$C189)/COUNT(Vragenlijst!$C185:$C189)</f>
        <v>#DIV/0!</v>
      </c>
      <c r="AD18" s="46" t="e">
        <f>SUM(Vragenlijst!$C192:$C196)/COUNT(Vragenlijst!$C192:$C196)</f>
        <v>#DIV/0!</v>
      </c>
      <c r="AE18" s="44" t="e">
        <f>SUM(Vragenlijst!$C200:$C204)/COUNT(Vragenlijst!$C200:$C204)</f>
        <v>#DIV/0!</v>
      </c>
      <c r="AF18" s="45" t="e">
        <f>SUM(Vragenlijst!$C207:$C211)/COUNT(Vragenlijst!$C207:$C211)</f>
        <v>#DIV/0!</v>
      </c>
      <c r="AG18" s="45" t="e">
        <f>SUM(Vragenlijst!$C214:$C218)/COUNT(Vragenlijst!$C214:$C218)</f>
        <v>#DIV/0!</v>
      </c>
      <c r="AH18" s="45" t="e">
        <f>SUM(Vragenlijst!$C221:$C225)/COUNT(Vragenlijst!$C221:$C225)</f>
        <v>#DIV/0!</v>
      </c>
      <c r="AI18" s="46" t="e">
        <f>SUM(Vragenlijst!$C228:$C232)/COUNT(Vragenlijst!$C228:$C232)</f>
        <v>#DIV/0!</v>
      </c>
    </row>
    <row r="19" spans="1:35" x14ac:dyDescent="0.25">
      <c r="A19" s="6">
        <f t="shared" si="0"/>
        <v>2</v>
      </c>
      <c r="B19" s="28" t="str">
        <f t="shared" si="0"/>
        <v>Feedback gever 1 (optioneel)</v>
      </c>
      <c r="C19" s="2">
        <f t="shared" si="0"/>
        <v>0</v>
      </c>
      <c r="D19" s="2">
        <f t="shared" si="0"/>
        <v>0</v>
      </c>
      <c r="E19" s="24"/>
      <c r="F19" s="25"/>
      <c r="G19" s="25"/>
      <c r="H19" s="25"/>
      <c r="I19" s="29"/>
      <c r="J19" s="26"/>
      <c r="K19" s="24"/>
      <c r="L19" s="25"/>
      <c r="M19" s="25"/>
      <c r="N19" s="25"/>
      <c r="O19" s="29"/>
      <c r="P19" s="24"/>
      <c r="Q19" s="25"/>
      <c r="R19" s="25"/>
      <c r="S19" s="25"/>
      <c r="T19" s="29"/>
      <c r="U19" s="24"/>
      <c r="V19" s="25"/>
      <c r="W19" s="25"/>
      <c r="X19" s="25"/>
      <c r="Y19" s="25"/>
      <c r="Z19" s="24"/>
      <c r="AA19" s="25"/>
      <c r="AB19" s="25"/>
      <c r="AC19" s="25"/>
      <c r="AD19" s="26"/>
      <c r="AE19" s="24"/>
      <c r="AF19" s="25"/>
      <c r="AG19" s="25"/>
      <c r="AH19" s="25"/>
      <c r="AI19" s="26"/>
    </row>
    <row r="20" spans="1:35" x14ac:dyDescent="0.25">
      <c r="A20" s="6">
        <f t="shared" si="0"/>
        <v>3</v>
      </c>
      <c r="B20" s="28" t="str">
        <f t="shared" si="0"/>
        <v>Feedback gever 2 (optioneel)</v>
      </c>
      <c r="C20" s="2">
        <f t="shared" si="0"/>
        <v>0</v>
      </c>
      <c r="D20" s="2">
        <f t="shared" si="0"/>
        <v>0</v>
      </c>
      <c r="E20" s="24"/>
      <c r="F20" s="25"/>
      <c r="G20" s="25"/>
      <c r="H20" s="25"/>
      <c r="I20" s="29"/>
      <c r="J20" s="26"/>
      <c r="K20" s="24"/>
      <c r="L20" s="25"/>
      <c r="M20" s="25"/>
      <c r="N20" s="25"/>
      <c r="O20" s="29"/>
      <c r="P20" s="24"/>
      <c r="Q20" s="25"/>
      <c r="R20" s="25"/>
      <c r="S20" s="25"/>
      <c r="T20" s="29"/>
      <c r="U20" s="24"/>
      <c r="V20" s="25"/>
      <c r="W20" s="25"/>
      <c r="X20" s="25"/>
      <c r="Y20" s="25"/>
      <c r="Z20" s="24"/>
      <c r="AA20" s="25"/>
      <c r="AB20" s="25"/>
      <c r="AC20" s="25"/>
      <c r="AD20" s="26"/>
      <c r="AE20" s="24"/>
      <c r="AF20" s="25"/>
      <c r="AG20" s="25"/>
      <c r="AH20" s="25"/>
      <c r="AI20" s="26"/>
    </row>
    <row r="21" spans="1:35" x14ac:dyDescent="0.25">
      <c r="A21" s="6">
        <f t="shared" si="0"/>
        <v>4</v>
      </c>
      <c r="B21" s="2">
        <f t="shared" si="0"/>
        <v>0</v>
      </c>
      <c r="C21" s="2">
        <f t="shared" si="0"/>
        <v>0</v>
      </c>
      <c r="D21" s="2">
        <f t="shared" si="0"/>
        <v>0</v>
      </c>
      <c r="E21" s="24"/>
      <c r="F21" s="25"/>
      <c r="G21" s="25"/>
      <c r="H21" s="25"/>
      <c r="I21" s="29"/>
      <c r="J21" s="26"/>
      <c r="K21" s="24"/>
      <c r="L21" s="25"/>
      <c r="M21" s="25"/>
      <c r="N21" s="25"/>
      <c r="O21" s="29"/>
      <c r="P21" s="24"/>
      <c r="Q21" s="25"/>
      <c r="R21" s="25"/>
      <c r="S21" s="25"/>
      <c r="T21" s="29"/>
      <c r="U21" s="24"/>
      <c r="V21" s="25"/>
      <c r="W21" s="25"/>
      <c r="X21" s="25"/>
      <c r="Y21" s="25"/>
      <c r="Z21" s="24"/>
      <c r="AA21" s="25"/>
      <c r="AB21" s="25"/>
      <c r="AC21" s="25"/>
      <c r="AD21" s="26"/>
      <c r="AE21" s="24"/>
      <c r="AF21" s="25"/>
      <c r="AG21" s="25"/>
      <c r="AH21" s="25"/>
      <c r="AI21" s="26"/>
    </row>
    <row r="22" spans="1:35" x14ac:dyDescent="0.25">
      <c r="A22" s="6">
        <f t="shared" si="0"/>
        <v>5</v>
      </c>
      <c r="B22" s="2">
        <f t="shared" si="0"/>
        <v>0</v>
      </c>
      <c r="C22" s="2">
        <f t="shared" si="0"/>
        <v>0</v>
      </c>
      <c r="D22" s="2">
        <f t="shared" si="0"/>
        <v>0</v>
      </c>
      <c r="E22" s="24"/>
      <c r="F22" s="25"/>
      <c r="G22" s="25"/>
      <c r="H22" s="25"/>
      <c r="I22" s="29"/>
      <c r="J22" s="26"/>
      <c r="K22" s="24"/>
      <c r="L22" s="25"/>
      <c r="M22" s="25"/>
      <c r="N22" s="25"/>
      <c r="O22" s="29"/>
      <c r="P22" s="24"/>
      <c r="Q22" s="25"/>
      <c r="R22" s="25"/>
      <c r="S22" s="25"/>
      <c r="T22" s="29"/>
      <c r="U22" s="24"/>
      <c r="V22" s="25"/>
      <c r="W22" s="25"/>
      <c r="X22" s="25"/>
      <c r="Y22" s="25"/>
      <c r="Z22" s="24"/>
      <c r="AA22" s="25"/>
      <c r="AB22" s="25"/>
      <c r="AC22" s="25"/>
      <c r="AD22" s="26"/>
      <c r="AE22" s="24"/>
      <c r="AF22" s="25"/>
      <c r="AG22" s="25"/>
      <c r="AH22" s="25"/>
      <c r="AI22" s="26"/>
    </row>
    <row r="23" spans="1:35" x14ac:dyDescent="0.25">
      <c r="A23" s="6">
        <f t="shared" si="0"/>
        <v>6</v>
      </c>
      <c r="B23" s="2">
        <f t="shared" si="0"/>
        <v>0</v>
      </c>
      <c r="C23" s="2">
        <f t="shared" si="0"/>
        <v>0</v>
      </c>
      <c r="D23" s="2">
        <f t="shared" si="0"/>
        <v>0</v>
      </c>
      <c r="E23" s="24"/>
      <c r="F23" s="25"/>
      <c r="G23" s="25"/>
      <c r="H23" s="25"/>
      <c r="I23" s="29"/>
      <c r="J23" s="26"/>
      <c r="K23" s="24"/>
      <c r="L23" s="25"/>
      <c r="M23" s="25"/>
      <c r="N23" s="25"/>
      <c r="O23" s="29"/>
      <c r="P23" s="24"/>
      <c r="Q23" s="25"/>
      <c r="R23" s="25"/>
      <c r="S23" s="25"/>
      <c r="T23" s="29"/>
      <c r="U23" s="24"/>
      <c r="V23" s="25"/>
      <c r="W23" s="25"/>
      <c r="X23" s="25"/>
      <c r="Y23" s="25"/>
      <c r="Z23" s="24"/>
      <c r="AA23" s="25"/>
      <c r="AB23" s="25"/>
      <c r="AC23" s="25"/>
      <c r="AD23" s="26"/>
      <c r="AE23" s="24"/>
      <c r="AF23" s="25"/>
      <c r="AG23" s="25"/>
      <c r="AH23" s="25"/>
      <c r="AI23" s="26"/>
    </row>
    <row r="24" spans="1:35" x14ac:dyDescent="0.25">
      <c r="A24" s="6">
        <f t="shared" si="0"/>
        <v>7</v>
      </c>
      <c r="B24" s="2">
        <f t="shared" si="0"/>
        <v>0</v>
      </c>
      <c r="C24" s="2">
        <f t="shared" si="0"/>
        <v>0</v>
      </c>
      <c r="D24" s="2">
        <f t="shared" si="0"/>
        <v>0</v>
      </c>
      <c r="E24" s="24"/>
      <c r="F24" s="25"/>
      <c r="G24" s="25"/>
      <c r="H24" s="25"/>
      <c r="I24" s="29"/>
      <c r="J24" s="26"/>
      <c r="K24" s="24"/>
      <c r="L24" s="25"/>
      <c r="M24" s="25"/>
      <c r="N24" s="25"/>
      <c r="O24" s="29"/>
      <c r="P24" s="24"/>
      <c r="Q24" s="25"/>
      <c r="R24" s="25"/>
      <c r="S24" s="25"/>
      <c r="T24" s="29"/>
      <c r="U24" s="24"/>
      <c r="V24" s="25"/>
      <c r="W24" s="25"/>
      <c r="X24" s="25"/>
      <c r="Y24" s="25"/>
      <c r="Z24" s="24"/>
      <c r="AA24" s="25"/>
      <c r="AB24" s="25"/>
      <c r="AC24" s="25"/>
      <c r="AD24" s="26"/>
      <c r="AE24" s="24"/>
      <c r="AF24" s="25"/>
      <c r="AG24" s="25"/>
      <c r="AH24" s="25"/>
      <c r="AI24" s="26"/>
    </row>
    <row r="25" spans="1:35" x14ac:dyDescent="0.25">
      <c r="A25" s="6">
        <f t="shared" si="0"/>
        <v>8</v>
      </c>
      <c r="B25" s="2">
        <f t="shared" si="0"/>
        <v>0</v>
      </c>
      <c r="C25" s="2">
        <f t="shared" si="0"/>
        <v>0</v>
      </c>
      <c r="D25" s="2">
        <f t="shared" si="0"/>
        <v>0</v>
      </c>
      <c r="E25" s="24"/>
      <c r="F25" s="25"/>
      <c r="G25" s="25"/>
      <c r="H25" s="25"/>
      <c r="I25" s="29"/>
      <c r="J25" s="26"/>
      <c r="K25" s="24"/>
      <c r="L25" s="25"/>
      <c r="M25" s="25"/>
      <c r="N25" s="25"/>
      <c r="O25" s="29"/>
      <c r="P25" s="24"/>
      <c r="Q25" s="25"/>
      <c r="R25" s="25"/>
      <c r="S25" s="25"/>
      <c r="T25" s="29"/>
      <c r="U25" s="24"/>
      <c r="V25" s="25"/>
      <c r="W25" s="25"/>
      <c r="X25" s="25"/>
      <c r="Y25" s="25"/>
      <c r="Z25" s="24"/>
      <c r="AA25" s="25"/>
      <c r="AB25" s="25"/>
      <c r="AC25" s="25"/>
      <c r="AD25" s="26"/>
      <c r="AE25" s="24"/>
      <c r="AF25" s="25"/>
      <c r="AG25" s="25"/>
      <c r="AH25" s="25"/>
      <c r="AI25" s="26"/>
    </row>
    <row r="26" spans="1:35" x14ac:dyDescent="0.25">
      <c r="A26" s="6">
        <f t="shared" si="0"/>
        <v>9</v>
      </c>
      <c r="B26" s="2">
        <f t="shared" si="0"/>
        <v>0</v>
      </c>
      <c r="C26" s="2">
        <f t="shared" si="0"/>
        <v>0</v>
      </c>
      <c r="D26" s="2">
        <f t="shared" si="0"/>
        <v>0</v>
      </c>
      <c r="E26" s="24"/>
      <c r="F26" s="25"/>
      <c r="G26" s="25"/>
      <c r="H26" s="25"/>
      <c r="I26" s="29"/>
      <c r="J26" s="26"/>
      <c r="K26" s="24"/>
      <c r="L26" s="25"/>
      <c r="M26" s="25"/>
      <c r="N26" s="25"/>
      <c r="O26" s="29"/>
      <c r="P26" s="24"/>
      <c r="Q26" s="25"/>
      <c r="R26" s="25"/>
      <c r="S26" s="25"/>
      <c r="T26" s="29"/>
      <c r="U26" s="24"/>
      <c r="V26" s="25"/>
      <c r="W26" s="25"/>
      <c r="X26" s="25"/>
      <c r="Y26" s="25"/>
      <c r="Z26" s="24"/>
      <c r="AA26" s="25"/>
      <c r="AB26" s="25"/>
      <c r="AC26" s="25"/>
      <c r="AD26" s="26"/>
      <c r="AE26" s="24"/>
      <c r="AF26" s="25"/>
      <c r="AG26" s="25"/>
      <c r="AH26" s="25"/>
      <c r="AI26" s="26"/>
    </row>
    <row r="27" spans="1:35" x14ac:dyDescent="0.25">
      <c r="A27" s="6">
        <f t="shared" si="0"/>
        <v>10</v>
      </c>
      <c r="B27" s="2">
        <f t="shared" si="0"/>
        <v>0</v>
      </c>
      <c r="C27" s="2">
        <f t="shared" si="0"/>
        <v>0</v>
      </c>
      <c r="D27" s="2">
        <f t="shared" si="0"/>
        <v>0</v>
      </c>
      <c r="E27" s="24"/>
      <c r="F27" s="25"/>
      <c r="G27" s="25"/>
      <c r="H27" s="25"/>
      <c r="I27" s="29"/>
      <c r="J27" s="26"/>
      <c r="K27" s="24"/>
      <c r="L27" s="25"/>
      <c r="M27" s="25"/>
      <c r="N27" s="25"/>
      <c r="O27" s="29"/>
      <c r="P27" s="24"/>
      <c r="Q27" s="25"/>
      <c r="R27" s="25"/>
      <c r="S27" s="25"/>
      <c r="T27" s="29"/>
      <c r="U27" s="24"/>
      <c r="V27" s="25"/>
      <c r="W27" s="25"/>
      <c r="X27" s="25"/>
      <c r="Y27" s="25"/>
      <c r="Z27" s="24"/>
      <c r="AA27" s="25"/>
      <c r="AB27" s="25"/>
      <c r="AC27" s="25"/>
      <c r="AD27" s="26"/>
      <c r="AE27" s="24"/>
      <c r="AF27" s="25"/>
      <c r="AG27" s="25"/>
      <c r="AH27" s="25"/>
      <c r="AI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F8"/>
  <sheetViews>
    <sheetView showGridLines="0" zoomScale="80" zoomScaleNormal="80" workbookViewId="0">
      <selection activeCell="E29" sqref="E29"/>
    </sheetView>
  </sheetViews>
  <sheetFormatPr defaultColWidth="8.7109375" defaultRowHeight="15" x14ac:dyDescent="0.25"/>
  <cols>
    <col min="1" max="1" width="25" style="50" bestFit="1" customWidth="1"/>
    <col min="2" max="32" width="6.28515625" style="84" customWidth="1"/>
    <col min="33" max="16384" width="8.7109375" style="50"/>
  </cols>
  <sheetData>
    <row r="1" spans="1:32" ht="132.75" x14ac:dyDescent="0.25">
      <c r="A1" s="52"/>
      <c r="B1" s="53" t="str">
        <f>'Data (NIET BEWERKEN!!)'!E1</f>
        <v>1. Digital Power Basic Skills</v>
      </c>
      <c r="C1" s="54" t="str">
        <f>'Data (NIET BEWERKEN!!)'!F1</f>
        <v>1. Digital Power Basic Skills</v>
      </c>
      <c r="D1" s="54" t="str">
        <f>'Data (NIET BEWERKEN!!)'!G1</f>
        <v>1. Digital Power Basic Skills</v>
      </c>
      <c r="E1" s="54" t="str">
        <f>'Data (NIET BEWERKEN!!)'!H1</f>
        <v>1. Digital Power Basic Skills</v>
      </c>
      <c r="F1" s="55" t="str">
        <f>'Data (NIET BEWERKEN!!)'!I1</f>
        <v>1. Digital Power Basic Skills</v>
      </c>
      <c r="G1" s="56" t="str">
        <f>'Data (NIET BEWERKEN!!)'!J1</f>
        <v>1. Digital Power Basic Skills</v>
      </c>
      <c r="H1" s="53" t="str">
        <f>'Data (NIET BEWERKEN!!)'!K1</f>
        <v>2. Domein Skills</v>
      </c>
      <c r="I1" s="54" t="str">
        <f>'Data (NIET BEWERKEN!!)'!L1</f>
        <v>2. Domein Skills</v>
      </c>
      <c r="J1" s="54" t="str">
        <f>'Data (NIET BEWERKEN!!)'!M1</f>
        <v>2. Domein Skills</v>
      </c>
      <c r="K1" s="54" t="str">
        <f>'Data (NIET BEWERKEN!!)'!N1</f>
        <v>2. Domein Skills</v>
      </c>
      <c r="L1" s="55" t="str">
        <f>'Data (NIET BEWERKEN!!)'!O1</f>
        <v>2. Domein Skills</v>
      </c>
      <c r="M1" s="53" t="str">
        <f>'Data (NIET BEWERKEN!!)'!P1</f>
        <v>3. Hardskills</v>
      </c>
      <c r="N1" s="54" t="str">
        <f>'Data (NIET BEWERKEN!!)'!Q1</f>
        <v>3. Hardskills</v>
      </c>
      <c r="O1" s="54" t="str">
        <f>'Data (NIET BEWERKEN!!)'!R1</f>
        <v>3. Hardskills</v>
      </c>
      <c r="P1" s="54" t="str">
        <f>'Data (NIET BEWERKEN!!)'!S1</f>
        <v>3. Hardskills</v>
      </c>
      <c r="Q1" s="54" t="str">
        <f>'Data (NIET BEWERKEN!!)'!T1</f>
        <v>3. Hardskills</v>
      </c>
      <c r="R1" s="53" t="str">
        <f>'Data (NIET BEWERKEN!!)'!U1</f>
        <v>4. Basic Consultancy Skills</v>
      </c>
      <c r="S1" s="54" t="str">
        <f>'Data (NIET BEWERKEN!!)'!V1</f>
        <v>4. Basic Consultancy Skills</v>
      </c>
      <c r="T1" s="54" t="str">
        <f>'Data (NIET BEWERKEN!!)'!W1</f>
        <v>4. Basic Consultancy Skills</v>
      </c>
      <c r="U1" s="54" t="str">
        <f>'Data (NIET BEWERKEN!!)'!X1</f>
        <v>4. Basic Consultancy Skills</v>
      </c>
      <c r="V1" s="55" t="str">
        <f>'Data (NIET BEWERKEN!!)'!Y1</f>
        <v>4. Basic Consultancy Skills</v>
      </c>
      <c r="W1" s="53" t="str">
        <f>'Data (NIET BEWERKEN!!)'!Z1</f>
        <v>5. Business Skills</v>
      </c>
      <c r="X1" s="54" t="str">
        <f>'Data (NIET BEWERKEN!!)'!AA1</f>
        <v>5. Business Skills</v>
      </c>
      <c r="Y1" s="54" t="str">
        <f>'Data (NIET BEWERKEN!!)'!AB1</f>
        <v>5. Business Skills</v>
      </c>
      <c r="Z1" s="54" t="str">
        <f>'Data (NIET BEWERKEN!!)'!AC1</f>
        <v>5. Business Skills</v>
      </c>
      <c r="AA1" s="56" t="str">
        <f>'Data (NIET BEWERKEN!!)'!AD1</f>
        <v>5. Business Skills</v>
      </c>
      <c r="AB1" s="57" t="str">
        <f>'Data (NIET BEWERKEN!!)'!AE1</f>
        <v>6. Expert Consultancy Skills</v>
      </c>
      <c r="AC1" s="54" t="str">
        <f>'Data (NIET BEWERKEN!!)'!AF1</f>
        <v>6. Expert Consultancy Skills</v>
      </c>
      <c r="AD1" s="54" t="str">
        <f>'Data (NIET BEWERKEN!!)'!AG1</f>
        <v>6. Expert Consultancy Skills</v>
      </c>
      <c r="AE1" s="54" t="str">
        <f>'Data (NIET BEWERKEN!!)'!AH1</f>
        <v>6. Expert Consultancy Skills</v>
      </c>
      <c r="AF1" s="56" t="str">
        <f>'Data (NIET BEWERKEN!!)'!AI1</f>
        <v>6. Expert Consultancy Skills</v>
      </c>
    </row>
    <row r="2" spans="1:32" ht="118.5" customHeight="1" x14ac:dyDescent="0.25">
      <c r="A2" s="58"/>
      <c r="B2" s="59" t="str">
        <f>'Data (NIET BEWERKEN!!)'!E2</f>
        <v>Leren &amp; reflecteren</v>
      </c>
      <c r="C2" s="60" t="str">
        <f>'Data (NIET BEWERKEN!!)'!F2</f>
        <v>Ondersteunen &amp; samenwerken</v>
      </c>
      <c r="D2" s="60" t="str">
        <f>'Data (NIET BEWERKEN!!)'!G2</f>
        <v>Ondernemen &amp; resultaatgericht</v>
      </c>
      <c r="E2" s="60" t="str">
        <f>'Data (NIET BEWERKEN!!)'!H2</f>
        <v>Klantgericht</v>
      </c>
      <c r="F2" s="61" t="str">
        <f>'Data (NIET BEWERKEN!!)'!I2</f>
        <v>Kennisdeling</v>
      </c>
      <c r="G2" s="62" t="str">
        <f>'Data (NIET BEWERKEN!!)'!J2</f>
        <v>Coaching &amp; begeleiding</v>
      </c>
      <c r="H2" s="59" t="str">
        <f>'Data (NIET BEWERKEN!!)'!K2</f>
        <v>Domein kennis</v>
      </c>
      <c r="I2" s="60" t="str">
        <f>'Data (NIET BEWERKEN!!)'!L2</f>
        <v>Metrics, KPIs en doelen</v>
      </c>
      <c r="J2" s="60" t="str">
        <f>'Data (NIET BEWERKEN!!)'!M2</f>
        <v>Wiskunde &amp; statistiek</v>
      </c>
      <c r="K2" s="60" t="str">
        <f>'Data (NIET BEWERKEN!!)'!N2</f>
        <v>Data interpretatie &amp; analyse</v>
      </c>
      <c r="L2" s="61" t="str">
        <f>'Data (NIET BEWERKEN!!)'!O2</f>
        <v>Dashboarding &amp; reporting</v>
      </c>
      <c r="M2" s="59" t="str">
        <f>'Data (NIET BEWERKEN!!)'!P2</f>
        <v>Toolkennis</v>
      </c>
      <c r="N2" s="60" t="str">
        <f>'Data (NIET BEWERKEN!!)'!Q2</f>
        <v>Implememtatie &amp; data verzameling</v>
      </c>
      <c r="O2" s="60" t="str">
        <f>'Data (NIET BEWERKEN!!)'!R2</f>
        <v>Data verwerking</v>
      </c>
      <c r="P2" s="60" t="str">
        <f>'Data (NIET BEWERKEN!!)'!S2</f>
        <v>Data visualisatie</v>
      </c>
      <c r="Q2" s="60" t="str">
        <f>'Data (NIET BEWERKEN!!)'!T2</f>
        <v>Wettelijke &amp; ethische kaders</v>
      </c>
      <c r="R2" s="59" t="str">
        <f>'Data (NIET BEWERKEN!!)'!U2</f>
        <v>Adviseren</v>
      </c>
      <c r="S2" s="60" t="str">
        <f>'Data (NIET BEWERKEN!!)'!V2</f>
        <v>Doortastend &amp; probleemoplossend</v>
      </c>
      <c r="T2" s="60" t="str">
        <f>'Data (NIET BEWERKEN!!)'!W2</f>
        <v>Interpersoonlijk communicatie</v>
      </c>
      <c r="U2" s="60" t="str">
        <f>'Data (NIET BEWERKEN!!)'!X2</f>
        <v>Verwachtings-management</v>
      </c>
      <c r="V2" s="61" t="str">
        <f>'Data (NIET BEWERKEN!!)'!Y2</f>
        <v>Schriftelijke en mondelinge communicatie</v>
      </c>
      <c r="W2" s="59" t="str">
        <f>'Data (NIET BEWERKEN!!)'!Z2</f>
        <v>Organisatie- en management-identificatie</v>
      </c>
      <c r="X2" s="60" t="str">
        <f>'Data (NIET BEWERKEN!!)'!AA2</f>
        <v>Strategische conceptualisatie</v>
      </c>
      <c r="Y2" s="60" t="str">
        <f>'Data (NIET BEWERKEN!!)'!AB2</f>
        <v>Projectmanagement</v>
      </c>
      <c r="Z2" s="60" t="str">
        <f>'Data (NIET BEWERKEN!!)'!AC2</f>
        <v>Verander-management</v>
      </c>
      <c r="AA2" s="62" t="str">
        <f>'Data (NIET BEWERKEN!!)'!AD2</f>
        <v>Leidinggeven</v>
      </c>
      <c r="AB2" s="63" t="str">
        <f>'Data (NIET BEWERKEN!!)'!AE2</f>
        <v>Situationele communicatie</v>
      </c>
      <c r="AC2" s="60" t="str">
        <f>'Data (NIET BEWERKEN!!)'!AF2</f>
        <v>Doelgerichte &amp; effectieve communicatie</v>
      </c>
      <c r="AD2" s="60" t="str">
        <f>'Data (NIET BEWERKEN!!)'!AG2</f>
        <v>Besluitvaardigheid</v>
      </c>
      <c r="AE2" s="60" t="str">
        <f>'Data (NIET BEWERKEN!!)'!AH2</f>
        <v>Overtuigen &amp; beinvloeden</v>
      </c>
      <c r="AF2" s="62" t="str">
        <f>'Data (NIET BEWERKEN!!)'!AI2</f>
        <v>Opbouwende feedback &amp; slecht nieuws gesprekken</v>
      </c>
    </row>
    <row r="3" spans="1:32" x14ac:dyDescent="0.25">
      <c r="A3" s="58"/>
      <c r="B3" s="64">
        <v>1</v>
      </c>
      <c r="C3" s="65">
        <v>2</v>
      </c>
      <c r="D3" s="65">
        <v>3</v>
      </c>
      <c r="E3" s="65">
        <v>4</v>
      </c>
      <c r="F3" s="66">
        <v>5</v>
      </c>
      <c r="G3" s="67">
        <v>6</v>
      </c>
      <c r="H3" s="64">
        <v>7</v>
      </c>
      <c r="I3" s="65">
        <v>8</v>
      </c>
      <c r="J3" s="65">
        <v>9</v>
      </c>
      <c r="K3" s="65">
        <v>10</v>
      </c>
      <c r="L3" s="66">
        <v>11</v>
      </c>
      <c r="M3" s="64">
        <v>13</v>
      </c>
      <c r="N3" s="65">
        <v>14</v>
      </c>
      <c r="O3" s="65">
        <v>15</v>
      </c>
      <c r="P3" s="65">
        <v>16</v>
      </c>
      <c r="Q3" s="65">
        <v>17</v>
      </c>
      <c r="R3" s="64">
        <v>19</v>
      </c>
      <c r="S3" s="65">
        <v>20</v>
      </c>
      <c r="T3" s="65">
        <v>21</v>
      </c>
      <c r="U3" s="65">
        <v>22</v>
      </c>
      <c r="V3" s="66">
        <v>23</v>
      </c>
      <c r="W3" s="64">
        <v>25</v>
      </c>
      <c r="X3" s="65">
        <v>26</v>
      </c>
      <c r="Y3" s="65">
        <v>27</v>
      </c>
      <c r="Z3" s="65">
        <v>28</v>
      </c>
      <c r="AA3" s="67">
        <v>29</v>
      </c>
      <c r="AB3" s="68">
        <v>30</v>
      </c>
      <c r="AC3" s="65">
        <v>31</v>
      </c>
      <c r="AD3" s="65">
        <v>32</v>
      </c>
      <c r="AE3" s="65">
        <v>33</v>
      </c>
      <c r="AF3" s="67">
        <v>34</v>
      </c>
    </row>
    <row r="4" spans="1:32" x14ac:dyDescent="0.25">
      <c r="A4" s="69" t="s">
        <v>229</v>
      </c>
      <c r="B4" s="70">
        <f>'Data (NIET BEWERKEN!!)'!E5</f>
        <v>1</v>
      </c>
      <c r="C4" s="71" t="e">
        <f>'Data (NIET BEWERKEN!!)'!F5</f>
        <v>#DIV/0!</v>
      </c>
      <c r="D4" s="71" t="e">
        <f>'Data (NIET BEWERKEN!!)'!G5</f>
        <v>#DIV/0!</v>
      </c>
      <c r="E4" s="71" t="e">
        <f>'Data (NIET BEWERKEN!!)'!H5</f>
        <v>#DIV/0!</v>
      </c>
      <c r="F4" s="72" t="e">
        <f>'Data (NIET BEWERKEN!!)'!I5</f>
        <v>#DIV/0!</v>
      </c>
      <c r="G4" s="73" t="e">
        <f>'Data (NIET BEWERKEN!!)'!J5</f>
        <v>#DIV/0!</v>
      </c>
      <c r="H4" s="70" t="e">
        <f>'Data (NIET BEWERKEN!!)'!K5</f>
        <v>#DIV/0!</v>
      </c>
      <c r="I4" s="71" t="e">
        <f>'Data (NIET BEWERKEN!!)'!L5</f>
        <v>#DIV/0!</v>
      </c>
      <c r="J4" s="71" t="e">
        <f>'Data (NIET BEWERKEN!!)'!M5</f>
        <v>#DIV/0!</v>
      </c>
      <c r="K4" s="71" t="e">
        <f>'Data (NIET BEWERKEN!!)'!N5</f>
        <v>#DIV/0!</v>
      </c>
      <c r="L4" s="72" t="e">
        <f>'Data (NIET BEWERKEN!!)'!O5</f>
        <v>#DIV/0!</v>
      </c>
      <c r="M4" s="70" t="e">
        <f>'Data (NIET BEWERKEN!!)'!P5</f>
        <v>#DIV/0!</v>
      </c>
      <c r="N4" s="71" t="e">
        <f>'Data (NIET BEWERKEN!!)'!Q5</f>
        <v>#DIV/0!</v>
      </c>
      <c r="O4" s="71" t="e">
        <f>'Data (NIET BEWERKEN!!)'!R5</f>
        <v>#DIV/0!</v>
      </c>
      <c r="P4" s="71" t="e">
        <f>'Data (NIET BEWERKEN!!)'!S5</f>
        <v>#DIV/0!</v>
      </c>
      <c r="Q4" s="71" t="e">
        <f>'Data (NIET BEWERKEN!!)'!T5</f>
        <v>#DIV/0!</v>
      </c>
      <c r="R4" s="70" t="e">
        <f>'Data (NIET BEWERKEN!!)'!U5</f>
        <v>#DIV/0!</v>
      </c>
      <c r="S4" s="71" t="e">
        <f>'Data (NIET BEWERKEN!!)'!V5</f>
        <v>#DIV/0!</v>
      </c>
      <c r="T4" s="71" t="e">
        <f>'Data (NIET BEWERKEN!!)'!W5</f>
        <v>#DIV/0!</v>
      </c>
      <c r="U4" s="71" t="e">
        <f>'Data (NIET BEWERKEN!!)'!X5</f>
        <v>#DIV/0!</v>
      </c>
      <c r="V4" s="72" t="e">
        <f>'Data (NIET BEWERKEN!!)'!Y5</f>
        <v>#DIV/0!</v>
      </c>
      <c r="W4" s="70" t="e">
        <f>'Data (NIET BEWERKEN!!)'!Z5</f>
        <v>#DIV/0!</v>
      </c>
      <c r="X4" s="71" t="e">
        <f>'Data (NIET BEWERKEN!!)'!AA5</f>
        <v>#DIV/0!</v>
      </c>
      <c r="Y4" s="71" t="e">
        <f>'Data (NIET BEWERKEN!!)'!AB5</f>
        <v>#DIV/0!</v>
      </c>
      <c r="Z4" s="71" t="e">
        <f>'Data (NIET BEWERKEN!!)'!AC5</f>
        <v>#DIV/0!</v>
      </c>
      <c r="AA4" s="73" t="e">
        <f>'Data (NIET BEWERKEN!!)'!AD5</f>
        <v>#DIV/0!</v>
      </c>
      <c r="AB4" s="70" t="e">
        <f>'Data (NIET BEWERKEN!!)'!AE5</f>
        <v>#DIV/0!</v>
      </c>
      <c r="AC4" s="71" t="e">
        <f>'Data (NIET BEWERKEN!!)'!AF5</f>
        <v>#DIV/0!</v>
      </c>
      <c r="AD4" s="71" t="e">
        <f>'Data (NIET BEWERKEN!!)'!AG5</f>
        <v>#DIV/0!</v>
      </c>
      <c r="AE4" s="71" t="e">
        <f>'Data (NIET BEWERKEN!!)'!AH5</f>
        <v>#DIV/0!</v>
      </c>
      <c r="AF4" s="73" t="e">
        <f>'Data (NIET BEWERKEN!!)'!AI5</f>
        <v>#DIV/0!</v>
      </c>
    </row>
    <row r="5" spans="1:32" ht="15.75" thickBot="1" x14ac:dyDescent="0.3">
      <c r="A5" s="74" t="s">
        <v>230</v>
      </c>
      <c r="B5" s="75"/>
      <c r="C5" s="76"/>
      <c r="D5" s="76"/>
      <c r="E5" s="76"/>
      <c r="F5" s="76"/>
      <c r="G5" s="77" t="e">
        <f>AVERAGE(B4:G4)</f>
        <v>#DIV/0!</v>
      </c>
      <c r="H5" s="75"/>
      <c r="I5" s="76"/>
      <c r="J5" s="76"/>
      <c r="K5" s="76"/>
      <c r="L5" s="83" t="e">
        <f>AVERAGE(H4:L4)</f>
        <v>#DIV/0!</v>
      </c>
      <c r="M5" s="75"/>
      <c r="N5" s="76"/>
      <c r="O5" s="76"/>
      <c r="P5" s="76"/>
      <c r="Q5" s="77" t="e">
        <f>AVERAGE(M4:Q4)</f>
        <v>#DIV/0!</v>
      </c>
      <c r="R5" s="75"/>
      <c r="S5" s="76"/>
      <c r="T5" s="76"/>
      <c r="U5" s="76"/>
      <c r="V5" s="77" t="e">
        <f>AVERAGE(R4:V4)</f>
        <v>#DIV/0!</v>
      </c>
      <c r="W5" s="75"/>
      <c r="X5" s="76"/>
      <c r="Y5" s="76"/>
      <c r="Z5" s="76"/>
      <c r="AA5" s="77" t="e">
        <f>AVERAGE(W4:AA4)</f>
        <v>#DIV/0!</v>
      </c>
      <c r="AB5" s="75"/>
      <c r="AC5" s="76"/>
      <c r="AD5" s="76"/>
      <c r="AE5" s="76"/>
      <c r="AF5" s="77" t="e">
        <f>AVERAGE(AB4:AF4)</f>
        <v>#DIV/0!</v>
      </c>
    </row>
    <row r="6" spans="1:32" x14ac:dyDescent="0.25">
      <c r="A6" s="78"/>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row>
    <row r="7" spans="1:32" x14ac:dyDescent="0.25">
      <c r="A7" s="80" t="s">
        <v>231</v>
      </c>
      <c r="B7" s="70">
        <f>'Data (NIET BEWERKEN!!)'!E18</f>
        <v>4</v>
      </c>
      <c r="C7" s="71" t="e">
        <f>'Data (NIET BEWERKEN!!)'!F18</f>
        <v>#DIV/0!</v>
      </c>
      <c r="D7" s="71" t="e">
        <f>'Data (NIET BEWERKEN!!)'!G18</f>
        <v>#DIV/0!</v>
      </c>
      <c r="E7" s="71" t="e">
        <f>'Data (NIET BEWERKEN!!)'!H18</f>
        <v>#DIV/0!</v>
      </c>
      <c r="F7" s="72" t="e">
        <f>'Data (NIET BEWERKEN!!)'!I18</f>
        <v>#DIV/0!</v>
      </c>
      <c r="G7" s="73" t="e">
        <f>'Data (NIET BEWERKEN!!)'!J18</f>
        <v>#DIV/0!</v>
      </c>
      <c r="H7" s="70" t="e">
        <f>'Data (NIET BEWERKEN!!)'!K18</f>
        <v>#DIV/0!</v>
      </c>
      <c r="I7" s="71" t="e">
        <f>'Data (NIET BEWERKEN!!)'!L18</f>
        <v>#DIV/0!</v>
      </c>
      <c r="J7" s="71" t="e">
        <f>'Data (NIET BEWERKEN!!)'!M18</f>
        <v>#DIV/0!</v>
      </c>
      <c r="K7" s="71" t="e">
        <f>'Data (NIET BEWERKEN!!)'!N18</f>
        <v>#DIV/0!</v>
      </c>
      <c r="L7" s="72" t="e">
        <f>'Data (NIET BEWERKEN!!)'!O18</f>
        <v>#DIV/0!</v>
      </c>
      <c r="M7" s="70" t="e">
        <f>'Data (NIET BEWERKEN!!)'!P18</f>
        <v>#DIV/0!</v>
      </c>
      <c r="N7" s="71" t="e">
        <f>'Data (NIET BEWERKEN!!)'!Q18</f>
        <v>#DIV/0!</v>
      </c>
      <c r="O7" s="71" t="e">
        <f>'Data (NIET BEWERKEN!!)'!R18</f>
        <v>#DIV/0!</v>
      </c>
      <c r="P7" s="71" t="e">
        <f>'Data (NIET BEWERKEN!!)'!S18</f>
        <v>#DIV/0!</v>
      </c>
      <c r="Q7" s="71" t="e">
        <f>'Data (NIET BEWERKEN!!)'!T18</f>
        <v>#DIV/0!</v>
      </c>
      <c r="R7" s="70" t="e">
        <f>'Data (NIET BEWERKEN!!)'!U18</f>
        <v>#DIV/0!</v>
      </c>
      <c r="S7" s="71" t="e">
        <f>'Data (NIET BEWERKEN!!)'!V18</f>
        <v>#DIV/0!</v>
      </c>
      <c r="T7" s="71" t="e">
        <f>'Data (NIET BEWERKEN!!)'!W18</f>
        <v>#DIV/0!</v>
      </c>
      <c r="U7" s="71" t="e">
        <f>'Data (NIET BEWERKEN!!)'!X18</f>
        <v>#DIV/0!</v>
      </c>
      <c r="V7" s="71" t="e">
        <f>'Data (NIET BEWERKEN!!)'!Y18</f>
        <v>#DIV/0!</v>
      </c>
      <c r="W7" s="70" t="e">
        <f>'Data (NIET BEWERKEN!!)'!Z18</f>
        <v>#DIV/0!</v>
      </c>
      <c r="X7" s="71" t="e">
        <f>'Data (NIET BEWERKEN!!)'!AA18</f>
        <v>#DIV/0!</v>
      </c>
      <c r="Y7" s="71" t="e">
        <f>'Data (NIET BEWERKEN!!)'!AB18</f>
        <v>#DIV/0!</v>
      </c>
      <c r="Z7" s="71" t="e">
        <f>'Data (NIET BEWERKEN!!)'!AC18</f>
        <v>#DIV/0!</v>
      </c>
      <c r="AA7" s="73" t="e">
        <f>'Data (NIET BEWERKEN!!)'!AD18</f>
        <v>#DIV/0!</v>
      </c>
      <c r="AB7" s="70" t="e">
        <f>'Data (NIET BEWERKEN!!)'!AE18</f>
        <v>#DIV/0!</v>
      </c>
      <c r="AC7" s="71" t="e">
        <f>'Data (NIET BEWERKEN!!)'!AF18</f>
        <v>#DIV/0!</v>
      </c>
      <c r="AD7" s="71" t="e">
        <f>'Data (NIET BEWERKEN!!)'!AG18</f>
        <v>#DIV/0!</v>
      </c>
      <c r="AE7" s="71" t="e">
        <f>'Data (NIET BEWERKEN!!)'!AH18</f>
        <v>#DIV/0!</v>
      </c>
      <c r="AF7" s="73" t="e">
        <f>'Data (NIET BEWERKEN!!)'!AI18</f>
        <v>#DIV/0!</v>
      </c>
    </row>
    <row r="8" spans="1:32" ht="15.75" thickBot="1" x14ac:dyDescent="0.3">
      <c r="A8" s="81" t="s">
        <v>230</v>
      </c>
      <c r="B8" s="82"/>
      <c r="C8" s="83"/>
      <c r="D8" s="83"/>
      <c r="E8" s="83"/>
      <c r="F8" s="83"/>
      <c r="G8" s="77" t="e">
        <f>AVERAGE(B7:G7)</f>
        <v>#DIV/0!</v>
      </c>
      <c r="H8" s="82"/>
      <c r="I8" s="83"/>
      <c r="J8" s="83"/>
      <c r="K8" s="83"/>
      <c r="L8" s="77" t="e">
        <f>AVERAGE(H7:L7)</f>
        <v>#DIV/0!</v>
      </c>
      <c r="M8" s="82"/>
      <c r="N8" s="83"/>
      <c r="O8" s="83"/>
      <c r="P8" s="83"/>
      <c r="Q8" s="77" t="e">
        <f>AVERAGE(M7:Q7)</f>
        <v>#DIV/0!</v>
      </c>
      <c r="R8" s="82"/>
      <c r="S8" s="83"/>
      <c r="T8" s="83"/>
      <c r="U8" s="83"/>
      <c r="V8" s="83" t="e">
        <f>AVERAGE(R7:V7)</f>
        <v>#DIV/0!</v>
      </c>
      <c r="W8" s="82"/>
      <c r="X8" s="83"/>
      <c r="Y8" s="83"/>
      <c r="Z8" s="83"/>
      <c r="AA8" s="77" t="e">
        <f>AVERAGE(W7:AA7)</f>
        <v>#DIV/0!</v>
      </c>
      <c r="AB8" s="82"/>
      <c r="AC8" s="83"/>
      <c r="AD8" s="83"/>
      <c r="AE8" s="83"/>
      <c r="AF8" s="77" t="e">
        <f>AVERAGE(AB7:AF7)</f>
        <v>#DIV/0!</v>
      </c>
    </row>
  </sheetData>
  <conditionalFormatting sqref="B4:AA4">
    <cfRule type="colorScale" priority="25">
      <colorScale>
        <cfvo type="min"/>
        <cfvo type="percentile" val="50"/>
        <cfvo type="max"/>
        <color rgb="FFF8696B"/>
        <color rgb="FFFFEB84"/>
        <color rgb="FF63BE7B"/>
      </colorScale>
    </cfRule>
  </conditionalFormatting>
  <conditionalFormatting sqref="L5 AA5 Q5 G5">
    <cfRule type="colorScale" priority="10">
      <colorScale>
        <cfvo type="min"/>
        <cfvo type="percentile" val="50"/>
        <cfvo type="max"/>
        <color rgb="FFF8696B"/>
        <color rgb="FFFFEB84"/>
        <color rgb="FF63BE7B"/>
      </colorScale>
    </cfRule>
  </conditionalFormatting>
  <conditionalFormatting sqref="V5">
    <cfRule type="colorScale" priority="1">
      <colorScale>
        <cfvo type="min"/>
        <cfvo type="percentile" val="50"/>
        <cfvo type="max"/>
        <color rgb="FFF8696B"/>
        <color rgb="FFFFEB84"/>
        <color rgb="FF63BE7B"/>
      </colorScale>
    </cfRule>
  </conditionalFormatting>
  <conditionalFormatting sqref="AB4:AF4">
    <cfRule type="colorScale" priority="15">
      <colorScale>
        <cfvo type="min"/>
        <cfvo type="percentile" val="50"/>
        <cfvo type="max"/>
        <color rgb="FFF8696B"/>
        <color rgb="FFFFEB84"/>
        <color rgb="FF63BE7B"/>
      </colorScale>
    </cfRule>
  </conditionalFormatting>
  <conditionalFormatting sqref="AF5">
    <cfRule type="colorScale" priority="1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Create a new document." ma:contentTypeScope="" ma:versionID="06e8368c9e0cd5b7ab99b2732ac56e6f">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64facee55664a1f64dc35163d68f6f36"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4CC231-19F3-4B8F-B140-E62B6F94E8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895a4-109c-4734-9b5c-08e0b57b8d04"/>
    <ds:schemaRef ds:uri="9b040ff4-24fd-4220-8396-ee1f6ad499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45B4F2-3B30-4162-9FB0-76A0A8117CF5}">
  <ds:schemaRefs>
    <ds:schemaRef ds:uri="http://purl.org/dc/terms/"/>
    <ds:schemaRef ds:uri="http://purl.org/dc/elements/1.1/"/>
    <ds:schemaRef ds:uri="http://www.w3.org/XML/1998/namespace"/>
    <ds:schemaRef ds:uri="http://schemas.microsoft.com/office/2006/metadata/properties"/>
    <ds:schemaRef ds:uri="9b040ff4-24fd-4220-8396-ee1f6ad4992d"/>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0b4895a4-109c-4734-9b5c-08e0b57b8d04"/>
  </ds:schemaRefs>
</ds:datastoreItem>
</file>

<file path=customXml/itemProps3.xml><?xml version="1.0" encoding="utf-8"?>
<ds:datastoreItem xmlns:ds="http://schemas.openxmlformats.org/officeDocument/2006/customXml" ds:itemID="{B931CFB9-F32C-49D5-B8D0-53B29C3656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4</vt:i4>
      </vt:variant>
      <vt:variant>
        <vt:lpstr>Benoemde bereiken</vt:lpstr>
      </vt:variant>
      <vt:variant>
        <vt:i4>1</vt:i4>
      </vt:variant>
    </vt:vector>
  </HeadingPairs>
  <TitlesOfParts>
    <vt:vector size="5" baseType="lpstr">
      <vt:lpstr>Theorie</vt:lpstr>
      <vt:lpstr>Vragenlijst</vt:lpstr>
      <vt:lpstr>Data (NIET BEWERKEN!!)</vt:lpstr>
      <vt:lpstr>Uitwerking (NIET BEWERKEN!!)</vt:lpstr>
      <vt:lpstr>Vragenlijst!Afdrukbereik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Eiske Jensma – Van der Lei</cp:lastModifiedBy>
  <cp:revision/>
  <dcterms:created xsi:type="dcterms:W3CDTF">2020-11-26T09:31:06Z</dcterms:created>
  <dcterms:modified xsi:type="dcterms:W3CDTF">2024-03-26T12:16:14Z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45359100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