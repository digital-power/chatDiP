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2"/>
  <workbookPr defaultThemeVersion="166925"/>
  <mc:AlternateContent xmlns:mc="http://schemas.openxmlformats.org/markup-compatibility/2006">
    <mc:Choice Requires="x15">
      <x15ac:absPath xmlns:x15ac="http://schemas.microsoft.com/office/spreadsheetml/2010/11/ac" url="https://digitalpower.sharepoint.com/sites/Organisatie/Gedeelde documenten/Development/Competence assessment/"/>
    </mc:Choice>
  </mc:AlternateContent>
  <xr:revisionPtr revIDLastSave="597" documentId="13_ncr:1_{E1273607-10EC-4A07-B38A-0757C8F3658B}" xr6:coauthVersionLast="47" xr6:coauthVersionMax="47" xr10:uidLastSave="{A16B8F2F-DCB6-4B17-B8CE-6BB5CBED7FE9}"/>
  <bookViews>
    <workbookView xWindow="2580" yWindow="-16320" windowWidth="29040" windowHeight="15720" firstSheet="3" xr2:uid="{1F9F934B-3F76-4FFB-9890-B75BF435F439}"/>
  </bookViews>
  <sheets>
    <sheet name="Theory" sheetId="4" r:id="rId1"/>
    <sheet name="Questions" sheetId="1" r:id="rId2"/>
    <sheet name="Data (DO NOT EDIT!!)" sheetId="3" r:id="rId3"/>
    <sheet name="Results (DO NOT EDIT!!)" sheetId="2" r:id="rId4"/>
  </sheets>
  <definedNames>
    <definedName name="_xlnm.Print_Area" localSheetId="1">Questions!$B$29:$E$121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6" i="3" l="1"/>
  <c r="K2" i="2"/>
  <c r="P4" i="2"/>
  <c r="CB19" i="3"/>
  <c r="CA19" i="3"/>
  <c r="BZ19" i="3"/>
  <c r="BY19" i="3"/>
  <c r="BX19" i="3"/>
  <c r="BW19" i="3"/>
  <c r="BV19" i="3"/>
  <c r="BU19" i="3"/>
  <c r="BT19" i="3"/>
  <c r="BS19" i="3"/>
  <c r="BR19" i="3"/>
  <c r="BQ19" i="3"/>
  <c r="BP19" i="3"/>
  <c r="BO19" i="3"/>
  <c r="BN19" i="3"/>
  <c r="BM19" i="3"/>
  <c r="BL19" i="3"/>
  <c r="BK19" i="3"/>
  <c r="BJ19" i="3"/>
  <c r="BI19" i="3"/>
  <c r="BH19" i="3"/>
  <c r="BG19" i="3"/>
  <c r="BF19" i="3"/>
  <c r="BE19" i="3"/>
  <c r="BD19" i="3"/>
  <c r="BC19" i="3"/>
  <c r="AV19" i="3"/>
  <c r="AQ19" i="3"/>
  <c r="AM19" i="3"/>
  <c r="AL19" i="3"/>
  <c r="AK19" i="3"/>
  <c r="AJ19" i="3"/>
  <c r="AI19" i="3"/>
  <c r="AH19" i="3"/>
  <c r="AG19" i="3"/>
  <c r="AF19" i="3"/>
  <c r="AE19" i="3"/>
  <c r="AD19" i="3"/>
  <c r="AC19" i="3"/>
  <c r="AB19" i="3"/>
  <c r="AA19" i="3"/>
  <c r="Z19" i="3"/>
  <c r="Y19" i="3"/>
  <c r="X19" i="3"/>
  <c r="W19" i="3"/>
  <c r="V19" i="3"/>
  <c r="U19" i="3"/>
  <c r="T19" i="3"/>
  <c r="S19" i="3"/>
  <c r="R19" i="3"/>
  <c r="Q19" i="3"/>
  <c r="P19" i="3"/>
  <c r="K19" i="3"/>
  <c r="J19" i="3"/>
  <c r="I19" i="3"/>
  <c r="H19" i="3"/>
  <c r="G19" i="3"/>
  <c r="F19" i="3"/>
  <c r="E19" i="3"/>
  <c r="O2" i="2" l="1"/>
  <c r="P2" i="2"/>
  <c r="O4" i="2"/>
  <c r="P5" i="2"/>
  <c r="CB5" i="2"/>
  <c r="CA5" i="2"/>
  <c r="BZ5" i="2"/>
  <c r="BY5" i="2"/>
  <c r="BX5" i="2"/>
  <c r="BW5" i="2"/>
  <c r="BV5" i="2"/>
  <c r="BU5" i="2"/>
  <c r="BT5" i="2"/>
  <c r="BS5" i="2"/>
  <c r="BR5" i="2"/>
  <c r="BQ5" i="2"/>
  <c r="BP5" i="2"/>
  <c r="BO5" i="2"/>
  <c r="BN5" i="2"/>
  <c r="BM5" i="2"/>
  <c r="BL5" i="2"/>
  <c r="BK5" i="2"/>
  <c r="BJ5" i="2"/>
  <c r="BI5" i="2"/>
  <c r="BH5" i="2"/>
  <c r="BG5" i="2"/>
  <c r="BF5" i="2"/>
  <c r="BE5" i="2"/>
  <c r="BD5" i="2"/>
  <c r="BC5" i="2"/>
  <c r="AV5" i="2"/>
  <c r="AQ5" i="2"/>
  <c r="AM5" i="2"/>
  <c r="AL5" i="2"/>
  <c r="AK5" i="2"/>
  <c r="AJ5" i="2"/>
  <c r="AI5" i="2"/>
  <c r="AH5" i="2"/>
  <c r="AG5" i="2"/>
  <c r="AF5" i="2"/>
  <c r="AE5" i="2"/>
  <c r="AD5" i="2"/>
  <c r="AC5" i="2"/>
  <c r="AB5" i="2"/>
  <c r="AA5" i="2"/>
  <c r="Z5" i="2"/>
  <c r="Y5" i="2"/>
  <c r="X5" i="2"/>
  <c r="W5" i="2"/>
  <c r="V5" i="2"/>
  <c r="U5" i="2"/>
  <c r="T5" i="2"/>
  <c r="S5" i="2"/>
  <c r="R5" i="2"/>
  <c r="Q5" i="2"/>
  <c r="K5" i="2"/>
  <c r="J5" i="2"/>
  <c r="I5" i="2"/>
  <c r="H5" i="2"/>
  <c r="G5" i="2"/>
  <c r="F5" i="2"/>
  <c r="E5" i="2"/>
  <c r="AW3" i="3"/>
  <c r="AX3" i="3"/>
  <c r="AV3" i="3"/>
  <c r="AR3" i="3"/>
  <c r="AS3" i="3"/>
  <c r="AT3" i="3"/>
  <c r="AU3" i="3"/>
  <c r="AQ3" i="3"/>
  <c r="AN3" i="3"/>
  <c r="AO3" i="3"/>
  <c r="AP3" i="3"/>
  <c r="AJ3" i="3"/>
  <c r="AK3" i="3"/>
  <c r="AL3" i="3"/>
  <c r="AM3" i="3"/>
  <c r="AI3" i="3"/>
  <c r="AE3" i="3"/>
  <c r="AF3" i="3"/>
  <c r="AG3" i="3"/>
  <c r="AH3" i="3"/>
  <c r="AD3" i="3"/>
  <c r="Z3" i="3"/>
  <c r="AA3" i="3"/>
  <c r="AB3" i="3"/>
  <c r="AC3" i="3"/>
  <c r="Y3" i="3"/>
  <c r="U3" i="3"/>
  <c r="V3" i="3"/>
  <c r="W3" i="3"/>
  <c r="X3" i="3"/>
  <c r="T3" i="3"/>
  <c r="Q3" i="3"/>
  <c r="R3" i="3"/>
  <c r="S3" i="3"/>
  <c r="P3" i="3"/>
  <c r="L3" i="3"/>
  <c r="M3" i="3"/>
  <c r="N3" i="3"/>
  <c r="O3" i="3"/>
  <c r="CB4" i="2" l="1"/>
  <c r="CA4" i="2"/>
  <c r="BZ4" i="2"/>
  <c r="BY4" i="2"/>
  <c r="BX4" i="2"/>
  <c r="BW4" i="2"/>
  <c r="BV4" i="2"/>
  <c r="BU4" i="2"/>
  <c r="BT4" i="2"/>
  <c r="BS4" i="2"/>
  <c r="BR4" i="2"/>
  <c r="BQ4" i="2"/>
  <c r="BP4" i="2"/>
  <c r="BO4" i="2"/>
  <c r="BN4" i="2"/>
  <c r="CB2" i="2"/>
  <c r="CA2" i="2"/>
  <c r="BZ2" i="2"/>
  <c r="BY2" i="2"/>
  <c r="BX2" i="2"/>
  <c r="BW2" i="2"/>
  <c r="BV2" i="2"/>
  <c r="BU2" i="2"/>
  <c r="BT2" i="2"/>
  <c r="BS2" i="2"/>
  <c r="BR2" i="2"/>
  <c r="BQ2" i="2"/>
  <c r="BP2" i="2"/>
  <c r="BO2" i="2"/>
  <c r="BN2" i="2"/>
  <c r="BM2" i="2"/>
  <c r="BL2" i="2"/>
  <c r="BK2" i="2"/>
  <c r="BJ2" i="2"/>
  <c r="BI2" i="2"/>
  <c r="BH2" i="2"/>
  <c r="BG2" i="2"/>
  <c r="BF2" i="2"/>
  <c r="BE2" i="2"/>
  <c r="BD2" i="2"/>
  <c r="BC2" i="2"/>
  <c r="BB2" i="2"/>
  <c r="BA2" i="2"/>
  <c r="AZ2" i="2"/>
  <c r="AY2" i="2"/>
  <c r="L2" i="2" l="1"/>
  <c r="M2" i="2"/>
  <c r="N2" i="2"/>
  <c r="Q2" i="2"/>
  <c r="R2" i="2"/>
  <c r="S2" i="2"/>
  <c r="T2" i="2"/>
  <c r="U2" i="2"/>
  <c r="V2" i="2"/>
  <c r="W2" i="2"/>
  <c r="X2" i="2"/>
  <c r="Y2" i="2"/>
  <c r="Z2" i="2"/>
  <c r="AA2" i="2"/>
  <c r="AB2" i="2"/>
  <c r="AC2" i="2"/>
  <c r="AD2" i="2"/>
  <c r="AE2" i="2"/>
  <c r="AF2" i="2"/>
  <c r="AG2" i="2"/>
  <c r="AH2" i="2"/>
  <c r="AI2" i="2"/>
  <c r="AJ2" i="2"/>
  <c r="AK2" i="2"/>
  <c r="AL2" i="2"/>
  <c r="AM2" i="2"/>
  <c r="AN2" i="2"/>
  <c r="AO2" i="2"/>
  <c r="AP2" i="2"/>
  <c r="AQ2" i="2"/>
  <c r="AR2" i="2"/>
  <c r="AS2" i="2"/>
  <c r="AT2" i="2"/>
  <c r="AU2" i="2"/>
  <c r="AV2" i="2"/>
  <c r="AW2" i="2"/>
  <c r="E32" i="3" l="1"/>
  <c r="F32" i="3"/>
  <c r="G32" i="3"/>
  <c r="H32" i="3"/>
  <c r="I32" i="3"/>
  <c r="J32" i="3"/>
  <c r="E34" i="3"/>
  <c r="F34" i="3"/>
  <c r="G34" i="3"/>
  <c r="H34" i="3"/>
  <c r="I34" i="3"/>
  <c r="J34" i="3"/>
  <c r="F36" i="3"/>
  <c r="G36" i="3"/>
  <c r="H36" i="3"/>
  <c r="I36" i="3"/>
  <c r="J36" i="3"/>
  <c r="CB20" i="3"/>
  <c r="CB11" i="2" s="1"/>
  <c r="CA20" i="3"/>
  <c r="CA11" i="2" s="1"/>
  <c r="BZ20" i="3"/>
  <c r="BZ11" i="2" s="1"/>
  <c r="BY20" i="3"/>
  <c r="BY11" i="2" s="1"/>
  <c r="BX20" i="3"/>
  <c r="BX11" i="2" s="1"/>
  <c r="BW20" i="3"/>
  <c r="BW11" i="2" s="1"/>
  <c r="BV20" i="3"/>
  <c r="BV11" i="2" s="1"/>
  <c r="BU20" i="3"/>
  <c r="BU11" i="2" s="1"/>
  <c r="BT20" i="3"/>
  <c r="BT11" i="2" s="1"/>
  <c r="BS20" i="3"/>
  <c r="BS11" i="2" s="1"/>
  <c r="BR20" i="3"/>
  <c r="BR11" i="2" s="1"/>
  <c r="BQ20" i="3"/>
  <c r="BQ11" i="2" s="1"/>
  <c r="BP20" i="3"/>
  <c r="BP11" i="2" s="1"/>
  <c r="BO20" i="3"/>
  <c r="BO11" i="2" s="1"/>
  <c r="BN20" i="3"/>
  <c r="BN11" i="2" s="1"/>
  <c r="BM20" i="3"/>
  <c r="BM11" i="2" s="1"/>
  <c r="BL20" i="3"/>
  <c r="BL11" i="2" s="1"/>
  <c r="BK20" i="3"/>
  <c r="BK11" i="2" s="1"/>
  <c r="BJ20" i="3"/>
  <c r="BJ11" i="2" s="1"/>
  <c r="BI20" i="3"/>
  <c r="BI11" i="2" s="1"/>
  <c r="BH20" i="3"/>
  <c r="BH11" i="2" s="1"/>
  <c r="BG20" i="3"/>
  <c r="BG11" i="2" s="1"/>
  <c r="BF20" i="3"/>
  <c r="BF11" i="2" s="1"/>
  <c r="BE20" i="3"/>
  <c r="BE11" i="2" s="1"/>
  <c r="BD20" i="3"/>
  <c r="BD11" i="2" s="1"/>
  <c r="BC20" i="3"/>
  <c r="BC11" i="2" s="1"/>
  <c r="BB20" i="3"/>
  <c r="BB11" i="2" s="1"/>
  <c r="BA20" i="3"/>
  <c r="BA11" i="2" s="1"/>
  <c r="AZ20" i="3"/>
  <c r="AZ11" i="2" s="1"/>
  <c r="AY20" i="3"/>
  <c r="AY11" i="2" s="1"/>
  <c r="AX20" i="3"/>
  <c r="AX11" i="2" s="1"/>
  <c r="AW20" i="3"/>
  <c r="AW11" i="2" s="1"/>
  <c r="AV20" i="3"/>
  <c r="AV11" i="2" s="1"/>
  <c r="AU20" i="3"/>
  <c r="AU11" i="2" s="1"/>
  <c r="AT20" i="3"/>
  <c r="AT11" i="2" s="1"/>
  <c r="AS20" i="3"/>
  <c r="AS11" i="2" s="1"/>
  <c r="AR20" i="3"/>
  <c r="AR11" i="2" s="1"/>
  <c r="AQ20" i="3"/>
  <c r="AQ11" i="2" s="1"/>
  <c r="AP20" i="3"/>
  <c r="AP11" i="2" s="1"/>
  <c r="AO20" i="3"/>
  <c r="AO11" i="2" s="1"/>
  <c r="AN20" i="3"/>
  <c r="AN11" i="2" s="1"/>
  <c r="AM20" i="3"/>
  <c r="AM11" i="2" s="1"/>
  <c r="AL20" i="3"/>
  <c r="AL11" i="2" s="1"/>
  <c r="AK20" i="3"/>
  <c r="AK11" i="2" s="1"/>
  <c r="AJ20" i="3"/>
  <c r="AJ11" i="2" s="1"/>
  <c r="AI20" i="3"/>
  <c r="AI11" i="2" s="1"/>
  <c r="AH20" i="3"/>
  <c r="AH11" i="2" s="1"/>
  <c r="AG20" i="3"/>
  <c r="AG11" i="2" s="1"/>
  <c r="AF20" i="3"/>
  <c r="AF11" i="2" s="1"/>
  <c r="AE20" i="3"/>
  <c r="AE11" i="2" s="1"/>
  <c r="AD20" i="3"/>
  <c r="AD11" i="2" s="1"/>
  <c r="AC20" i="3"/>
  <c r="AC11" i="2" s="1"/>
  <c r="AB20" i="3"/>
  <c r="AB11" i="2" s="1"/>
  <c r="AA20" i="3"/>
  <c r="AA11" i="2" s="1"/>
  <c r="Z20" i="3"/>
  <c r="Z11" i="2" s="1"/>
  <c r="Y20" i="3"/>
  <c r="Y11" i="2" s="1"/>
  <c r="X20" i="3"/>
  <c r="X11" i="2" s="1"/>
  <c r="W20" i="3"/>
  <c r="W11" i="2" s="1"/>
  <c r="V20" i="3"/>
  <c r="V11" i="2" s="1"/>
  <c r="U20" i="3"/>
  <c r="U11" i="2" s="1"/>
  <c r="T20" i="3"/>
  <c r="T11" i="2" s="1"/>
  <c r="S20" i="3"/>
  <c r="S11" i="2" s="1"/>
  <c r="R20" i="3"/>
  <c r="R11" i="2" s="1"/>
  <c r="Q20" i="3"/>
  <c r="Q11" i="2" s="1"/>
  <c r="P20" i="3"/>
  <c r="P11" i="2" s="1"/>
  <c r="O20" i="3"/>
  <c r="O11" i="2" s="1"/>
  <c r="N20" i="3"/>
  <c r="N11" i="2" s="1"/>
  <c r="M20" i="3"/>
  <c r="M11" i="2" s="1"/>
  <c r="L20" i="3"/>
  <c r="L11" i="2" s="1"/>
  <c r="K20" i="3"/>
  <c r="CB7" i="3"/>
  <c r="CB7" i="2" s="1"/>
  <c r="CA7" i="3"/>
  <c r="CA7" i="2" s="1"/>
  <c r="BZ7" i="3"/>
  <c r="BZ7" i="2" s="1"/>
  <c r="BY7" i="3"/>
  <c r="BY7" i="2" s="1"/>
  <c r="BX7" i="3"/>
  <c r="BX7" i="2" s="1"/>
  <c r="BW7" i="3"/>
  <c r="BW7" i="2" s="1"/>
  <c r="BV7" i="3"/>
  <c r="BV7" i="2" s="1"/>
  <c r="BU7" i="3"/>
  <c r="BU7" i="2" s="1"/>
  <c r="BT7" i="3"/>
  <c r="BT7" i="2" s="1"/>
  <c r="BS7" i="3"/>
  <c r="BS7" i="2" s="1"/>
  <c r="BR7" i="3"/>
  <c r="BR7" i="2" s="1"/>
  <c r="BQ7" i="3"/>
  <c r="BQ7" i="2" s="1"/>
  <c r="BP7" i="3"/>
  <c r="BP7" i="2" s="1"/>
  <c r="BO7" i="3"/>
  <c r="BO7" i="2" s="1"/>
  <c r="BN7" i="3"/>
  <c r="BN7" i="2" s="1"/>
  <c r="BM7" i="3"/>
  <c r="BM7" i="2" s="1"/>
  <c r="BL7" i="3"/>
  <c r="BL7" i="2" s="1"/>
  <c r="BK7" i="3"/>
  <c r="BK7" i="2" s="1"/>
  <c r="BJ7" i="3"/>
  <c r="BJ7" i="2" s="1"/>
  <c r="BI7" i="3"/>
  <c r="BI7" i="2" s="1"/>
  <c r="BH7" i="3"/>
  <c r="BH7" i="2" s="1"/>
  <c r="BG7" i="3"/>
  <c r="BG7" i="2" s="1"/>
  <c r="BF7" i="3"/>
  <c r="BF7" i="2" s="1"/>
  <c r="BE7" i="3"/>
  <c r="BE7" i="2" s="1"/>
  <c r="BD7" i="3"/>
  <c r="BD7" i="2" s="1"/>
  <c r="BC7" i="3"/>
  <c r="BC7" i="2" s="1"/>
  <c r="BB7" i="3"/>
  <c r="BB7" i="2" s="1"/>
  <c r="BA7" i="3"/>
  <c r="BA7" i="2" s="1"/>
  <c r="AZ7" i="3"/>
  <c r="AZ7" i="2" s="1"/>
  <c r="AY7" i="3"/>
  <c r="AY7" i="2" s="1"/>
  <c r="AX7" i="3"/>
  <c r="AX7" i="2" s="1"/>
  <c r="AW7" i="3"/>
  <c r="AW7" i="2" s="1"/>
  <c r="AV7" i="3"/>
  <c r="AV7" i="2" s="1"/>
  <c r="AU7" i="3"/>
  <c r="AU7" i="2" s="1"/>
  <c r="AT7" i="3"/>
  <c r="AT7" i="2" s="1"/>
  <c r="AS7" i="3"/>
  <c r="AS7" i="2" s="1"/>
  <c r="AR7" i="3"/>
  <c r="AR7" i="2" s="1"/>
  <c r="AQ7" i="3"/>
  <c r="AQ7" i="2" s="1"/>
  <c r="AP7" i="3"/>
  <c r="AP7" i="2" s="1"/>
  <c r="AO7" i="3"/>
  <c r="AO7" i="2" s="1"/>
  <c r="AN7" i="3"/>
  <c r="AN7" i="2" s="1"/>
  <c r="AM7" i="3"/>
  <c r="AM7" i="2" s="1"/>
  <c r="AL7" i="3"/>
  <c r="AL7" i="2" s="1"/>
  <c r="AK7" i="3"/>
  <c r="AK7" i="2" s="1"/>
  <c r="AJ7" i="3"/>
  <c r="AJ7" i="2" s="1"/>
  <c r="AI7" i="3"/>
  <c r="AI7" i="2" s="1"/>
  <c r="AH7" i="3"/>
  <c r="AH7" i="2" s="1"/>
  <c r="AG7" i="3"/>
  <c r="AG7" i="2" s="1"/>
  <c r="AF7" i="3"/>
  <c r="AF7" i="2" s="1"/>
  <c r="AE7" i="3"/>
  <c r="AE7" i="2" s="1"/>
  <c r="AD7" i="3"/>
  <c r="AD7" i="2" s="1"/>
  <c r="AC7" i="3"/>
  <c r="AC7" i="2" s="1"/>
  <c r="AB7" i="3"/>
  <c r="AB7" i="2" s="1"/>
  <c r="AA7" i="3"/>
  <c r="AA7" i="2" s="1"/>
  <c r="Z7" i="3"/>
  <c r="Z7" i="2" s="1"/>
  <c r="Y7" i="3"/>
  <c r="Y7" i="2" s="1"/>
  <c r="X7" i="3"/>
  <c r="X7" i="2" s="1"/>
  <c r="W7" i="3"/>
  <c r="W7" i="2" s="1"/>
  <c r="V7" i="3"/>
  <c r="V7" i="2" s="1"/>
  <c r="U7" i="3"/>
  <c r="U7" i="2" s="1"/>
  <c r="T7" i="3"/>
  <c r="T7" i="2" s="1"/>
  <c r="S7" i="3"/>
  <c r="S7" i="2" s="1"/>
  <c r="R7" i="3"/>
  <c r="R7" i="2" s="1"/>
  <c r="Q7" i="3"/>
  <c r="Q7" i="2" s="1"/>
  <c r="P7" i="3"/>
  <c r="P7" i="2" s="1"/>
  <c r="O7" i="3"/>
  <c r="O7" i="2" s="1"/>
  <c r="N7" i="3"/>
  <c r="N7" i="2" s="1"/>
  <c r="M7" i="3"/>
  <c r="M7" i="2" s="1"/>
  <c r="L7" i="3"/>
  <c r="L7" i="2" s="1"/>
  <c r="K7" i="3"/>
  <c r="L34" i="3"/>
  <c r="M34" i="3"/>
  <c r="N34" i="3"/>
  <c r="O34" i="3"/>
  <c r="P34" i="3"/>
  <c r="Q34" i="3"/>
  <c r="R34" i="3"/>
  <c r="S34" i="3"/>
  <c r="T34" i="3"/>
  <c r="U34" i="3"/>
  <c r="V34" i="3"/>
  <c r="W34" i="3"/>
  <c r="X34" i="3"/>
  <c r="Y34" i="3"/>
  <c r="Z34" i="3"/>
  <c r="AA34" i="3"/>
  <c r="AB34" i="3"/>
  <c r="AC34" i="3"/>
  <c r="AD34" i="3"/>
  <c r="AE34" i="3"/>
  <c r="AF34" i="3"/>
  <c r="AG34" i="3"/>
  <c r="AH34" i="3"/>
  <c r="AI34" i="3"/>
  <c r="AJ34" i="3"/>
  <c r="AK34" i="3"/>
  <c r="AL34" i="3"/>
  <c r="AM34" i="3"/>
  <c r="AN34" i="3"/>
  <c r="AO34" i="3"/>
  <c r="AP34" i="3"/>
  <c r="AQ34" i="3"/>
  <c r="AR34" i="3"/>
  <c r="AS34" i="3"/>
  <c r="AT34" i="3"/>
  <c r="AU34" i="3"/>
  <c r="AV34" i="3"/>
  <c r="AW34" i="3"/>
  <c r="AX34" i="3"/>
  <c r="AY34" i="3"/>
  <c r="BN34" i="3"/>
  <c r="BO34" i="3"/>
  <c r="BP34" i="3"/>
  <c r="BQ34" i="3"/>
  <c r="BR34" i="3"/>
  <c r="BS34" i="3"/>
  <c r="BT34" i="3"/>
  <c r="BU34" i="3"/>
  <c r="BV34" i="3"/>
  <c r="BW34" i="3"/>
  <c r="BX34" i="3"/>
  <c r="BY34" i="3"/>
  <c r="BZ34" i="3"/>
  <c r="CA34" i="3"/>
  <c r="CB34" i="3"/>
  <c r="L36" i="3"/>
  <c r="M36" i="3"/>
  <c r="N36" i="3"/>
  <c r="O36" i="3"/>
  <c r="P36" i="3"/>
  <c r="Q36" i="3"/>
  <c r="R36" i="3"/>
  <c r="S36" i="3"/>
  <c r="T36" i="3"/>
  <c r="U36" i="3"/>
  <c r="V36" i="3"/>
  <c r="W36" i="3"/>
  <c r="X36" i="3"/>
  <c r="Y36" i="3"/>
  <c r="Z36" i="3"/>
  <c r="AA36" i="3"/>
  <c r="AB36" i="3"/>
  <c r="AC36" i="3"/>
  <c r="AD36" i="3"/>
  <c r="AE36" i="3"/>
  <c r="AF36" i="3"/>
  <c r="AG36" i="3"/>
  <c r="AH36" i="3"/>
  <c r="AI36" i="3"/>
  <c r="AJ36" i="3"/>
  <c r="AK36" i="3"/>
  <c r="AL36" i="3"/>
  <c r="AM36" i="3"/>
  <c r="AN36" i="3"/>
  <c r="AO36" i="3"/>
  <c r="AP36" i="3"/>
  <c r="AQ36" i="3"/>
  <c r="AR36" i="3"/>
  <c r="AS36" i="3"/>
  <c r="AT36" i="3"/>
  <c r="AU36" i="3"/>
  <c r="AV36" i="3"/>
  <c r="AW36" i="3"/>
  <c r="AX36" i="3"/>
  <c r="AY36" i="3"/>
  <c r="BN36" i="3"/>
  <c r="BO36" i="3"/>
  <c r="BP36" i="3"/>
  <c r="BQ36" i="3"/>
  <c r="BR36" i="3"/>
  <c r="BS36" i="3"/>
  <c r="BT36" i="3"/>
  <c r="BU36" i="3"/>
  <c r="BV36" i="3"/>
  <c r="BW36" i="3"/>
  <c r="BX36" i="3"/>
  <c r="BY36" i="3"/>
  <c r="BZ36" i="3"/>
  <c r="CA36" i="3"/>
  <c r="CB36" i="3"/>
  <c r="K36" i="3"/>
  <c r="K34" i="3"/>
  <c r="AX4" i="2"/>
  <c r="AW4" i="2"/>
  <c r="AV4" i="2"/>
  <c r="AU4" i="2"/>
  <c r="AT4" i="2"/>
  <c r="AS4" i="2"/>
  <c r="AR4" i="2"/>
  <c r="AQ4" i="2"/>
  <c r="AP4" i="2"/>
  <c r="AO4" i="2"/>
  <c r="AN4" i="2"/>
  <c r="AM4" i="2"/>
  <c r="AL4" i="2"/>
  <c r="AK4" i="2"/>
  <c r="AJ4" i="2"/>
  <c r="AI4" i="2"/>
  <c r="AH4" i="2"/>
  <c r="AG4" i="2"/>
  <c r="AF4" i="2"/>
  <c r="AE4" i="2"/>
  <c r="AD4" i="2"/>
  <c r="AC4" i="2"/>
  <c r="AB4" i="2"/>
  <c r="AA4" i="2"/>
  <c r="Z4" i="2"/>
  <c r="Y4" i="2"/>
  <c r="X4" i="2"/>
  <c r="W4" i="2"/>
  <c r="V4" i="2"/>
  <c r="U4" i="2"/>
  <c r="T4" i="2"/>
  <c r="S4" i="2"/>
  <c r="R4" i="2"/>
  <c r="Q4" i="2"/>
  <c r="N4" i="2"/>
  <c r="M4" i="2"/>
  <c r="N32" i="3"/>
  <c r="O32" i="3"/>
  <c r="P32" i="3"/>
  <c r="Q32" i="3"/>
  <c r="R32" i="3"/>
  <c r="S32" i="3"/>
  <c r="T32" i="3"/>
  <c r="U32" i="3"/>
  <c r="V32" i="3"/>
  <c r="W32" i="3"/>
  <c r="X32" i="3"/>
  <c r="Y32" i="3"/>
  <c r="Z32" i="3"/>
  <c r="AA32" i="3"/>
  <c r="AB32" i="3"/>
  <c r="AC32" i="3"/>
  <c r="AD32" i="3"/>
  <c r="AE32" i="3"/>
  <c r="AF32" i="3"/>
  <c r="AG32" i="3"/>
  <c r="AH32" i="3"/>
  <c r="AI32" i="3"/>
  <c r="AJ32" i="3"/>
  <c r="AK32" i="3"/>
  <c r="AL32" i="3"/>
  <c r="AM32" i="3"/>
  <c r="AN32" i="3"/>
  <c r="AO32" i="3"/>
  <c r="AP32" i="3"/>
  <c r="AQ32" i="3"/>
  <c r="AR32" i="3"/>
  <c r="AS32" i="3"/>
  <c r="AT32" i="3"/>
  <c r="AU32" i="3"/>
  <c r="AV32" i="3"/>
  <c r="AW32" i="3"/>
  <c r="AX32" i="3"/>
  <c r="L4" i="2"/>
  <c r="K32" i="3"/>
  <c r="L5" i="3"/>
  <c r="L19" i="3" s="1"/>
  <c r="AY4" i="3"/>
  <c r="AY4" i="2" s="1"/>
  <c r="M5" i="3" l="1"/>
  <c r="M19" i="3" s="1"/>
  <c r="L5" i="2"/>
  <c r="BM13" i="2"/>
  <c r="AC8" i="2"/>
  <c r="AP12" i="2"/>
  <c r="AU12" i="2"/>
  <c r="BW13" i="2"/>
  <c r="CB13" i="2"/>
  <c r="AH8" i="2"/>
  <c r="AX8" i="2"/>
  <c r="S12" i="2"/>
  <c r="X12" i="2"/>
  <c r="AP8" i="2"/>
  <c r="AU8" i="2"/>
  <c r="AC12" i="2"/>
  <c r="S8" i="2"/>
  <c r="X8" i="2"/>
  <c r="AX12" i="2"/>
  <c r="AH12" i="2"/>
  <c r="BR9" i="2"/>
  <c r="BM9" i="2"/>
  <c r="BW9" i="2"/>
  <c r="BR13" i="2"/>
  <c r="CB9" i="2"/>
  <c r="BM4" i="3"/>
  <c r="BM4" i="2" s="1"/>
  <c r="BL4" i="3"/>
  <c r="BL4" i="2" s="1"/>
  <c r="BK4" i="3"/>
  <c r="BK4" i="2" s="1"/>
  <c r="BJ4" i="3"/>
  <c r="BJ4" i="2" s="1"/>
  <c r="BI4" i="3"/>
  <c r="BI4" i="2" s="1"/>
  <c r="BH4" i="3"/>
  <c r="BH4" i="2" s="1"/>
  <c r="BG4" i="3"/>
  <c r="BG4" i="2" s="1"/>
  <c r="BF4" i="3"/>
  <c r="BF4" i="2" s="1"/>
  <c r="BE4" i="3"/>
  <c r="BE4" i="2" s="1"/>
  <c r="BD4" i="3"/>
  <c r="BD4" i="2" s="1"/>
  <c r="BC4" i="3"/>
  <c r="BC4" i="2" s="1"/>
  <c r="BB4" i="3"/>
  <c r="BB4" i="2" s="1"/>
  <c r="BA4" i="3"/>
  <c r="BA4" i="2" s="1"/>
  <c r="AZ4" i="3"/>
  <c r="AZ4" i="2" s="1"/>
  <c r="AY32" i="3"/>
  <c r="BB5" i="3"/>
  <c r="BA5" i="3"/>
  <c r="AZ5" i="3"/>
  <c r="AY5" i="3"/>
  <c r="K11" i="2"/>
  <c r="O12" i="2" s="1"/>
  <c r="K7" i="2"/>
  <c r="O8" i="2" s="1"/>
  <c r="F20" i="3"/>
  <c r="F11" i="2" s="1"/>
  <c r="G20" i="3"/>
  <c r="G11" i="2" s="1"/>
  <c r="H20" i="3"/>
  <c r="H11" i="2" s="1"/>
  <c r="I20" i="3"/>
  <c r="I11" i="2" s="1"/>
  <c r="J20" i="3"/>
  <c r="J11" i="2" s="1"/>
  <c r="F7" i="3"/>
  <c r="F7" i="2" s="1"/>
  <c r="G7" i="3"/>
  <c r="G7" i="2" s="1"/>
  <c r="H7" i="3"/>
  <c r="H7" i="2" s="1"/>
  <c r="I7" i="3"/>
  <c r="I7" i="2" s="1"/>
  <c r="J7" i="3"/>
  <c r="J7" i="2" s="1"/>
  <c r="E20" i="3"/>
  <c r="E11" i="2" s="1"/>
  <c r="E7" i="3"/>
  <c r="E7" i="2" s="1"/>
  <c r="C29" i="3"/>
  <c r="C28" i="3"/>
  <c r="C27" i="3"/>
  <c r="C26" i="3"/>
  <c r="C25" i="3"/>
  <c r="C24" i="3"/>
  <c r="C23" i="3"/>
  <c r="C22" i="3"/>
  <c r="C21" i="3"/>
  <c r="C20" i="3"/>
  <c r="AY5" i="2" l="1"/>
  <c r="AY19" i="3"/>
  <c r="AZ5" i="2"/>
  <c r="AZ19" i="3"/>
  <c r="BB5" i="2"/>
  <c r="BB19" i="3"/>
  <c r="BA5" i="2"/>
  <c r="BA19" i="3"/>
  <c r="N5" i="3"/>
  <c r="N19" i="3" s="1"/>
  <c r="M5" i="2"/>
  <c r="AX13" i="2"/>
  <c r="AX9" i="2"/>
  <c r="AZ32" i="3"/>
  <c r="AZ34" i="3"/>
  <c r="AZ36" i="3"/>
  <c r="J9" i="2"/>
  <c r="J13" i="2"/>
  <c r="K4" i="2"/>
  <c r="J2" i="2"/>
  <c r="I2" i="2"/>
  <c r="H2" i="2"/>
  <c r="G2" i="2"/>
  <c r="F2" i="2"/>
  <c r="E2" i="2"/>
  <c r="A25" i="3"/>
  <c r="B25" i="3"/>
  <c r="D25" i="3"/>
  <c r="A26" i="3"/>
  <c r="B26" i="3"/>
  <c r="D26" i="3"/>
  <c r="A27" i="3"/>
  <c r="B27" i="3"/>
  <c r="D27" i="3"/>
  <c r="A28" i="3"/>
  <c r="B28" i="3"/>
  <c r="D28" i="3"/>
  <c r="A29" i="3"/>
  <c r="B29" i="3"/>
  <c r="D29" i="3"/>
  <c r="A24" i="3"/>
  <c r="B24" i="3"/>
  <c r="D24" i="3"/>
  <c r="O5" i="3" l="1"/>
  <c r="O19" i="3" s="1"/>
  <c r="N5" i="2"/>
  <c r="BA34" i="3"/>
  <c r="BA36" i="3"/>
  <c r="BA32" i="3"/>
  <c r="BB32" i="3"/>
  <c r="B21" i="3"/>
  <c r="D21" i="3"/>
  <c r="B22" i="3"/>
  <c r="D22" i="3"/>
  <c r="B23" i="3"/>
  <c r="D23" i="3"/>
  <c r="D20" i="3"/>
  <c r="B20" i="3"/>
  <c r="AN5" i="3" l="1"/>
  <c r="O5" i="2"/>
  <c r="BB36" i="3"/>
  <c r="BB34" i="3"/>
  <c r="A21" i="3"/>
  <c r="A22" i="3"/>
  <c r="A23" i="3"/>
  <c r="A20" i="3"/>
  <c r="AO5" i="3" l="1"/>
  <c r="AN19" i="3"/>
  <c r="AN5" i="2"/>
  <c r="BC36" i="3"/>
  <c r="BC34" i="3"/>
  <c r="BC32" i="3"/>
  <c r="AP5" i="3" l="1"/>
  <c r="AO19" i="3"/>
  <c r="AO5" i="2"/>
  <c r="BD34" i="3"/>
  <c r="BD36" i="3"/>
  <c r="BD32" i="3"/>
  <c r="AR5" i="3" l="1"/>
  <c r="AP19" i="3"/>
  <c r="AP5" i="2"/>
  <c r="BE34" i="3"/>
  <c r="BE36" i="3"/>
  <c r="BE32" i="3"/>
  <c r="AS5" i="3" l="1"/>
  <c r="AR19" i="3"/>
  <c r="AR5" i="2"/>
  <c r="BF36" i="3"/>
  <c r="BF34" i="3"/>
  <c r="BF32" i="3"/>
  <c r="AT5" i="3" l="1"/>
  <c r="AS19" i="3"/>
  <c r="AS5" i="2"/>
  <c r="BG36" i="3"/>
  <c r="BG34" i="3"/>
  <c r="BG32" i="3"/>
  <c r="AU5" i="3" l="1"/>
  <c r="AT19" i="3"/>
  <c r="AT5" i="2"/>
  <c r="BH34" i="3"/>
  <c r="BH36" i="3"/>
  <c r="BH32" i="3"/>
  <c r="AW5" i="3" l="1"/>
  <c r="AU19" i="3"/>
  <c r="AU5" i="2"/>
  <c r="BI34" i="3"/>
  <c r="BI36" i="3"/>
  <c r="BI32" i="3"/>
  <c r="AX5" i="3" l="1"/>
  <c r="AW19" i="3"/>
  <c r="AW5" i="2"/>
  <c r="BJ34" i="3"/>
  <c r="BJ36" i="3"/>
  <c r="BJ32" i="3"/>
  <c r="AX19" i="3" l="1"/>
  <c r="AX5" i="2"/>
  <c r="BK36" i="3"/>
  <c r="BK34" i="3"/>
  <c r="BK32" i="3"/>
  <c r="BL32" i="3" l="1"/>
  <c r="BL34" i="3"/>
  <c r="BL36" i="3"/>
  <c r="BM32" i="3" l="1"/>
  <c r="BM34" i="3"/>
  <c r="BM36" i="3"/>
</calcChain>
</file>

<file path=xl/sharedStrings.xml><?xml version="1.0" encoding="utf-8"?>
<sst xmlns="http://schemas.openxmlformats.org/spreadsheetml/2006/main" count="472" uniqueCount="288">
  <si>
    <t>Digital Power Competentiehuis</t>
  </si>
  <si>
    <t>Competentiegebieden</t>
  </si>
  <si>
    <t>a</t>
  </si>
  <si>
    <t>Question list</t>
  </si>
  <si>
    <t>Instructions</t>
  </si>
  <si>
    <t>Each competency area (6), which can be recognized by the different colours, consists of a number of specific competencies.
Determine for each competency where your ambition (desired competency level) lies and where you are now (competency level to date).
- Do this by scoring yourself on the indicated scale (see example)
- If you have no ambition (yet) for a competence, you keep the score that reflects toward your current competency level.
Determine for each competency which description best fits the situation (present/desired). Do not only look at knowledge and skills, but also at the sphere of influence and degree of (personal) leadership in your role with the customer.
Create your desired profile based on your ambition! And develop those competencies that give substance to the realization of this ambition.
The aim is not to test whether or not you are a good consultant within this domain. The goal is that you develop competencies that match your ambition.
Be realistic when filling it out. Only then will you use it to its full potential.
Good luck!</t>
  </si>
  <si>
    <t xml:space="preserve"> </t>
  </si>
  <si>
    <t>For each situation, enter the corresponding value for the most appropriate competency description</t>
  </si>
  <si>
    <t>Situational competency</t>
  </si>
  <si>
    <t>Example competence area</t>
  </si>
  <si>
    <t>Competency level to date</t>
  </si>
  <si>
    <t>Desired competency level</t>
  </si>
  <si>
    <t>Example competency</t>
  </si>
  <si>
    <t>Competency description example: Acts on competency A with customers.</t>
  </si>
  <si>
    <t>Competency description example: Acts with customers in addition to competency A, also on competency B.</t>
  </si>
  <si>
    <t>Competency description example: Acts with customers in addition to competency A , B,  and also on competency C.</t>
  </si>
  <si>
    <t>Competency description example: Acts with customers in addition to competency A, B, C, and also on competency D.</t>
  </si>
  <si>
    <t>Competency description example: Acts with customers in addition to competency A, B, C, D and also on competency E.</t>
  </si>
  <si>
    <t>Digital Power basic competencies</t>
  </si>
  <si>
    <t>Learning &amp; reflection</t>
  </si>
  <si>
    <t xml:space="preserve">Has a growth mindset </t>
  </si>
  <si>
    <t>Receives positive and constructive feedback with an open attitude, is able to use this for self-reflection, incorporate it into their own development and undertake the necessary development with training and courses.</t>
  </si>
  <si>
    <t>In addition to the indicated external stimulus (feedback from others), is able to remain critical of their own knowledge and lack of experience. Takes the necessary actions in this respect and takes control of their own development.</t>
  </si>
  <si>
    <t>Takes on an exemplary role in the previously indicated competencies and also actively promotes them by taking on a guiding role to juniors and mediors.</t>
  </si>
  <si>
    <t>Takes on a leadership role in the indicated competencies and actively carries this  out in the role of supervisor and/or by taking responsibility within the organisation.</t>
  </si>
  <si>
    <t>Support &amp; collaboration</t>
  </si>
  <si>
    <t>Has a collaborative mindset</t>
  </si>
  <si>
    <t>Is helpful and involved with both internal and external colleagues</t>
  </si>
  <si>
    <t>Actively seeks cooperation. Both within and outside the team in which they are (temporarily) part of.</t>
  </si>
  <si>
    <t>Acts like an example in seeking cooperation. Takes responsibility to support others and provides assistance to ensure team members become self-reliant in their work.</t>
  </si>
  <si>
    <t>-</t>
  </si>
  <si>
    <t>Entrepreneurial &amp; result-oriented</t>
  </si>
  <si>
    <t>Has an entrepreneurial &amp; result-oriented mindset</t>
  </si>
  <si>
    <t>Focused on acting effectively and delivering agreed work on time, within the agreed timeframe.</t>
  </si>
  <si>
    <t>In addition to the previously mentioned competencies, is able to recognize opportunities and be proactive in helping customers and/or furthering profile of DiP. Is able to translate customer objectives into concrete and practical actions.</t>
  </si>
  <si>
    <t>In addition to the previously mentioned competencies, able to increase commercial activities (such as increasing hours, generating additional assignments, etc.). Develops projects within DiP and oversees and/or guides them towards the intended result.</t>
  </si>
  <si>
    <t>In addition to the previously mentioned competencies, is responsible for the development of a specialism within DiP. This includes ensuring expertise in this domain continuously develops and stays up-to-date with the market.</t>
  </si>
  <si>
    <t>Customer-oriented</t>
  </si>
  <si>
    <t>Has a customer-oriented mindset</t>
  </si>
  <si>
    <t>Recognizes customer needs and interests; adopts a helpful attitude and takes the needs and interests of the customer into account in their work.</t>
  </si>
  <si>
    <t>In addition to the previously mentioned competencies, actively thinks along with the client. Shares insights of the client organization within DiP in order to further expand commercial activities. Actively strives to increase customer satisfaction and improve quality of work.</t>
  </si>
  <si>
    <t>In addition to the previously mentioned competencies, stimulates and facilitates others to actively act in a customer-oriented manner. Is able to expand customer activity through expertise. Exceeds customer expectations.</t>
  </si>
  <si>
    <t>In addition to the previously mentioned competencies, bears responsibility for a customer-oriented approach. Is committed to maintaining a high level of customer focus on a structural basis.</t>
  </si>
  <si>
    <t>Knowledge sharing</t>
  </si>
  <si>
    <t>Actively learns from the DiP organisation.</t>
  </si>
  <si>
    <t>Learns from the DiP organization and actively shares own experiences with colleagues.</t>
  </si>
  <si>
    <t>In addition to the previously stated competencies, actively shares own experiences and knowledge in DiP meet-ups, peer groups and provides training, etc. Also shares knowledge externally in meet-ups, conferences, training courses, blogs, inspiration sessions, etc.</t>
  </si>
  <si>
    <t>In addition to the previously stated activities, can act as a source of information for other consultants through acquired knowledge and experience. Also contributes to the team spirit.</t>
  </si>
  <si>
    <t>In addition to the previously mentioned activities, bears responsibility for the level of knowledge sharing. Ensures that knowledge sharing remains up to date in terms of content and frequency.</t>
  </si>
  <si>
    <t>Coaching &amp; guidance</t>
  </si>
  <si>
    <t>Has never (in)formally provided coaching or guidance in a professional field</t>
  </si>
  <si>
    <t>Has followed one or more trainings/courses about coaching and/or guiding in a professional field.</t>
  </si>
  <si>
    <t>Has informally coached and/or supervised one or more colleagues (within DiP) in the professional field.</t>
  </si>
  <si>
    <t>Formally supervises one or more junior/medior consultants (within DiP) in their professional development.</t>
  </si>
  <si>
    <t>Has formally supervised one or more junior/medior/senior consultants in their professional development (within DiP) for more than 4 years.</t>
  </si>
  <si>
    <t>Ethics and professionalism</t>
  </si>
  <si>
    <t>0. Unfamiliar (I don't know)
1. Familiar with (I know what can be done)
2. Novice (collaborated)
3. Acceptable (good enough for client projects)
4. Market conforming / good (comparable within DiP and outside DiP)
5. Exceeding market standard
6. Outstanding (outstanding within DiP and outside DiP) Can you be outstanding on assumptions? or e.g. correlation?</t>
  </si>
  <si>
    <t>Is aware of the existence of the GDPR and other relevant legislation</t>
  </si>
  <si>
    <t>Is familiar with the legal requirements regarding privacy (GDPR, data storage, data collection, data breach, etc.) and takes these into account in his own work.</t>
  </si>
  <si>
    <t>Pro-actively advises clients on the legal requirements and implications of privacy.</t>
  </si>
  <si>
    <t>In addition to the above, also takes ethical considerations and implications into account in his own work. Pay attention to this aspect.</t>
  </si>
  <si>
    <t>Proactively advises clients on the ethical considerations and implications of choices.</t>
  </si>
  <si>
    <t>Basic data skills</t>
  </si>
  <si>
    <r>
      <rPr>
        <b/>
        <sz val="11"/>
        <color rgb="FF000000"/>
        <rFont val="Calibri"/>
      </rPr>
      <t xml:space="preserve">Is aware of the different types of data and their possibilities/limits
</t>
    </r>
    <r>
      <rPr>
        <sz val="11"/>
        <color rgb="FFA5A5A5"/>
        <rFont val="Calibri"/>
      </rPr>
      <t>Types of data means nominal, ordinal interval and ratio.</t>
    </r>
  </si>
  <si>
    <r>
      <rPr>
        <b/>
        <sz val="11"/>
        <color rgb="FF000000"/>
        <rFont val="Calibri"/>
      </rPr>
      <t>Understands data quality and recognizes problems with it.</t>
    </r>
    <r>
      <rPr>
        <sz val="11"/>
        <color rgb="FFA5A5A5"/>
        <rFont val="Calibri"/>
      </rPr>
      <t xml:space="preserve"> Familiar with various problems and biases that occur in data. For example, incomplete, incorrect, inconsistent and/or outdated.</t>
    </r>
  </si>
  <si>
    <r>
      <rPr>
        <b/>
        <sz val="11"/>
        <color rgb="FF000000"/>
        <rFont val="Calibri"/>
      </rPr>
      <t xml:space="preserve">Also knows the solutions to deal with data quality problems
</t>
    </r>
    <r>
      <rPr>
        <sz val="11"/>
        <color rgb="FFA5A5A5"/>
        <rFont val="Calibri"/>
      </rPr>
      <t>Can apply appropriate solutions to various data quality problems.</t>
    </r>
  </si>
  <si>
    <r>
      <rPr>
        <b/>
        <sz val="11"/>
        <color rgb="FF000000"/>
        <rFont val="Calibri"/>
      </rPr>
      <t xml:space="preserve">Can effectively and efficiently transform/manipulate the data </t>
    </r>
    <r>
      <rPr>
        <sz val="11"/>
        <color rgb="FFA5A5A5"/>
        <rFont val="Calibri"/>
      </rPr>
      <t>Process and combine data for analysis.From manually in Excel to formulas and code.</t>
    </r>
  </si>
  <si>
    <t>Statistics</t>
  </si>
  <si>
    <r>
      <rPr>
        <b/>
        <sz val="11"/>
        <color rgb="FF000000"/>
        <rFont val="Calibri"/>
      </rPr>
      <t xml:space="preserve">Assumptions about sample size, distribution, etc.
</t>
    </r>
    <r>
      <rPr>
        <sz val="11"/>
        <color rgb="FFBFBFBF"/>
        <rFont val="Calibri"/>
      </rPr>
      <t>The assumptions used to determine the statistical test. Checking the distribution by means of descriptive statistics such as standard deviation, mode, median, etc.</t>
    </r>
  </si>
  <si>
    <r>
      <rPr>
        <b/>
        <sz val="11"/>
        <color rgb="FF000000"/>
        <rFont val="Calibri"/>
      </rPr>
      <t xml:space="preserve">Confidence Intervals </t>
    </r>
    <r>
      <rPr>
        <sz val="11"/>
        <color rgb="FFBFBFBF"/>
        <rFont val="Calibri"/>
      </rPr>
      <t xml:space="preserve">Confidence intervals mean the interval of values between which the result of your study/sample falls. </t>
    </r>
  </si>
  <si>
    <r>
      <rPr>
        <b/>
        <sz val="11"/>
        <color rgb="FF000000"/>
        <rFont val="Calibri"/>
      </rPr>
      <t xml:space="preserve">Statistical tests - when to use which?
</t>
    </r>
    <r>
      <rPr>
        <sz val="11"/>
        <color rgb="FFBFBFBF"/>
        <rFont val="Calibri"/>
      </rPr>
      <t>The different tests such as z-test, t-test, chi-square test that are applied when analyzing an experiment</t>
    </r>
  </si>
  <si>
    <r>
      <rPr>
        <b/>
        <sz val="11"/>
        <color rgb="FF000000"/>
        <rFont val="Calibri"/>
      </rPr>
      <t xml:space="preserve">Correlation
</t>
    </r>
    <r>
      <rPr>
        <sz val="11"/>
        <color rgb="FFBFBFBF"/>
        <rFont val="Calibri"/>
      </rPr>
      <t>Unit of measure to demonstrate static relationship.</t>
    </r>
  </si>
  <si>
    <r>
      <rPr>
        <b/>
        <sz val="11"/>
        <color rgb="FF000000"/>
        <rFont val="Calibri"/>
      </rPr>
      <t xml:space="preserve">Regression
</t>
    </r>
    <r>
      <rPr>
        <sz val="11"/>
        <color rgb="FFBFBFBF"/>
        <rFont val="Calibri"/>
      </rPr>
      <t>Measurement method to different variables to demonstrate correlation and predictive value</t>
    </r>
  </si>
  <si>
    <t>Qualitative analysis and research skills</t>
  </si>
  <si>
    <r>
      <rPr>
        <b/>
        <sz val="11"/>
        <color rgb="FF000000"/>
        <rFont val="Calibri"/>
      </rPr>
      <t xml:space="preserve">Reliability &amp; validity
</t>
    </r>
    <r>
      <rPr>
        <sz val="11"/>
        <color rgb="FFBFBFBF"/>
        <rFont val="Calibri"/>
      </rPr>
      <t>Familiar with the concepts, can assess studies on this.</t>
    </r>
  </si>
  <si>
    <r>
      <rPr>
        <b/>
        <sz val="11"/>
        <color rgb="FF000000"/>
        <rFont val="Calibri"/>
      </rPr>
      <t xml:space="preserve">Select an appropriate research method for the problem
</t>
    </r>
    <r>
      <rPr>
        <sz val="11"/>
        <color rgb="FFBFBFBF"/>
        <rFont val="Calibri"/>
      </rPr>
      <t>Able to select the right research method for the issue and goal.</t>
    </r>
  </si>
  <si>
    <r>
      <rPr>
        <b/>
        <sz val="11"/>
        <color rgb="FF000000"/>
        <rFont val="Calibri"/>
      </rPr>
      <t xml:space="preserve">Research design
</t>
    </r>
    <r>
      <rPr>
        <sz val="11"/>
        <color rgb="FFBFBFBF"/>
        <rFont val="Calibri"/>
      </rPr>
      <t xml:space="preserve">Can design research projects taking into account validity, reliability, feasibility and ethics. </t>
    </r>
  </si>
  <si>
    <r>
      <rPr>
        <b/>
        <sz val="11"/>
        <color rgb="FF000000"/>
        <rFont val="Calibri"/>
      </rPr>
      <t xml:space="preserve">Interpreting research results according to value
</t>
    </r>
    <r>
      <rPr>
        <sz val="11"/>
        <color rgb="FFBFBFBF"/>
        <rFont val="Calibri"/>
      </rPr>
      <t>Recognizing what the research results mean for the organization and the actions that can come out of it.</t>
    </r>
  </si>
  <si>
    <r>
      <rPr>
        <b/>
        <sz val="11"/>
        <color rgb="FF000000"/>
        <rFont val="Calibri"/>
      </rPr>
      <t xml:space="preserve">Research skills in business context
</t>
    </r>
    <r>
      <rPr>
        <sz val="11"/>
        <color rgb="FFBFBFBF"/>
        <rFont val="Calibri"/>
      </rPr>
      <t>Able to select the right research method for the issue in relation to the business context with regard to costs, duration and different stakeholder interests.</t>
    </r>
  </si>
  <si>
    <t>Metrics and goals</t>
  </si>
  <si>
    <r>
      <rPr>
        <b/>
        <sz val="11"/>
        <color rgb="FF000000"/>
        <rFont val="Calibri"/>
      </rPr>
      <t xml:space="preserve">Metrics for usability and user experience
</t>
    </r>
    <r>
      <rPr>
        <sz val="11"/>
        <color rgb="FFBFBFBF"/>
        <rFont val="Calibri"/>
      </rPr>
      <t>The translation of human behavior into metrics at the behavior and attitude level e.g. time on task, task success rate and satisfaction.</t>
    </r>
  </si>
  <si>
    <r>
      <rPr>
        <b/>
        <sz val="11"/>
        <color rgb="FF000000"/>
        <rFont val="Calibri"/>
      </rPr>
      <t xml:space="preserve">Metrics for the customer experience
</t>
    </r>
    <r>
      <rPr>
        <sz val="11"/>
        <color rgb="FFBFBFBF"/>
        <rFont val="Calibri"/>
      </rPr>
      <t xml:space="preserve">The translation of the customer experience into metrics such as CSAT, NPS </t>
    </r>
    <r>
      <rPr>
        <sz val="11"/>
        <color rgb="FFBFBFBF"/>
        <rFont val="Calibri"/>
        <family val="2"/>
      </rPr>
      <t>or C</t>
    </r>
    <r>
      <rPr>
        <sz val="11"/>
        <color rgb="FFA5A5A5"/>
        <rFont val="Calibri"/>
        <family val="2"/>
      </rPr>
      <t>ES.</t>
    </r>
  </si>
  <si>
    <r>
      <rPr>
        <b/>
        <sz val="11"/>
        <color rgb="FF000000"/>
        <rFont val="Calibri"/>
      </rPr>
      <t xml:space="preserve">Metrics connecting strategy with UX/CX metrics
</t>
    </r>
    <r>
      <rPr>
        <sz val="11"/>
        <color rgb="FFBFBFBF"/>
        <rFont val="Calibri"/>
      </rPr>
      <t>Layering metrics at every level (individual, operational, tactical, strategic) in the organization. Are the metrics the drivers of the strategy?</t>
    </r>
  </si>
  <si>
    <r>
      <rPr>
        <b/>
        <sz val="11"/>
        <color rgb="FF000000"/>
        <rFont val="Calibri"/>
      </rPr>
      <t xml:space="preserve">Translating metrics into concrete measurable definitions
</t>
    </r>
    <r>
      <rPr>
        <sz val="11"/>
        <color rgb="FFBFBFBF"/>
        <rFont val="Calibri"/>
      </rPr>
      <t>Being able to write out exact definitions in the relevant organization and context</t>
    </r>
  </si>
  <si>
    <r>
      <rPr>
        <b/>
        <sz val="11"/>
        <color rgb="FF000000"/>
        <rFont val="Calibri"/>
      </rPr>
      <t xml:space="preserve">Metrics for the appropriate level in the organization
</t>
    </r>
    <r>
      <rPr>
        <sz val="11"/>
        <color rgb="FFBFBFBF"/>
        <rFont val="Calibri"/>
      </rPr>
      <t>Translation of metrics to operational, tactical and strategic</t>
    </r>
  </si>
  <si>
    <t>CX theory</t>
  </si>
  <si>
    <r>
      <rPr>
        <b/>
        <sz val="11"/>
        <color rgb="FF000000"/>
        <rFont val="Calibri"/>
      </rPr>
      <t xml:space="preserve">Perception and decision making
</t>
    </r>
    <r>
      <rPr>
        <sz val="11"/>
        <color rgb="FFBFBFBF"/>
        <rFont val="Calibri"/>
      </rPr>
      <t>Knowledge of human information processing and how people make decisions and how they can be influenced.</t>
    </r>
  </si>
  <si>
    <r>
      <rPr>
        <b/>
        <sz val="11"/>
        <color rgb="FF000000"/>
        <rFont val="Calibri"/>
      </rPr>
      <t xml:space="preserve">The optimization process
</t>
    </r>
    <r>
      <rPr>
        <sz val="11"/>
        <color rgb="FFBFBFBF"/>
        <rFont val="Calibri"/>
      </rPr>
      <t>Knowledge of the DiP Optimization process and others can also be used by customers.</t>
    </r>
  </si>
  <si>
    <r>
      <rPr>
        <b/>
        <sz val="11"/>
        <color rgb="FF000000"/>
        <rFont val="Calibri"/>
      </rPr>
      <t xml:space="preserve">CX Maturity Models
</t>
    </r>
    <r>
      <rPr>
        <sz val="11"/>
        <color rgb="FFBFBFBF"/>
        <rFont val="Calibri"/>
      </rPr>
      <t>Knowledge of the DiP CX Maturity Model and others can also be used by customers.</t>
    </r>
  </si>
  <si>
    <r>
      <rPr>
        <b/>
        <sz val="11"/>
        <color rgb="FF000000"/>
        <rFont val="Calibri"/>
      </rPr>
      <t xml:space="preserve">Brand, usability, user experience, customer experience
</t>
    </r>
    <r>
      <rPr>
        <sz val="11"/>
        <color rgb="FFBFBFBF"/>
        <rFont val="Calibri"/>
      </rPr>
      <t xml:space="preserve">Understanding the concepts and being able to relate them to each other and to the organizational goals and interests. </t>
    </r>
  </si>
  <si>
    <r>
      <rPr>
        <b/>
        <sz val="11"/>
        <color rgb="FF000000"/>
        <rFont val="Calibri"/>
      </rPr>
      <t xml:space="preserve">CX strategy
</t>
    </r>
    <r>
      <rPr>
        <sz val="11"/>
        <color rgb="FFBFBFBF"/>
        <rFont val="Calibri"/>
      </rPr>
      <t>Understand what a CX strategy is, why it is needed and how to set it up.</t>
    </r>
  </si>
  <si>
    <r>
      <rPr>
        <b/>
        <sz val="11"/>
        <color rgb="FF000000"/>
        <rFont val="Calibri"/>
      </rPr>
      <t xml:space="preserve">Copywriting | UX writing | content
</t>
    </r>
    <r>
      <rPr>
        <sz val="11"/>
        <color rgb="FFBFBFBF"/>
        <rFont val="Calibri"/>
      </rPr>
      <t>Understanding the importance of content and language levels and usage for the organization and how to use this.</t>
    </r>
  </si>
  <si>
    <r>
      <rPr>
        <b/>
        <sz val="11"/>
        <color rgb="FF000000"/>
        <rFont val="Calibri"/>
      </rPr>
      <t xml:space="preserve">Customer journey mapping &amp; personas
</t>
    </r>
    <r>
      <rPr>
        <sz val="11"/>
        <color rgb="FFBFBFBF"/>
        <rFont val="Calibri"/>
      </rPr>
      <t>Understands the different customer journey maps, can explain the differences and when you would use them. Also knows the different perspectives and functions of personas</t>
    </r>
  </si>
  <si>
    <r>
      <rPr>
        <b/>
        <sz val="11"/>
        <color rgb="FF000000"/>
        <rFont val="Calibri"/>
      </rPr>
      <t xml:space="preserve">Personalization and segmentation
</t>
    </r>
    <r>
      <rPr>
        <sz val="11"/>
        <color rgb="FFBFBFBF"/>
        <rFont val="Calibri"/>
      </rPr>
      <t>Can clearly explain the differences between A/B testing, segmentation and personalization and the different methods of arriving at decisions and the implications of the choices.</t>
    </r>
  </si>
  <si>
    <t xml:space="preserve">CX knowledge application domain </t>
  </si>
  <si>
    <r>
      <rPr>
        <b/>
        <sz val="11"/>
        <color rgb="FF000000"/>
        <rFont val="Calibri"/>
      </rPr>
      <t xml:space="preserve">Customer Journey (CXO) 
</t>
    </r>
    <r>
      <rPr>
        <sz val="11"/>
        <color rgb="FFBFBFBF"/>
        <rFont val="Calibri"/>
      </rPr>
      <t>Customer journeys and customer journey management across channels. Managing means measuring and optimising based on metrics.</t>
    </r>
  </si>
  <si>
    <t>Marketing Analytics
analyze and optimise marketing channels.</t>
  </si>
  <si>
    <r>
      <t xml:space="preserve">eCommerce Analytics
</t>
    </r>
    <r>
      <rPr>
        <sz val="11"/>
        <color rgb="FFA5A5A5"/>
        <rFont val="Calibri"/>
        <family val="2"/>
      </rPr>
      <t>Analysing and optimising an e-commerce website.</t>
    </r>
  </si>
  <si>
    <t>Product Analytics
analyze and optimize digital products such as Spotify, Saas solutions or internal applications.</t>
  </si>
  <si>
    <t>Customer Service optimisation
analyze and optimise the service channels, from digital to customer service.</t>
  </si>
  <si>
    <t>Bonus skills</t>
  </si>
  <si>
    <t>Design: sketches &amp; wireframes</t>
  </si>
  <si>
    <r>
      <rPr>
        <b/>
        <sz val="11"/>
        <color rgb="FF000000"/>
        <rFont val="Calibri"/>
      </rPr>
      <t xml:space="preserve">Prototyping
</t>
    </r>
    <r>
      <rPr>
        <sz val="11"/>
        <color rgb="FFBFBFBF"/>
        <rFont val="Calibri"/>
      </rPr>
      <t>Make interactive solutions for testing. This can be done in a Figma or, for example, in the Frontend</t>
    </r>
  </si>
  <si>
    <r>
      <rPr>
        <b/>
        <sz val="11"/>
        <color rgb="FF000000"/>
        <rFont val="Calibri"/>
      </rPr>
      <t xml:space="preserve">Visual design
</t>
    </r>
    <r>
      <rPr>
        <sz val="11"/>
        <color rgb="FFBFBFBF"/>
        <rFont val="Calibri"/>
      </rPr>
      <t>Make visual designs focused on the design of the interface.</t>
    </r>
  </si>
  <si>
    <t>Hard skills</t>
  </si>
  <si>
    <r>
      <rPr>
        <b/>
        <sz val="11"/>
        <color rgb="FF000000"/>
        <rFont val="Calibri"/>
      </rPr>
      <t xml:space="preserve">Customer Journey Mapping 
</t>
    </r>
    <r>
      <rPr>
        <sz val="11"/>
        <color rgb="FFBFBFBF"/>
        <rFont val="Calibri"/>
      </rPr>
      <t>Set up and run a customer journey map session.</t>
    </r>
  </si>
  <si>
    <t xml:space="preserve">Customer Journey Mapping </t>
  </si>
  <si>
    <r>
      <rPr>
        <b/>
        <sz val="11"/>
        <color rgb="FF000000"/>
        <rFont val="Calibri"/>
      </rPr>
      <t xml:space="preserve">Usability Tests - Formative  
</t>
    </r>
    <r>
      <rPr>
        <sz val="11"/>
        <color rgb="FFBFBFBF"/>
        <rFont val="Calibri"/>
      </rPr>
      <t>Set up and run a test.</t>
    </r>
  </si>
  <si>
    <t>Usability Tests - Formative</t>
  </si>
  <si>
    <r>
      <rPr>
        <b/>
        <sz val="11"/>
        <color rgb="FF000000"/>
        <rFont val="Calibri"/>
      </rPr>
      <t xml:space="preserve">Usability Tests - Summative  
</t>
    </r>
    <r>
      <rPr>
        <sz val="11"/>
        <color rgb="FFBFBFBF"/>
        <rFont val="Calibri"/>
      </rPr>
      <t>Set up, run and analyze a test.</t>
    </r>
  </si>
  <si>
    <t>Usability Test - Summative</t>
  </si>
  <si>
    <r>
      <rPr>
        <b/>
        <sz val="11"/>
        <color rgb="FF000000"/>
        <rFont val="Calibri"/>
      </rPr>
      <t xml:space="preserve">AB Tests
</t>
    </r>
    <r>
      <rPr>
        <sz val="11"/>
        <color rgb="FFBFBFBF"/>
        <rFont val="Calibri"/>
      </rPr>
      <t>Set up, run and analyze a test.</t>
    </r>
  </si>
  <si>
    <t>AB Testing</t>
  </si>
  <si>
    <r>
      <rPr>
        <b/>
        <sz val="11"/>
        <color rgb="FF000000"/>
        <rFont val="Calibri"/>
      </rPr>
      <t xml:space="preserve">Behavioral Analytics (Web and app analytics tooling)
</t>
    </r>
    <r>
      <rPr>
        <sz val="11"/>
        <color rgb="FFBFBFBF"/>
        <rFont val="Calibri"/>
      </rPr>
      <t>Analyze quantitative data in analysis tools such as GA, Adobe, Amplitude</t>
    </r>
  </si>
  <si>
    <t>Behavioral Analytics (Web and app analytics tooling)</t>
  </si>
  <si>
    <r>
      <rPr>
        <b/>
        <sz val="11"/>
        <color rgb="FF000000"/>
        <rFont val="Calibri"/>
      </rPr>
      <t xml:space="preserve">Marketing Analytics
</t>
    </r>
    <r>
      <rPr>
        <sz val="11"/>
        <color rgb="FFBFBFBF"/>
        <rFont val="Calibri"/>
      </rPr>
      <t>Analyze the effect and result of campaigns and advertisements</t>
    </r>
  </si>
  <si>
    <t>Marketing Analytics</t>
  </si>
  <si>
    <r>
      <rPr>
        <b/>
        <sz val="11"/>
        <color rgb="FF000000"/>
        <rFont val="Calibri"/>
      </rPr>
      <t xml:space="preserve">Session recordings
</t>
    </r>
    <r>
      <rPr>
        <sz val="11"/>
        <color rgb="FFBFBFBF"/>
        <rFont val="Calibri"/>
      </rPr>
      <t>Quantify and analyze session recordings</t>
    </r>
  </si>
  <si>
    <t>Session recordings</t>
  </si>
  <si>
    <r>
      <rPr>
        <b/>
        <sz val="11"/>
        <color rgb="FF000000"/>
        <rFont val="Calibri"/>
      </rPr>
      <t xml:space="preserve">Heathmaps &amp; Scrollmaps
</t>
    </r>
    <r>
      <rPr>
        <sz val="11"/>
        <color rgb="FFBFBFBF"/>
        <rFont val="Calibri"/>
      </rPr>
      <t>Quantify and analyze heat maps and scroll maps</t>
    </r>
  </si>
  <si>
    <t>Heatmaps &amp; Scrollmaps</t>
  </si>
  <si>
    <r>
      <rPr>
        <b/>
        <sz val="11"/>
        <color rgb="FF000000"/>
        <rFont val="Calibri"/>
      </rPr>
      <t xml:space="preserve">Interviews (setting up and conducting an interview)
</t>
    </r>
    <r>
      <rPr>
        <sz val="11"/>
        <color rgb="FFBFBFBF"/>
        <rFont val="Calibri"/>
      </rPr>
      <t>Preparing questions, probing, listening empathetically, transcribing</t>
    </r>
  </si>
  <si>
    <t>Interviewing  (setup &amp; executing interview)</t>
  </si>
  <si>
    <r>
      <rPr>
        <b/>
        <sz val="11"/>
        <color rgb="FF000000"/>
        <rFont val="Calibri"/>
      </rPr>
      <t xml:space="preserve">Survey Design (set up and conduct a survey)
</t>
    </r>
    <r>
      <rPr>
        <sz val="11"/>
        <color rgb="FFBFBFBF"/>
        <rFont val="Calibri"/>
      </rPr>
      <t>Explain, formulate and scale questions</t>
    </r>
  </si>
  <si>
    <t>Survey Design (setup &amp; executing survey)</t>
  </si>
  <si>
    <r>
      <rPr>
        <b/>
        <sz val="11"/>
        <color rgb="FF000000"/>
        <rFont val="Calibri"/>
      </rPr>
      <t xml:space="preserve">SQL
</t>
    </r>
    <r>
      <rPr>
        <sz val="11"/>
        <color rgb="FFBFBFBF"/>
        <rFont val="Calibri"/>
      </rPr>
      <t>Writing queries and retrieving data based on the SQL syntax</t>
    </r>
  </si>
  <si>
    <t>SQL</t>
  </si>
  <si>
    <r>
      <rPr>
        <b/>
        <sz val="11"/>
        <color rgb="FF000000"/>
        <rFont val="Calibri"/>
      </rPr>
      <t xml:space="preserve">Python
</t>
    </r>
    <r>
      <rPr>
        <sz val="11"/>
        <color rgb="FFBFBFBF"/>
        <rFont val="Calibri"/>
      </rPr>
      <t>Analyzing data based on the Python syntax</t>
    </r>
  </si>
  <si>
    <t>Python</t>
  </si>
  <si>
    <r>
      <rPr>
        <b/>
        <sz val="11"/>
        <color rgb="FF000000"/>
        <rFont val="Calibri"/>
      </rPr>
      <t xml:space="preserve">Javascript
</t>
    </r>
    <r>
      <rPr>
        <sz val="11"/>
        <color rgb="FFBFBFBF"/>
        <rFont val="Calibri"/>
      </rPr>
      <t>The use of Javascript for setting up experiments such as A/B testing</t>
    </r>
  </si>
  <si>
    <t>Javascript</t>
  </si>
  <si>
    <r>
      <rPr>
        <b/>
        <sz val="11"/>
        <color rgb="FF000000"/>
        <rFont val="Calibri"/>
      </rPr>
      <t xml:space="preserve">R 
</t>
    </r>
    <r>
      <rPr>
        <sz val="11"/>
        <color rgb="FFBFBFBF"/>
        <rFont val="Calibri"/>
      </rPr>
      <t>Analyzing data based on the R syntax</t>
    </r>
  </si>
  <si>
    <t>R</t>
  </si>
  <si>
    <r>
      <rPr>
        <b/>
        <sz val="11"/>
        <color rgb="FF000000"/>
        <rFont val="Calibri"/>
      </rPr>
      <t xml:space="preserve">HTML / CSS
</t>
    </r>
    <r>
      <rPr>
        <sz val="11"/>
        <color rgb="FFBFBFBF"/>
        <rFont val="Calibri"/>
      </rPr>
      <t>The use of HTML and CSS for setting up experiments such as A/B testing or visualizing solutions</t>
    </r>
  </si>
  <si>
    <t>HTML / CSS</t>
  </si>
  <si>
    <t>Basic consultancy competencies</t>
  </si>
  <si>
    <t>Advising</t>
  </si>
  <si>
    <t>Gives advice on questions from the direct business (stakeholders). Mostly operationally.</t>
  </si>
  <si>
    <t>In addition to the previously mentioned competencies, provides proactive advice on related analyses and insights. Is able to view insights from perspectives other than their own business (stakeholders) and involves them in the process.</t>
  </si>
  <si>
    <t>In addition to the previously mentioned competencies, provides advice with an organization-wide impact.</t>
  </si>
  <si>
    <t>In addition to the previously mentioned competencies, gives advice at management and/or organizational level.</t>
  </si>
  <si>
    <t xml:space="preserve">Decisive &amp; problem-solving </t>
  </si>
  <si>
    <t>Has a curious and pragmatic mindset.</t>
  </si>
  <si>
    <t>Able to ask critical questions within your department/project. Able to come up with a suitable solution for your own business (stakeholders).</t>
  </si>
  <si>
    <t>In addition to the previously mentioned competencies, is able to get to the core of the problem with a departmental and/or assignment-transcending impact. Able to address this and come to a solution that is more widely supported.</t>
  </si>
  <si>
    <t>In addition to the previously mentioned competencies, able to get to the core of the problem with an organization-wide impact.</t>
  </si>
  <si>
    <t>In addition to the previously mentioned competencies, able to get to the core of the problem with an organization-wide impact. Able to address this and come to a solution that is supported throughout the organization.</t>
  </si>
  <si>
    <t>Interpersonal communication</t>
  </si>
  <si>
    <t>Has an accessible attitude.</t>
  </si>
  <si>
    <t>Has a visible and approachable demeanor. Is a good listener and provides feedback and is able to put themselves in others' shoes.</t>
  </si>
  <si>
    <t>In addition to the previously mentioned competencies, adopts an assertive attitude and maintains a healthy balance between moving along with the client and guarding one's own boundaries.</t>
  </si>
  <si>
    <t>In addition to the previously mentioned competencies, actively promotes communication between yourself and your client(s). And also with the team(s) and department(s) you work with.</t>
  </si>
  <si>
    <t>In addition to the previously mentioned competencies, actively provides tools and resources to shape and promote communication between teams and departments.</t>
  </si>
  <si>
    <t>Expectation management</t>
  </si>
  <si>
    <t>Tests expectations of his/her work; way of working, scope, goal, timelines, content, etc.</t>
  </si>
  <si>
    <t>In addition to the previously mentioned competency, makes an inventory of the underlying interests. Takes this information into account when setting priorities and proactively communicates this.</t>
  </si>
  <si>
    <t>Sets and discusses expectations from personal and/or DiP interests and takes the initiative in determining cooperation, scope, priorities, goal, timelines, content, etc.</t>
  </si>
  <si>
    <t>Sets expectations and actively ensures that the interests and expectations of all parties involved are expressed and coordinated in the best possible way.</t>
  </si>
  <si>
    <t>Written and oral communication (presentation, proposal, result, advice)</t>
  </si>
  <si>
    <t>Speaks ánd writes comprehensible and correct Dutch and English for a business target group. Is well understood in both volume and pronunciation.</t>
  </si>
  <si>
    <t>In addition to the previously mentioned competencies, adjusts the speaking and/or writing style to the intended goal or target group. Is clear and to-the-point, so that the message is well understood. Checks whether the message has come across correctly.</t>
  </si>
  <si>
    <t>In addition to the previously mentioned competencies, is able to make complex subjects understandable to others and displays a collaborative attitude.</t>
  </si>
  <si>
    <t>Applies situational communication in addition to the previously mentioned competencies. You give implicit guidance to the outcome of the verbal transaction (presentation, bila, conversation, advice, etc.)</t>
  </si>
  <si>
    <t>In addition to the previously mentioned competencies, applies situational leadership in which implicit control shifts to explicit control or leadership.</t>
  </si>
  <si>
    <t>Business competencies</t>
  </si>
  <si>
    <t>Organizational and management identification</t>
  </si>
  <si>
    <t>Has no/little knowledge of organizational structure at a client.</t>
  </si>
  <si>
    <t>Has knowledge of organizational structure at a client.</t>
  </si>
  <si>
    <t>Has a sense of relationships within the organization. Recognizes interests of stakeholders.</t>
  </si>
  <si>
    <t>Has feeling for relationships within the organization. Recognizes stakeholder interests and overlooks consequences of approach and makes connections with other stakeholders and/or issues.</t>
  </si>
  <si>
    <t>Is positioned as Business Analyst</t>
  </si>
  <si>
    <t>Strategic conceptualization</t>
  </si>
  <si>
    <t>Is able to recognize operational strategy and goals</t>
  </si>
  <si>
    <t>Is able to connect and conceptualize operational strategy and goals</t>
  </si>
  <si>
    <t>Is able to connect and conceptualize strategy and goals of management and operations</t>
  </si>
  <si>
    <t>Is able to connect and conceptualize strategy and goals of the board, management and operations</t>
  </si>
  <si>
    <t>Is positioned as a Strategist</t>
  </si>
  <si>
    <t>Project management</t>
  </si>
  <si>
    <t>Kept client and/or stakeholders informed of progress on own assignment or project schedule</t>
  </si>
  <si>
    <t>Kept client and stakeholders informed of progress on project or assignment schedule</t>
  </si>
  <si>
    <t>Has managed one or more projects without using a methodical approach</t>
  </si>
  <si>
    <t>Has managed one or more projects using project management methods such as (Agile, Scrum, Kanban, Lean, Six Sigma, Prince2, etc.)</t>
  </si>
  <si>
    <t>Is positioned as a Project Manager/ Product Owner</t>
  </si>
  <si>
    <t>Change management (towards data-driven work)</t>
  </si>
  <si>
    <t>Has never experienced a change process toward data-driven work</t>
  </si>
  <si>
    <t>Has participated and played an active role in one or more change processes towards data-driven work</t>
  </si>
  <si>
    <t>Has led one or more change processes towards data-driven work, without using a methodical approach</t>
  </si>
  <si>
    <t>Has led one or more change processes towards data-driven work using a methodical approach</t>
  </si>
  <si>
    <t>Is positioned as a Change Manager</t>
  </si>
  <si>
    <t>Leadership</t>
  </si>
  <si>
    <t>Has never (in)formally led in the field of data</t>
  </si>
  <si>
    <t>Participated in assignments and/or projects in the field of data</t>
  </si>
  <si>
    <t>Recognizes strategic data opportunities and has actively participated in this by taking on an advisory role</t>
  </si>
  <si>
    <t>Demonstrates leadership and has acted as the driving force behind strategic data choices in one or more assignments</t>
  </si>
  <si>
    <t>Has acted from a leadership position in one or more assignments as a driving force behind strategic choices in the area of data</t>
  </si>
  <si>
    <t>Expert consultancy competencies</t>
  </si>
  <si>
    <t>Situational communication</t>
  </si>
  <si>
    <t>Adopts a communication style that is true to themselves.</t>
  </si>
  <si>
    <t>Is aware of own communication style and effect on conversational partners.</t>
  </si>
  <si>
    <t xml:space="preserve">In addition to the above, has knowledge of different situations and communication styles and actively uses this knowledge to adapt own communication. </t>
  </si>
  <si>
    <t>In addition to previously mentioned competencies, uses situational communication/situational leadership to provide direction.</t>
  </si>
  <si>
    <t>In addition to previously mentioned, uses situational leadership in management.</t>
  </si>
  <si>
    <t>Goal-oriented &amp; effective communication</t>
  </si>
  <si>
    <t>Communicates in a structured manner and avoids technical jargon.</t>
  </si>
  <si>
    <t>In addition to the above, communicates in a no-nonsense, purposeful way, so that content, goal, and expectations are clear to (all) partners and/or participants within the project.</t>
  </si>
  <si>
    <t xml:space="preserve">Uses the above mentioned competencies on a cross-departmental level. Knows how to bring the parties involved towards the intended goal by means of catchy examples, stimulating propositions and outlining (implication) scenarios. </t>
  </si>
  <si>
    <t>Uses previously mentioned competencies at the organizational level.</t>
  </si>
  <si>
    <t>Decision-making</t>
  </si>
  <si>
    <t>Makes independent, informed decisions and is accountable for them.</t>
  </si>
  <si>
    <t>In addition to previously mentioned, has made decisions that require courage and boldness due to the difficult nature of the decision, within your project or assignment.</t>
  </si>
  <si>
    <t>In addition to the above-mentioned setting, has to take difficult decisions that have an impact on the project or assignment.</t>
  </si>
  <si>
    <t>In addition to the above-mentioned setting, has to take difficult decisions that have a cross-departmental impact.</t>
  </si>
  <si>
    <t>In addition to previously mentioned setting, had to make difficult decisions that had organization-wide impact.</t>
  </si>
  <si>
    <t>Persuading &amp; influencing</t>
  </si>
  <si>
    <t>Has confidence in own ability and judgment when presenting findings and opinions.</t>
  </si>
  <si>
    <t>In addition to the competencies mentioned above, acts with self-confidence when explaining (their own) views and opinions. Listens and seeks connection to create a win-win situation.</t>
  </si>
  <si>
    <t>In addition to previously mentioned competencies, when persuading and influencing, makes active use of thought-provoking statements and illustrations to promote position taking. Is able to recognize communication and behavioral styles and to adapt his/her own communication and/or behavioral style accordingly.</t>
  </si>
  <si>
    <t>Uses previously mentioned competencies to effectively provide direction and leadership in a broader setting (team, department, organization, etc.)</t>
  </si>
  <si>
    <t>Constructive (negative) feedback &amp; bad news conversations</t>
  </si>
  <si>
    <t>Has given constructive feedback when asked.</t>
  </si>
  <si>
    <t>In addition to the previously mentioned, has given unsolicited constructive feedback when dealing with an equal power relationship (peers/ consultants).</t>
  </si>
  <si>
    <t>In addition to the mentioned competencies, has given unsolicited constructive feedback in an unequal power relationship (manager/client) and has been able to turn this into a future-proof situation and/or relationship.</t>
  </si>
  <si>
    <t>In addition to the previously mentioned, has held a bad news conversation in the role of supervising consultant/manager, has had to take a position and turn it into a future-proof situation.</t>
  </si>
  <si>
    <t>In addition to previously mentioned, has held a bad news conversation from the supervising consultant/leadership role, had to take a stand in it and make a negative decision.</t>
  </si>
  <si>
    <t>Digital Power Basic Skills</t>
  </si>
  <si>
    <t>Domain Skills</t>
  </si>
  <si>
    <t>Hardskills</t>
  </si>
  <si>
    <t>Basic Consultancy Skills</t>
  </si>
  <si>
    <t>Business Skills</t>
  </si>
  <si>
    <t>Expert Consultancy Skills</t>
  </si>
  <si>
    <t>Aware</t>
  </si>
  <si>
    <t>Understands</t>
  </si>
  <si>
    <t>Advises</t>
  </si>
  <si>
    <t>Takes into account in own work</t>
  </si>
  <si>
    <t>Proactively advises</t>
  </si>
  <si>
    <t>Aware of different types of data and possibilities/limitations</t>
  </si>
  <si>
    <t>Understands data quality and recognizes problems</t>
  </si>
  <si>
    <t>Also knows the solutions to deal with data quality problems</t>
  </si>
  <si>
    <t>Can effectively and efficiently transform/manipulate the data</t>
  </si>
  <si>
    <t>Assumptions about sample size, distribution, etc.</t>
  </si>
  <si>
    <t>Confidence Intervals</t>
  </si>
  <si>
    <t>Statistical tests</t>
  </si>
  <si>
    <t>Correlation</t>
  </si>
  <si>
    <t>Regression</t>
  </si>
  <si>
    <t>Reliability &amp; validity</t>
  </si>
  <si>
    <t>Selecting appropriate research method</t>
  </si>
  <si>
    <t>Research design</t>
  </si>
  <si>
    <t>Interpreting results</t>
  </si>
  <si>
    <t>Research in a business context</t>
  </si>
  <si>
    <t>Metrics for usability and UX</t>
  </si>
  <si>
    <t>Metrics for CX</t>
  </si>
  <si>
    <t>Metrics connecting strategy with UX/CX metrics</t>
  </si>
  <si>
    <t>Translating metrics into concrete measurable definitions</t>
  </si>
  <si>
    <t>Metrics for the appropriate level in the organization</t>
  </si>
  <si>
    <t>Perception and decision making</t>
  </si>
  <si>
    <t>Optimization process</t>
  </si>
  <si>
    <t>CX Maturity models</t>
  </si>
  <si>
    <t>Brand, usability, UX, CX</t>
  </si>
  <si>
    <t>CX strategy</t>
  </si>
  <si>
    <t>Copywriting | UX writing | Content</t>
  </si>
  <si>
    <t>Customer Journey Mapping &amp; Personas</t>
  </si>
  <si>
    <t>Personalization &amp; segmentation</t>
  </si>
  <si>
    <t>Customer Journey (CXO)</t>
  </si>
  <si>
    <t>eCommerce Analytics</t>
  </si>
  <si>
    <t>Product Analytics</t>
  </si>
  <si>
    <t>Customer Service Optimalisation</t>
  </si>
  <si>
    <t>Design</t>
  </si>
  <si>
    <t>Prototyping</t>
  </si>
  <si>
    <t>Visual design</t>
  </si>
  <si>
    <t>Written and oral communication</t>
  </si>
  <si>
    <t>Change management</t>
  </si>
  <si>
    <t>ID</t>
  </si>
  <si>
    <t>Name</t>
  </si>
  <si>
    <t>Function</t>
  </si>
  <si>
    <t>Specialization</t>
  </si>
  <si>
    <t>Current</t>
  </si>
  <si>
    <t>You (mandatory)</t>
  </si>
  <si>
    <t>Reviewer 1 (optional)</t>
  </si>
  <si>
    <t>Reviewer 2 (optional)</t>
  </si>
  <si>
    <t>Ambition</t>
  </si>
  <si>
    <t>Competence description</t>
  </si>
  <si>
    <t>Score current situation</t>
  </si>
  <si>
    <t>Subtotal average</t>
  </si>
  <si>
    <t>Total average</t>
  </si>
  <si>
    <t>Score ambition</t>
  </si>
  <si>
    <t>Total</t>
  </si>
  <si>
    <t>Categories</t>
  </si>
  <si>
    <t>Domain skills subcategories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</si>
</sst>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2">
    <font>
      <sz val="11"/>
      <color theme="1"/>
      <name val="Calibri"/>
      <family val="2"/>
      <scheme val="minor"/>
    </font>
    <font>
      <sz val="11"/>
      <color theme="1"/>
      <name val="Calibri"/>
      <family val="2"/>
      <scheme val="minor"/>
    </font>
    <font>
      <sz val="8"/>
      <name val="Calibri"/>
      <family val="2"/>
      <scheme val="minor"/>
    </font>
    <font>
      <b/>
      <sz val="16"/>
      <color theme="1"/>
      <name val="Calibri"/>
      <family val="2"/>
      <scheme val="minor"/>
    </font>
    <font>
      <b/>
      <sz val="11"/>
      <color theme="1"/>
      <name val="Calibri"/>
      <family val="2"/>
      <scheme val="minor"/>
    </font>
    <font>
      <i/>
      <sz val="11"/>
      <color theme="1"/>
      <name val="Calibri"/>
      <family val="2"/>
      <scheme val="minor"/>
    </font>
    <font>
      <sz val="11"/>
      <color theme="1"/>
      <name val="Calibri Light"/>
      <family val="2"/>
      <scheme val="major"/>
    </font>
    <font>
      <b/>
      <sz val="11"/>
      <color theme="0"/>
      <name val="Calibri"/>
      <family val="2"/>
      <scheme val="minor"/>
    </font>
    <font>
      <b/>
      <sz val="18"/>
      <color theme="0"/>
      <name val="Calibri"/>
      <family val="2"/>
      <scheme val="minor"/>
    </font>
    <font>
      <sz val="11"/>
      <color theme="0" tint="-0.249977111117893"/>
      <name val="Calibri"/>
      <family val="2"/>
      <scheme val="minor"/>
    </font>
    <font>
      <sz val="14"/>
      <color theme="1"/>
      <name val="Calibri"/>
      <family val="2"/>
      <scheme val="minor"/>
    </font>
    <font>
      <sz val="11"/>
      <color rgb="FFFFC000"/>
      <name val="Calibri"/>
      <family val="2"/>
      <scheme val="minor"/>
    </font>
    <font>
      <b/>
      <sz val="20"/>
      <name val="Calibri"/>
      <family val="2"/>
      <scheme val="minor"/>
    </font>
    <font>
      <sz val="11"/>
      <name val="Calibri"/>
      <family val="2"/>
      <scheme val="minor"/>
    </font>
    <font>
      <b/>
      <i/>
      <sz val="18"/>
      <name val="Calibri"/>
      <family val="2"/>
      <scheme val="minor"/>
    </font>
    <font>
      <sz val="11"/>
      <name val="Calibri Light"/>
      <family val="2"/>
      <scheme val="major"/>
    </font>
    <font>
      <b/>
      <sz val="18"/>
      <name val="Calibri"/>
      <family val="2"/>
      <scheme val="minor"/>
    </font>
    <font>
      <b/>
      <sz val="11"/>
      <name val="Calibri"/>
      <family val="2"/>
      <scheme val="minor"/>
    </font>
    <font>
      <b/>
      <i/>
      <sz val="18"/>
      <color theme="1"/>
      <name val="Calibri"/>
      <family val="2"/>
      <scheme val="minor"/>
    </font>
    <font>
      <b/>
      <i/>
      <sz val="11"/>
      <color theme="1"/>
      <name val="Calibri"/>
      <family val="2"/>
      <scheme val="minor"/>
    </font>
    <font>
      <i/>
      <sz val="11"/>
      <color rgb="FFA5A5A5"/>
      <name val="Calibri"/>
      <family val="2"/>
      <scheme val="minor"/>
    </font>
    <font>
      <b/>
      <sz val="11"/>
      <color rgb="FF000000"/>
      <name val="Calibri"/>
    </font>
    <font>
      <sz val="11"/>
      <color rgb="FFA5A5A5"/>
      <name val="Calibri"/>
    </font>
    <font>
      <b/>
      <sz val="11"/>
      <name val="Calibri"/>
    </font>
    <font>
      <sz val="11"/>
      <color rgb="FFBFBFBF"/>
      <name val="Calibri"/>
    </font>
    <font>
      <sz val="11"/>
      <name val="Calibri"/>
    </font>
    <font>
      <b/>
      <sz val="18"/>
      <color rgb="FF000000"/>
      <name val="Calibri"/>
      <charset val="1"/>
    </font>
    <font>
      <sz val="11"/>
      <color rgb="FFA5A5A5"/>
      <name val="Calibri"/>
      <family val="2"/>
    </font>
    <font>
      <b/>
      <sz val="11"/>
      <name val="Calibri"/>
      <family val="2"/>
    </font>
    <font>
      <sz val="11"/>
      <color rgb="FFBFBFBF"/>
      <name val="Calibri"/>
      <family val="2"/>
    </font>
    <font>
      <sz val="11"/>
      <name val="Calibri"/>
      <family val="2"/>
    </font>
    <font>
      <sz val="11"/>
      <color rgb="FF000000"/>
      <name val="Calibri"/>
      <family val="2"/>
    </font>
  </fonts>
  <fills count="17">
    <fill>
      <patternFill patternType="none"/>
    </fill>
    <fill>
      <patternFill patternType="gray125"/>
    </fill>
    <fill>
      <patternFill patternType="solid">
        <fgColor theme="0" tint="-0.14999847407452621"/>
        <bgColor indexed="64"/>
      </patternFill>
    </fill>
    <fill>
      <patternFill patternType="solid">
        <fgColor rgb="FF92D050"/>
        <bgColor indexed="64"/>
      </patternFill>
    </fill>
    <fill>
      <patternFill patternType="solid">
        <fgColor theme="5"/>
        <bgColor indexed="64"/>
      </patternFill>
    </fill>
    <fill>
      <patternFill patternType="solid">
        <fgColor rgb="FFFF0000"/>
        <bgColor indexed="64"/>
      </patternFill>
    </fill>
    <fill>
      <patternFill patternType="solid">
        <fgColor theme="0"/>
        <bgColor indexed="64"/>
      </patternFill>
    </fill>
    <fill>
      <patternFill patternType="solid">
        <fgColor rgb="FF5A8A26"/>
        <bgColor indexed="64"/>
      </patternFill>
    </fill>
    <fill>
      <patternFill patternType="solid">
        <fgColor rgb="FFC0E399"/>
        <bgColor indexed="64"/>
      </patternFill>
    </fill>
    <fill>
      <patternFill patternType="solid">
        <fgColor rgb="FF00B0F0"/>
        <bgColor indexed="64"/>
      </patternFill>
    </fill>
    <fill>
      <patternFill patternType="solid">
        <fgColor rgb="FF43661C"/>
        <bgColor indexed="64"/>
      </patternFill>
    </fill>
    <fill>
      <patternFill patternType="solid">
        <fgColor rgb="FFFFC000"/>
        <bgColor indexed="64"/>
      </patternFill>
    </fill>
    <fill>
      <patternFill patternType="solid">
        <fgColor rgb="FFED7D31"/>
        <bgColor indexed="64"/>
      </patternFill>
    </fill>
    <fill>
      <patternFill patternType="solid">
        <fgColor rgb="FF7030A0"/>
        <bgColor indexed="64"/>
      </patternFill>
    </fill>
    <fill>
      <patternFill patternType="solid">
        <fgColor theme="6"/>
        <bgColor indexed="64"/>
      </patternFill>
    </fill>
    <fill>
      <patternFill patternType="solid">
        <fgColor rgb="FFA5A5A5"/>
        <bgColor indexed="64"/>
      </patternFill>
    </fill>
    <fill>
      <patternFill patternType="solid">
        <fgColor rgb="FFFFFFFF"/>
        <bgColor indexed="64"/>
      </patternFill>
    </fill>
  </fills>
  <borders count="6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medium">
        <color indexed="64"/>
      </right>
      <top style="thin">
        <color indexed="64"/>
      </top>
      <bottom style="hair">
        <color indexed="64"/>
      </bottom>
      <diagonal/>
    </border>
    <border>
      <left style="medium">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medium">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auto="1"/>
      </left>
      <right style="thin">
        <color auto="1"/>
      </right>
      <top/>
      <bottom/>
      <diagonal/>
    </border>
    <border>
      <left style="thin">
        <color auto="1"/>
      </left>
      <right style="thin">
        <color auto="1"/>
      </right>
      <top/>
      <bottom style="thin">
        <color auto="1"/>
      </bottom>
      <diagonal/>
    </border>
    <border>
      <left/>
      <right style="hair">
        <color indexed="64"/>
      </right>
      <top style="thin">
        <color indexed="64"/>
      </top>
      <bottom style="hair">
        <color indexed="64"/>
      </bottom>
      <diagonal/>
    </border>
    <border>
      <left/>
      <right style="hair">
        <color indexed="64"/>
      </right>
      <top style="hair">
        <color indexed="64"/>
      </top>
      <bottom style="hair">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diagonal/>
    </border>
    <border>
      <left/>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thin">
        <color auto="1"/>
      </left>
      <right style="medium">
        <color indexed="64"/>
      </right>
      <top style="medium">
        <color indexed="64"/>
      </top>
      <bottom/>
      <diagonal/>
    </border>
    <border>
      <left/>
      <right style="medium">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theme="0" tint="-0.14996795556505021"/>
      </left>
      <right style="thin">
        <color theme="0" tint="-0.14996795556505021"/>
      </right>
      <top style="thin">
        <color indexed="64"/>
      </top>
      <bottom style="thin">
        <color indexed="64"/>
      </bottom>
      <diagonal/>
    </border>
    <border>
      <left style="thin">
        <color theme="0" tint="-0.14996795556505021"/>
      </left>
      <right style="thin">
        <color indexed="64"/>
      </right>
      <top style="thin">
        <color indexed="64"/>
      </top>
      <bottom style="thin">
        <color indexed="64"/>
      </bottom>
      <diagonal/>
    </border>
    <border>
      <left/>
      <right style="thin">
        <color theme="0" tint="-0.14996795556505021"/>
      </right>
      <top style="thin">
        <color indexed="64"/>
      </top>
      <bottom style="thin">
        <color indexed="64"/>
      </bottom>
      <diagonal/>
    </border>
    <border>
      <left/>
      <right/>
      <top style="thin">
        <color indexed="64"/>
      </top>
      <bottom/>
      <diagonal/>
    </border>
    <border>
      <left/>
      <right style="thin">
        <color indexed="64"/>
      </right>
      <top style="medium">
        <color indexed="64"/>
      </top>
      <bottom/>
      <diagonal/>
    </border>
    <border>
      <left/>
      <right/>
      <top style="medium">
        <color indexed="64"/>
      </top>
      <bottom/>
      <diagonal/>
    </border>
    <border>
      <left/>
      <right/>
      <top style="thin">
        <color indexed="64"/>
      </top>
      <bottom style="hair">
        <color indexed="64"/>
      </bottom>
      <diagonal/>
    </border>
    <border>
      <left/>
      <right/>
      <top style="hair">
        <color indexed="64"/>
      </top>
      <bottom style="hair">
        <color indexed="64"/>
      </bottom>
      <diagonal/>
    </border>
    <border>
      <left style="medium">
        <color indexed="64"/>
      </left>
      <right style="thin">
        <color indexed="64"/>
      </right>
      <top style="medium">
        <color indexed="64"/>
      </top>
      <bottom/>
      <diagonal/>
    </border>
    <border>
      <left style="thin">
        <color theme="1"/>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theme="1"/>
      </left>
      <right/>
      <top style="thin">
        <color indexed="64"/>
      </top>
      <bottom style="thin">
        <color indexed="64"/>
      </bottom>
      <diagonal/>
    </border>
    <border>
      <left/>
      <right style="thin">
        <color theme="0" tint="-0.14996795556505021"/>
      </right>
      <top style="thin">
        <color indexed="64"/>
      </top>
      <bottom/>
      <diagonal/>
    </border>
    <border>
      <left style="thin">
        <color theme="0" tint="-0.14996795556505021"/>
      </left>
      <right style="thin">
        <color theme="0" tint="-0.14996795556505021"/>
      </right>
      <top style="thin">
        <color indexed="64"/>
      </top>
      <bottom/>
      <diagonal/>
    </border>
    <border>
      <left style="thin">
        <color theme="0" tint="-0.14996795556505021"/>
      </left>
      <right style="thin">
        <color indexed="64"/>
      </right>
      <top style="thin">
        <color indexed="64"/>
      </top>
      <bottom/>
      <diagonal/>
    </border>
    <border>
      <left/>
      <right/>
      <top style="medium">
        <color indexed="64"/>
      </top>
      <bottom style="thin">
        <color rgb="FF000000"/>
      </bottom>
      <diagonal/>
    </border>
  </borders>
  <cellStyleXfs count="2">
    <xf numFmtId="0" fontId="0" fillId="0" borderId="0"/>
    <xf numFmtId="9" fontId="1" fillId="0" borderId="0" applyFont="0" applyFill="0" applyBorder="0" applyAlignment="0" applyProtection="0"/>
  </cellStyleXfs>
  <cellXfs count="210">
    <xf numFmtId="0" fontId="0" fillId="0" borderId="0" xfId="0"/>
    <xf numFmtId="0" fontId="0" fillId="0" borderId="0" xfId="0" applyAlignment="1">
      <alignment wrapText="1"/>
    </xf>
    <xf numFmtId="0" fontId="0" fillId="0" borderId="1" xfId="0" applyBorder="1"/>
    <xf numFmtId="0" fontId="0" fillId="0" borderId="2" xfId="0" applyBorder="1"/>
    <xf numFmtId="0" fontId="0" fillId="0" borderId="3" xfId="0" applyBorder="1"/>
    <xf numFmtId="0" fontId="0" fillId="2" borderId="3" xfId="0" applyFill="1" applyBorder="1"/>
    <xf numFmtId="0" fontId="0" fillId="0" borderId="5" xfId="0" applyBorder="1"/>
    <xf numFmtId="0" fontId="0" fillId="0" borderId="9" xfId="0" applyBorder="1"/>
    <xf numFmtId="0" fontId="0" fillId="0" borderId="5" xfId="0" applyBorder="1" applyAlignment="1">
      <alignment textRotation="90" wrapText="1"/>
    </xf>
    <xf numFmtId="0" fontId="0" fillId="0" borderId="1" xfId="0" applyBorder="1" applyAlignment="1">
      <alignment textRotation="90" wrapText="1"/>
    </xf>
    <xf numFmtId="0" fontId="0" fillId="0" borderId="2" xfId="0" applyBorder="1" applyAlignment="1">
      <alignment textRotation="90" wrapText="1"/>
    </xf>
    <xf numFmtId="0" fontId="0" fillId="0" borderId="5" xfId="0" applyBorder="1" applyAlignment="1">
      <alignment horizontal="center" textRotation="90" wrapText="1"/>
    </xf>
    <xf numFmtId="0" fontId="0" fillId="0" borderId="1" xfId="0" applyBorder="1" applyAlignment="1">
      <alignment horizontal="center" textRotation="90" wrapText="1"/>
    </xf>
    <xf numFmtId="0" fontId="0" fillId="0" borderId="6"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5" xfId="0" applyBorder="1" applyAlignment="1">
      <alignment horizontal="center"/>
    </xf>
    <xf numFmtId="0" fontId="0" fillId="0" borderId="1" xfId="0" applyBorder="1" applyAlignment="1">
      <alignment horizontal="center"/>
    </xf>
    <xf numFmtId="0" fontId="0" fillId="0" borderId="6" xfId="0" applyBorder="1" applyAlignment="1">
      <alignment horizontal="center"/>
    </xf>
    <xf numFmtId="0" fontId="0" fillId="0" borderId="4" xfId="0" applyBorder="1" applyAlignment="1">
      <alignment horizontal="center"/>
    </xf>
    <xf numFmtId="0" fontId="0" fillId="0" borderId="2" xfId="0" applyBorder="1" applyAlignment="1">
      <alignment horizontal="center"/>
    </xf>
    <xf numFmtId="0" fontId="0" fillId="2" borderId="7" xfId="0" applyFill="1" applyBorder="1" applyAlignment="1">
      <alignment horizontal="center"/>
    </xf>
    <xf numFmtId="0" fontId="0" fillId="2" borderId="3" xfId="0" applyFill="1" applyBorder="1" applyAlignment="1">
      <alignment horizontal="center"/>
    </xf>
    <xf numFmtId="0" fontId="0" fillId="2" borderId="8"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0" borderId="0" xfId="0" applyAlignment="1">
      <alignment horizontal="center"/>
    </xf>
    <xf numFmtId="0" fontId="0" fillId="3" borderId="1" xfId="0" applyFill="1" applyBorder="1"/>
    <xf numFmtId="0" fontId="0" fillId="0" borderId="21" xfId="0" applyBorder="1" applyAlignment="1">
      <alignment horizontal="center"/>
    </xf>
    <xf numFmtId="164" fontId="0" fillId="0" borderId="20" xfId="0" applyNumberFormat="1" applyBorder="1" applyAlignment="1">
      <alignment horizontal="center"/>
    </xf>
    <xf numFmtId="164" fontId="0" fillId="0" borderId="19" xfId="0" applyNumberFormat="1" applyBorder="1" applyAlignment="1">
      <alignment horizontal="center"/>
    </xf>
    <xf numFmtId="0" fontId="4" fillId="2" borderId="7" xfId="0" applyFont="1" applyFill="1" applyBorder="1"/>
    <xf numFmtId="0" fontId="0" fillId="4" borderId="1" xfId="0" applyFill="1" applyBorder="1"/>
    <xf numFmtId="0" fontId="0" fillId="0" borderId="10" xfId="0" applyBorder="1" applyAlignment="1">
      <alignment textRotation="90" wrapText="1"/>
    </xf>
    <xf numFmtId="0" fontId="0" fillId="0" borderId="11" xfId="0" applyBorder="1" applyAlignment="1">
      <alignment textRotation="90" wrapText="1"/>
    </xf>
    <xf numFmtId="0" fontId="0" fillId="0" borderId="12" xfId="0" applyBorder="1" applyAlignment="1">
      <alignment textRotation="90" wrapText="1"/>
    </xf>
    <xf numFmtId="0" fontId="0" fillId="0" borderId="10" xfId="0" applyBorder="1" applyAlignment="1">
      <alignment horizontal="center" textRotation="90" wrapText="1"/>
    </xf>
    <xf numFmtId="0" fontId="0" fillId="0" borderId="11" xfId="0" applyBorder="1" applyAlignment="1">
      <alignment horizontal="center" textRotation="90" wrapText="1"/>
    </xf>
    <xf numFmtId="0" fontId="0" fillId="0" borderId="12" xfId="0" applyBorder="1" applyAlignment="1">
      <alignment horizontal="center" textRotation="90" wrapText="1"/>
    </xf>
    <xf numFmtId="0" fontId="0" fillId="0" borderId="13" xfId="0" applyBorder="1" applyAlignment="1">
      <alignment horizontal="center" textRotation="90" wrapText="1"/>
    </xf>
    <xf numFmtId="0" fontId="0" fillId="0" borderId="14" xfId="0" applyBorder="1" applyAlignment="1">
      <alignment horizontal="center" textRotation="90" wrapText="1"/>
    </xf>
    <xf numFmtId="0" fontId="0" fillId="5" borderId="15" xfId="0" applyFill="1" applyBorder="1" applyAlignment="1">
      <alignment horizontal="center"/>
    </xf>
    <xf numFmtId="0" fontId="0" fillId="5" borderId="16" xfId="0" applyFill="1" applyBorder="1" applyAlignment="1">
      <alignment horizontal="center"/>
    </xf>
    <xf numFmtId="0" fontId="0" fillId="5" borderId="17" xfId="0" applyFill="1" applyBorder="1" applyAlignment="1">
      <alignment horizontal="center"/>
    </xf>
    <xf numFmtId="0" fontId="3" fillId="6" borderId="0" xfId="0" applyFont="1" applyFill="1"/>
    <xf numFmtId="0" fontId="0" fillId="6" borderId="0" xfId="0" applyFill="1"/>
    <xf numFmtId="0" fontId="0" fillId="6" borderId="0" xfId="0" applyFill="1" applyAlignment="1">
      <alignment wrapText="1"/>
    </xf>
    <xf numFmtId="0" fontId="0" fillId="6" borderId="10" xfId="0" applyFill="1" applyBorder="1" applyAlignment="1">
      <alignment horizontal="center" textRotation="90" wrapText="1"/>
    </xf>
    <xf numFmtId="0" fontId="0" fillId="6" borderId="11" xfId="0" applyFill="1" applyBorder="1" applyAlignment="1">
      <alignment horizontal="center" textRotation="90" wrapText="1"/>
    </xf>
    <xf numFmtId="0" fontId="0" fillId="6" borderId="13" xfId="0" applyFill="1" applyBorder="1" applyAlignment="1">
      <alignment horizontal="center" textRotation="90" wrapText="1"/>
    </xf>
    <xf numFmtId="0" fontId="0" fillId="6" borderId="5" xfId="0" applyFill="1" applyBorder="1" applyAlignment="1">
      <alignment horizontal="center" textRotation="90" wrapText="1"/>
    </xf>
    <xf numFmtId="0" fontId="0" fillId="6" borderId="1" xfId="0" applyFill="1" applyBorder="1" applyAlignment="1">
      <alignment horizontal="center" textRotation="90" wrapText="1"/>
    </xf>
    <xf numFmtId="0" fontId="0" fillId="6" borderId="6" xfId="0" applyFill="1" applyBorder="1" applyAlignment="1">
      <alignment horizontal="center" textRotation="90" wrapText="1"/>
    </xf>
    <xf numFmtId="164" fontId="0" fillId="6" borderId="0" xfId="0" applyNumberFormat="1" applyFill="1"/>
    <xf numFmtId="164" fontId="0" fillId="6" borderId="0" xfId="1" applyNumberFormat="1" applyFont="1" applyFill="1" applyBorder="1" applyAlignment="1">
      <alignment horizontal="center" wrapText="1"/>
    </xf>
    <xf numFmtId="0" fontId="0" fillId="6" borderId="0" xfId="0" applyFill="1" applyAlignment="1">
      <alignment horizontal="center" wrapText="1"/>
    </xf>
    <xf numFmtId="0" fontId="0" fillId="0" borderId="0" xfId="0" applyAlignment="1">
      <alignment vertical="center" wrapText="1"/>
    </xf>
    <xf numFmtId="0" fontId="6" fillId="0" borderId="0" xfId="0" quotePrefix="1" applyFont="1" applyAlignment="1">
      <alignment horizontal="left" vertical="top" wrapText="1"/>
    </xf>
    <xf numFmtId="0" fontId="5" fillId="0" borderId="0" xfId="0" applyFont="1" applyAlignment="1">
      <alignment horizontal="center" vertical="center" wrapText="1"/>
    </xf>
    <xf numFmtId="0" fontId="0" fillId="0" borderId="0" xfId="0" applyAlignment="1">
      <alignment horizontal="center" vertical="top" wrapText="1"/>
    </xf>
    <xf numFmtId="0" fontId="5" fillId="0" borderId="0" xfId="0" applyFont="1" applyAlignment="1">
      <alignment horizontal="center" vertical="top" wrapText="1"/>
    </xf>
    <xf numFmtId="0" fontId="0" fillId="0" borderId="0" xfId="0" applyAlignment="1">
      <alignment vertical="top" wrapText="1"/>
    </xf>
    <xf numFmtId="0" fontId="0" fillId="0" borderId="0" xfId="0" applyAlignment="1">
      <alignment horizontal="left" vertical="top" wrapText="1"/>
    </xf>
    <xf numFmtId="0" fontId="6" fillId="0" borderId="0" xfId="0" quotePrefix="1" applyFont="1" applyAlignment="1">
      <alignment horizontal="left" vertical="center" wrapText="1"/>
    </xf>
    <xf numFmtId="0" fontId="0" fillId="5" borderId="24" xfId="0" applyFill="1" applyBorder="1" applyAlignment="1">
      <alignment horizontal="center"/>
    </xf>
    <xf numFmtId="0" fontId="0" fillId="0" borderId="25" xfId="0" applyBorder="1" applyAlignment="1">
      <alignment horizontal="center"/>
    </xf>
    <xf numFmtId="0" fontId="5" fillId="0" borderId="0" xfId="0" applyFont="1" applyAlignment="1">
      <alignment horizontal="left" vertical="top"/>
    </xf>
    <xf numFmtId="0" fontId="0" fillId="0" borderId="0" xfId="0" applyAlignment="1">
      <alignment horizontal="left"/>
    </xf>
    <xf numFmtId="0" fontId="0" fillId="11" borderId="0" xfId="0" applyFill="1" applyAlignment="1">
      <alignment horizontal="center"/>
    </xf>
    <xf numFmtId="0" fontId="0" fillId="7" borderId="0" xfId="0" applyFill="1" applyAlignment="1">
      <alignment horizontal="center"/>
    </xf>
    <xf numFmtId="0" fontId="0" fillId="12" borderId="0" xfId="0"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6" borderId="26" xfId="0" applyFill="1" applyBorder="1" applyAlignment="1">
      <alignment horizontal="center" textRotation="90" wrapText="1"/>
    </xf>
    <xf numFmtId="0" fontId="0" fillId="6" borderId="23" xfId="0" applyFill="1" applyBorder="1" applyAlignment="1">
      <alignment horizontal="center" textRotation="90" wrapText="1"/>
    </xf>
    <xf numFmtId="0" fontId="0" fillId="6" borderId="28" xfId="0" applyFill="1" applyBorder="1" applyAlignment="1">
      <alignment horizontal="center" textRotation="90" wrapText="1"/>
    </xf>
    <xf numFmtId="164" fontId="0" fillId="6" borderId="30" xfId="0" applyNumberFormat="1" applyFill="1" applyBorder="1"/>
    <xf numFmtId="0" fontId="10" fillId="6" borderId="0" xfId="0" applyFont="1" applyFill="1" applyAlignment="1">
      <alignment horizontal="left"/>
    </xf>
    <xf numFmtId="0" fontId="10" fillId="6" borderId="0" xfId="0" applyFont="1" applyFill="1" applyAlignment="1">
      <alignment horizontal="center" wrapText="1"/>
    </xf>
    <xf numFmtId="0" fontId="0" fillId="6" borderId="34" xfId="0" applyFill="1" applyBorder="1" applyAlignment="1">
      <alignment horizontal="center" wrapText="1"/>
    </xf>
    <xf numFmtId="0" fontId="0" fillId="6" borderId="35" xfId="0" applyFill="1" applyBorder="1" applyAlignment="1">
      <alignment horizontal="center" wrapText="1"/>
    </xf>
    <xf numFmtId="0" fontId="0" fillId="6" borderId="36" xfId="0" applyFill="1" applyBorder="1" applyAlignment="1">
      <alignment horizontal="center" wrapText="1"/>
    </xf>
    <xf numFmtId="0" fontId="0" fillId="13" borderId="0" xfId="0" applyFill="1" applyAlignment="1">
      <alignment horizontal="center"/>
    </xf>
    <xf numFmtId="0" fontId="0" fillId="14" borderId="0" xfId="0" applyFill="1" applyAlignment="1">
      <alignment horizontal="center"/>
    </xf>
    <xf numFmtId="164" fontId="0" fillId="6" borderId="1" xfId="1" applyNumberFormat="1" applyFont="1" applyFill="1" applyBorder="1" applyAlignment="1">
      <alignment horizontal="center" wrapText="1"/>
    </xf>
    <xf numFmtId="164" fontId="0" fillId="6" borderId="10" xfId="1" applyNumberFormat="1" applyFont="1" applyFill="1" applyBorder="1" applyAlignment="1">
      <alignment horizontal="center" wrapText="1"/>
    </xf>
    <xf numFmtId="164" fontId="0" fillId="6" borderId="11" xfId="1" applyNumberFormat="1" applyFont="1" applyFill="1" applyBorder="1" applyAlignment="1">
      <alignment horizontal="center" wrapText="1"/>
    </xf>
    <xf numFmtId="164" fontId="0" fillId="6" borderId="37" xfId="1" applyNumberFormat="1" applyFont="1" applyFill="1" applyBorder="1" applyAlignment="1">
      <alignment horizontal="center" wrapText="1"/>
    </xf>
    <xf numFmtId="164" fontId="0" fillId="6" borderId="13" xfId="1" applyNumberFormat="1" applyFont="1" applyFill="1" applyBorder="1" applyAlignment="1">
      <alignment horizontal="center" wrapText="1"/>
    </xf>
    <xf numFmtId="164" fontId="0" fillId="6" borderId="9" xfId="1" applyNumberFormat="1" applyFont="1" applyFill="1" applyBorder="1" applyAlignment="1">
      <alignment horizontal="center" wrapText="1"/>
    </xf>
    <xf numFmtId="164" fontId="0" fillId="6" borderId="38" xfId="1" applyNumberFormat="1" applyFont="1" applyFill="1" applyBorder="1" applyAlignment="1">
      <alignment horizontal="center" wrapText="1"/>
    </xf>
    <xf numFmtId="164" fontId="0" fillId="6" borderId="39" xfId="1" applyNumberFormat="1" applyFont="1" applyFill="1" applyBorder="1" applyAlignment="1">
      <alignment horizontal="center" wrapText="1"/>
    </xf>
    <xf numFmtId="164" fontId="0" fillId="6" borderId="40" xfId="1" applyNumberFormat="1" applyFont="1" applyFill="1" applyBorder="1" applyAlignment="1">
      <alignment horizontal="center" wrapText="1"/>
    </xf>
    <xf numFmtId="164" fontId="0" fillId="6" borderId="36" xfId="1" applyNumberFormat="1" applyFont="1" applyFill="1" applyBorder="1" applyAlignment="1">
      <alignment horizontal="center" wrapText="1"/>
    </xf>
    <xf numFmtId="164" fontId="0" fillId="6" borderId="41" xfId="1" applyNumberFormat="1" applyFont="1" applyFill="1" applyBorder="1" applyAlignment="1">
      <alignment horizontal="center" wrapText="1"/>
    </xf>
    <xf numFmtId="164" fontId="0" fillId="6" borderId="6" xfId="1" applyNumberFormat="1" applyFont="1" applyFill="1" applyBorder="1" applyAlignment="1">
      <alignment horizontal="center" wrapText="1"/>
    </xf>
    <xf numFmtId="164" fontId="0" fillId="6" borderId="42" xfId="1" applyNumberFormat="1" applyFont="1" applyFill="1" applyBorder="1" applyAlignment="1">
      <alignment horizontal="center" wrapText="1"/>
    </xf>
    <xf numFmtId="164" fontId="0" fillId="6" borderId="43" xfId="1" applyNumberFormat="1" applyFont="1" applyFill="1" applyBorder="1" applyAlignment="1">
      <alignment horizontal="center" wrapText="1"/>
    </xf>
    <xf numFmtId="164" fontId="0" fillId="6" borderId="44" xfId="1" applyNumberFormat="1" applyFont="1" applyFill="1" applyBorder="1" applyAlignment="1">
      <alignment horizontal="center" wrapText="1"/>
    </xf>
    <xf numFmtId="164" fontId="0" fillId="6" borderId="45" xfId="1" applyNumberFormat="1" applyFont="1" applyFill="1" applyBorder="1" applyAlignment="1">
      <alignment horizontal="center" wrapText="1"/>
    </xf>
    <xf numFmtId="164" fontId="0" fillId="6" borderId="46" xfId="1" applyNumberFormat="1" applyFont="1" applyFill="1" applyBorder="1" applyAlignment="1">
      <alignment horizontal="center" wrapText="1"/>
    </xf>
    <xf numFmtId="164" fontId="0" fillId="6" borderId="47" xfId="0" applyNumberFormat="1" applyFill="1" applyBorder="1"/>
    <xf numFmtId="164" fontId="0" fillId="6" borderId="48" xfId="0" applyNumberFormat="1" applyFill="1" applyBorder="1"/>
    <xf numFmtId="0" fontId="0" fillId="15" borderId="0" xfId="0" applyFill="1" applyAlignment="1">
      <alignment horizontal="center"/>
    </xf>
    <xf numFmtId="0" fontId="6" fillId="0" borderId="0" xfId="0" quotePrefix="1" applyFont="1" applyAlignment="1">
      <alignment vertical="top" wrapText="1"/>
    </xf>
    <xf numFmtId="0" fontId="0" fillId="0" borderId="0" xfId="0" applyAlignment="1">
      <alignment horizontal="center" vertical="center" wrapText="1"/>
    </xf>
    <xf numFmtId="0" fontId="0" fillId="4" borderId="0" xfId="0" applyFill="1" applyAlignment="1">
      <alignment vertical="center" wrapText="1"/>
    </xf>
    <xf numFmtId="0" fontId="0" fillId="4" borderId="0" xfId="0" applyFill="1" applyAlignment="1">
      <alignment vertical="top" wrapText="1"/>
    </xf>
    <xf numFmtId="0" fontId="8" fillId="7" borderId="22" xfId="0" applyFont="1" applyFill="1" applyBorder="1" applyAlignment="1">
      <alignment horizontal="left" vertical="center" wrapText="1"/>
    </xf>
    <xf numFmtId="0" fontId="7" fillId="7" borderId="22" xfId="0" applyFont="1" applyFill="1" applyBorder="1" applyAlignment="1">
      <alignment horizontal="left" vertical="center" wrapText="1"/>
    </xf>
    <xf numFmtId="0" fontId="8" fillId="8" borderId="22" xfId="0" applyFont="1" applyFill="1" applyBorder="1" applyAlignment="1">
      <alignment horizontal="left" vertical="center" wrapText="1"/>
    </xf>
    <xf numFmtId="0" fontId="7" fillId="8" borderId="22" xfId="0" applyFont="1" applyFill="1" applyBorder="1" applyAlignment="1">
      <alignment horizontal="left" vertical="center" wrapText="1"/>
    </xf>
    <xf numFmtId="0" fontId="11" fillId="11" borderId="0" xfId="0" applyFont="1" applyFill="1" applyAlignment="1">
      <alignment vertical="center" wrapText="1"/>
    </xf>
    <xf numFmtId="0" fontId="11" fillId="11" borderId="0" xfId="0" applyFont="1" applyFill="1" applyAlignment="1">
      <alignment vertical="top" wrapText="1"/>
    </xf>
    <xf numFmtId="0" fontId="0" fillId="13" borderId="0" xfId="0" applyFill="1" applyAlignment="1">
      <alignment vertical="center" wrapText="1"/>
    </xf>
    <xf numFmtId="0" fontId="0" fillId="13" borderId="0" xfId="0" applyFill="1" applyAlignment="1">
      <alignment vertical="top" wrapText="1"/>
    </xf>
    <xf numFmtId="0" fontId="0" fillId="9" borderId="0" xfId="0" applyFill="1" applyAlignment="1">
      <alignment vertical="center" wrapText="1"/>
    </xf>
    <xf numFmtId="0" fontId="0" fillId="9" borderId="0" xfId="0" applyFill="1" applyAlignment="1">
      <alignment vertical="top" wrapText="1"/>
    </xf>
    <xf numFmtId="0" fontId="0" fillId="15" borderId="0" xfId="0" applyFill="1" applyAlignment="1">
      <alignment vertical="center" wrapText="1"/>
    </xf>
    <xf numFmtId="0" fontId="0" fillId="15" borderId="0" xfId="0" applyFill="1" applyAlignment="1">
      <alignment vertical="top" wrapText="1"/>
    </xf>
    <xf numFmtId="0" fontId="4" fillId="0" borderId="49" xfId="0" applyFont="1" applyBorder="1" applyAlignment="1">
      <alignment horizontal="center" vertical="center" wrapText="1"/>
    </xf>
    <xf numFmtId="0" fontId="4" fillId="0" borderId="50" xfId="0" applyFont="1" applyBorder="1" applyAlignment="1">
      <alignment horizontal="center" vertical="center" wrapText="1"/>
    </xf>
    <xf numFmtId="0" fontId="0" fillId="0" borderId="49" xfId="0" applyBorder="1" applyAlignment="1">
      <alignment vertical="top" wrapText="1"/>
    </xf>
    <xf numFmtId="0" fontId="0" fillId="0" borderId="50" xfId="0" applyBorder="1" applyAlignment="1">
      <alignment vertical="top" wrapText="1"/>
    </xf>
    <xf numFmtId="0" fontId="12" fillId="0" borderId="0" xfId="0" applyFont="1" applyAlignment="1">
      <alignment horizontal="left" vertical="top"/>
    </xf>
    <xf numFmtId="0" fontId="13" fillId="0" borderId="0" xfId="0" applyFont="1" applyAlignment="1">
      <alignment horizontal="left" vertical="top" wrapText="1"/>
    </xf>
    <xf numFmtId="0" fontId="15" fillId="0" borderId="0" xfId="0" quotePrefix="1" applyFont="1" applyAlignment="1">
      <alignment horizontal="left" vertical="top" wrapText="1"/>
    </xf>
    <xf numFmtId="0" fontId="13" fillId="0" borderId="0" xfId="0" applyFont="1" applyAlignment="1">
      <alignment wrapText="1"/>
    </xf>
    <xf numFmtId="0" fontId="13" fillId="0" borderId="0" xfId="0" applyFont="1"/>
    <xf numFmtId="0" fontId="16" fillId="0" borderId="2" xfId="0" applyFont="1" applyBorder="1" applyAlignment="1">
      <alignment horizontal="left"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17" fillId="0" borderId="2" xfId="0" applyFont="1" applyBorder="1" applyAlignment="1">
      <alignment horizontal="left" vertical="center" wrapText="1"/>
    </xf>
    <xf numFmtId="0" fontId="0" fillId="0" borderId="3" xfId="0" applyBorder="1" applyAlignment="1">
      <alignment vertical="top" wrapText="1"/>
    </xf>
    <xf numFmtId="0" fontId="0" fillId="0" borderId="4" xfId="0" applyBorder="1" applyAlignment="1">
      <alignment vertical="top" wrapText="1"/>
    </xf>
    <xf numFmtId="0" fontId="4" fillId="0" borderId="51" xfId="0" applyFont="1" applyBorder="1" applyAlignment="1">
      <alignment horizontal="center" vertical="center" wrapText="1"/>
    </xf>
    <xf numFmtId="0" fontId="0" fillId="0" borderId="51" xfId="0" applyBorder="1" applyAlignment="1">
      <alignment vertical="top" wrapText="1"/>
    </xf>
    <xf numFmtId="0" fontId="0" fillId="0" borderId="2" xfId="0" applyBorder="1" applyAlignment="1">
      <alignment horizontal="center" vertical="center" wrapText="1"/>
    </xf>
    <xf numFmtId="0" fontId="9" fillId="0" borderId="0" xfId="0" applyFont="1" applyAlignment="1">
      <alignment horizontal="left" vertical="top" wrapText="1"/>
    </xf>
    <xf numFmtId="0" fontId="0" fillId="0" borderId="26" xfId="0" applyBorder="1" applyAlignment="1">
      <alignment textRotation="90" wrapText="1"/>
    </xf>
    <xf numFmtId="0" fontId="0" fillId="0" borderId="23" xfId="0" applyBorder="1" applyAlignment="1">
      <alignment textRotation="90" wrapText="1"/>
    </xf>
    <xf numFmtId="0" fontId="0" fillId="0" borderId="27" xfId="0" applyBorder="1" applyAlignment="1">
      <alignment textRotation="90" wrapText="1"/>
    </xf>
    <xf numFmtId="0" fontId="0" fillId="0" borderId="26" xfId="0" applyBorder="1" applyAlignment="1">
      <alignment horizontal="center" textRotation="90" wrapText="1"/>
    </xf>
    <xf numFmtId="0" fontId="0" fillId="0" borderId="23" xfId="0" applyBorder="1" applyAlignment="1">
      <alignment horizontal="center" textRotation="90" wrapText="1"/>
    </xf>
    <xf numFmtId="0" fontId="0" fillId="0" borderId="27" xfId="0" applyBorder="1" applyAlignment="1">
      <alignment horizontal="center" textRotation="90" wrapText="1"/>
    </xf>
    <xf numFmtId="0" fontId="0" fillId="0" borderId="28" xfId="0" applyBorder="1" applyAlignment="1">
      <alignment horizontal="center" textRotation="90" wrapText="1"/>
    </xf>
    <xf numFmtId="0" fontId="0" fillId="0" borderId="29" xfId="0" applyBorder="1" applyAlignment="1">
      <alignment horizontal="center" textRotation="90" wrapText="1"/>
    </xf>
    <xf numFmtId="0" fontId="0" fillId="0" borderId="53" xfId="0" applyBorder="1" applyAlignment="1">
      <alignment horizontal="center" textRotation="90" wrapText="1"/>
    </xf>
    <xf numFmtId="0" fontId="0" fillId="0" borderId="54" xfId="0" applyBorder="1" applyAlignment="1">
      <alignment horizontal="center" textRotation="90" wrapText="1"/>
    </xf>
    <xf numFmtId="0" fontId="0" fillId="0" borderId="3" xfId="0" applyBorder="1" applyAlignment="1">
      <alignment horizontal="center" textRotation="90" wrapText="1"/>
    </xf>
    <xf numFmtId="0" fontId="0" fillId="0" borderId="3" xfId="0" applyBorder="1" applyAlignment="1">
      <alignment horizontal="center"/>
    </xf>
    <xf numFmtId="0" fontId="0" fillId="5" borderId="55" xfId="0" applyFill="1" applyBorder="1" applyAlignment="1">
      <alignment horizontal="center"/>
    </xf>
    <xf numFmtId="0" fontId="0" fillId="0" borderId="56" xfId="0" applyBorder="1" applyAlignment="1">
      <alignment horizontal="center"/>
    </xf>
    <xf numFmtId="0" fontId="0" fillId="0" borderId="57" xfId="0" applyBorder="1" applyAlignment="1">
      <alignment horizontal="center" textRotation="90" wrapText="1"/>
    </xf>
    <xf numFmtId="0" fontId="18" fillId="2" borderId="1" xfId="0" applyFont="1" applyFill="1" applyBorder="1" applyAlignment="1">
      <alignment vertical="center" wrapText="1"/>
    </xf>
    <xf numFmtId="0" fontId="19" fillId="2" borderId="1" xfId="0" applyFont="1" applyFill="1" applyBorder="1" applyAlignment="1">
      <alignment vertical="center" wrapText="1"/>
    </xf>
    <xf numFmtId="0" fontId="20" fillId="0" borderId="1" xfId="0" applyFont="1" applyBorder="1" applyAlignment="1">
      <alignment vertical="top" wrapText="1"/>
    </xf>
    <xf numFmtId="0" fontId="5" fillId="2" borderId="1" xfId="0" applyFont="1" applyFill="1" applyBorder="1" applyAlignment="1">
      <alignment horizontal="center" vertical="center" wrapText="1"/>
    </xf>
    <xf numFmtId="0" fontId="20" fillId="0" borderId="1" xfId="0" applyFont="1" applyBorder="1" applyAlignment="1">
      <alignment horizontal="center" vertical="center" wrapText="1"/>
    </xf>
    <xf numFmtId="0" fontId="4" fillId="0" borderId="2" xfId="0" applyFont="1" applyBorder="1" applyAlignment="1">
      <alignment horizontal="center" vertical="center" wrapText="1"/>
    </xf>
    <xf numFmtId="0" fontId="0" fillId="0" borderId="1" xfId="0" applyBorder="1" applyAlignment="1">
      <alignment horizontal="center" vertical="center" wrapText="1"/>
    </xf>
    <xf numFmtId="0" fontId="4" fillId="0" borderId="58" xfId="0" applyFont="1" applyBorder="1" applyAlignment="1">
      <alignment horizontal="center" vertical="center" wrapText="1"/>
    </xf>
    <xf numFmtId="0" fontId="0" fillId="0" borderId="58" xfId="0" applyBorder="1" applyAlignment="1">
      <alignment horizontal="center" vertical="center" wrapText="1"/>
    </xf>
    <xf numFmtId="0" fontId="23" fillId="0" borderId="2" xfId="0" applyFont="1" applyBorder="1" applyAlignment="1">
      <alignment horizontal="left" vertical="center" wrapText="1"/>
    </xf>
    <xf numFmtId="0" fontId="26" fillId="16" borderId="0" xfId="0" applyFont="1" applyFill="1"/>
    <xf numFmtId="0" fontId="25" fillId="0" borderId="2" xfId="0" applyFont="1" applyBorder="1" applyAlignment="1">
      <alignment wrapText="1"/>
    </xf>
    <xf numFmtId="0" fontId="28" fillId="0" borderId="2" xfId="0" applyFont="1" applyBorder="1" applyAlignment="1">
      <alignment horizontal="left" vertical="center" wrapText="1"/>
    </xf>
    <xf numFmtId="0" fontId="30" fillId="0" borderId="2" xfId="0" applyFont="1" applyBorder="1" applyAlignment="1">
      <alignment wrapText="1"/>
    </xf>
    <xf numFmtId="0" fontId="31" fillId="0" borderId="59" xfId="0" applyFont="1" applyBorder="1" applyAlignment="1">
      <alignment vertical="center" wrapText="1"/>
    </xf>
    <xf numFmtId="0" fontId="0" fillId="0" borderId="59" xfId="0" applyBorder="1" applyAlignment="1">
      <alignment vertical="center" wrapText="1"/>
    </xf>
    <xf numFmtId="0" fontId="0" fillId="0" borderId="60" xfId="0" applyBorder="1" applyAlignment="1">
      <alignment horizontal="center" vertical="center" wrapText="1"/>
    </xf>
    <xf numFmtId="0" fontId="4" fillId="0" borderId="61" xfId="0" applyFont="1" applyBorder="1" applyAlignment="1">
      <alignment horizontal="center" vertical="center" wrapText="1"/>
    </xf>
    <xf numFmtId="0" fontId="4" fillId="0" borderId="62" xfId="0" applyFont="1" applyBorder="1" applyAlignment="1">
      <alignment horizontal="center" vertical="center" wrapText="1"/>
    </xf>
    <xf numFmtId="0" fontId="4" fillId="0" borderId="63" xfId="0" applyFont="1" applyBorder="1" applyAlignment="1">
      <alignment horizontal="center" vertical="center" wrapText="1"/>
    </xf>
    <xf numFmtId="0" fontId="6" fillId="0" borderId="32" xfId="0" quotePrefix="1" applyFont="1" applyBorder="1" applyAlignment="1">
      <alignment horizontal="left" vertical="top" wrapText="1"/>
    </xf>
    <xf numFmtId="0" fontId="6" fillId="0" borderId="52" xfId="0" quotePrefix="1" applyFont="1" applyBorder="1" applyAlignment="1">
      <alignment horizontal="left" vertical="top" wrapText="1"/>
    </xf>
    <xf numFmtId="0" fontId="6" fillId="0" borderId="31" xfId="0" quotePrefix="1" applyFont="1" applyBorder="1" applyAlignment="1">
      <alignment horizontal="left" vertical="top" wrapText="1"/>
    </xf>
    <xf numFmtId="0" fontId="6" fillId="0" borderId="44" xfId="0" quotePrefix="1" applyFont="1" applyBorder="1" applyAlignment="1">
      <alignment horizontal="left" vertical="top" wrapText="1"/>
    </xf>
    <xf numFmtId="0" fontId="6" fillId="0" borderId="0" xfId="0" quotePrefix="1" applyFont="1" applyAlignment="1">
      <alignment horizontal="left" vertical="top" wrapText="1"/>
    </xf>
    <xf numFmtId="0" fontId="6" fillId="0" borderId="43" xfId="0" quotePrefix="1" applyFont="1" applyBorder="1" applyAlignment="1">
      <alignment horizontal="left" vertical="top" wrapText="1"/>
    </xf>
    <xf numFmtId="0" fontId="6" fillId="0" borderId="27" xfId="0" quotePrefix="1" applyFont="1" applyBorder="1" applyAlignment="1">
      <alignment horizontal="left" vertical="top" wrapText="1"/>
    </xf>
    <xf numFmtId="0" fontId="6" fillId="0" borderId="33" xfId="0" quotePrefix="1" applyFont="1" applyBorder="1" applyAlignment="1">
      <alignment horizontal="left" vertical="top" wrapText="1"/>
    </xf>
    <xf numFmtId="0" fontId="6" fillId="0" borderId="29" xfId="0" quotePrefix="1" applyFont="1" applyBorder="1" applyAlignment="1">
      <alignment horizontal="left" vertical="top" wrapText="1"/>
    </xf>
    <xf numFmtId="0" fontId="14" fillId="0" borderId="2" xfId="0" applyFont="1" applyBorder="1" applyAlignment="1">
      <alignment horizontal="left" vertical="center" wrapText="1"/>
    </xf>
    <xf numFmtId="0" fontId="14" fillId="0" borderId="3" xfId="0" applyFont="1" applyBorder="1" applyAlignment="1">
      <alignment horizontal="left" vertical="center" wrapText="1"/>
    </xf>
    <xf numFmtId="0" fontId="14" fillId="0" borderId="4" xfId="0" applyFont="1" applyBorder="1" applyAlignment="1">
      <alignment horizontal="left" vertical="center" wrapText="1"/>
    </xf>
    <xf numFmtId="0" fontId="5"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13" fillId="0" borderId="32" xfId="0" applyFont="1" applyBorder="1" applyAlignment="1">
      <alignment horizontal="left" vertical="center" wrapText="1"/>
    </xf>
    <xf numFmtId="0" fontId="13" fillId="0" borderId="52" xfId="0" applyFont="1" applyBorder="1" applyAlignment="1">
      <alignment horizontal="left" vertical="center"/>
    </xf>
    <xf numFmtId="0" fontId="13" fillId="0" borderId="31" xfId="0" applyFont="1" applyBorder="1" applyAlignment="1">
      <alignment horizontal="left" vertical="center"/>
    </xf>
    <xf numFmtId="0" fontId="13" fillId="0" borderId="44" xfId="0" applyFont="1" applyBorder="1" applyAlignment="1">
      <alignment horizontal="left" vertical="center"/>
    </xf>
    <xf numFmtId="0" fontId="13" fillId="0" borderId="0" xfId="0" applyFont="1" applyAlignment="1">
      <alignment horizontal="left" vertical="center"/>
    </xf>
    <xf numFmtId="0" fontId="13" fillId="0" borderId="43" xfId="0" applyFont="1" applyBorder="1" applyAlignment="1">
      <alignment horizontal="left" vertical="center"/>
    </xf>
    <xf numFmtId="0" fontId="13" fillId="0" borderId="27" xfId="0" applyFont="1" applyBorder="1" applyAlignment="1">
      <alignment horizontal="left" vertical="center"/>
    </xf>
    <xf numFmtId="0" fontId="13" fillId="0" borderId="33" xfId="0" applyFont="1" applyBorder="1" applyAlignment="1">
      <alignment horizontal="left" vertical="center"/>
    </xf>
    <xf numFmtId="0" fontId="13" fillId="0" borderId="29" xfId="0" applyFont="1" applyBorder="1" applyAlignment="1">
      <alignment horizontal="left" vertical="center"/>
    </xf>
    <xf numFmtId="0" fontId="0" fillId="0" borderId="32" xfId="0" applyBorder="1" applyAlignment="1">
      <alignment horizontal="left" vertical="center" wrapText="1"/>
    </xf>
    <xf numFmtId="0" fontId="0" fillId="0" borderId="52" xfId="0" applyBorder="1" applyAlignment="1">
      <alignment horizontal="left" vertical="center" wrapText="1"/>
    </xf>
    <xf numFmtId="0" fontId="0" fillId="0" borderId="31" xfId="0" applyBorder="1" applyAlignment="1">
      <alignment horizontal="left" vertical="center" wrapText="1"/>
    </xf>
    <xf numFmtId="0" fontId="0" fillId="0" borderId="44" xfId="0" applyBorder="1" applyAlignment="1">
      <alignment horizontal="left" vertical="center" wrapText="1"/>
    </xf>
    <xf numFmtId="0" fontId="0" fillId="0" borderId="0" xfId="0" applyAlignment="1">
      <alignment horizontal="left" vertical="center" wrapText="1"/>
    </xf>
    <xf numFmtId="0" fontId="0" fillId="0" borderId="43" xfId="0" applyBorder="1" applyAlignment="1">
      <alignment horizontal="left" vertical="center" wrapText="1"/>
    </xf>
    <xf numFmtId="0" fontId="0" fillId="0" borderId="27" xfId="0" applyBorder="1" applyAlignment="1">
      <alignment horizontal="left" vertical="center" wrapText="1"/>
    </xf>
    <xf numFmtId="0" fontId="0" fillId="0" borderId="33" xfId="0" applyBorder="1" applyAlignment="1">
      <alignment horizontal="left" vertical="center" wrapText="1"/>
    </xf>
    <xf numFmtId="0" fontId="0" fillId="0" borderId="29" xfId="0" applyBorder="1" applyAlignment="1">
      <alignment horizontal="left" vertical="center" wrapText="1"/>
    </xf>
    <xf numFmtId="0" fontId="0" fillId="0" borderId="64" xfId="0" applyBorder="1" applyAlignment="1">
      <alignment horizontal="center" textRotation="90" wrapText="1"/>
    </xf>
  </cellXfs>
  <cellStyles count="2">
    <cellStyle name="Normal" xfId="0" builtinId="0"/>
    <cellStyle name="Percent" xfId="1" builtinId="5"/>
  </cellStyles>
  <dxfs count="0"/>
  <tableStyles count="0" defaultTableStyle="TableStyleMedium2" defaultPivotStyle="PivotStyleLight16"/>
  <colors>
    <mruColors>
      <color rgb="FFA5A5A5"/>
      <color rgb="FF00B0F0"/>
      <color rgb="FF7030A0"/>
      <color rgb="FFFFC000"/>
      <color rgb="FFC0E399"/>
      <color rgb="FF43661C"/>
      <color rgb="FF5A8A26"/>
      <color rgb="FFED7D3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Current</c:v>
          </c:tx>
          <c:spPr>
            <a:ln w="28575" cap="rnd">
              <a:solidFill>
                <a:schemeClr val="accent6"/>
              </a:solidFill>
              <a:round/>
            </a:ln>
            <a:effectLst/>
          </c:spPr>
          <c:marker>
            <c:symbol val="none"/>
          </c:marker>
          <c:cat>
            <c:strRef>
              <c:f>('Results (DO NOT EDIT!!)'!$E$2,'Results (DO NOT EDIT!!)'!$K$2,'Results (DO NOT EDIT!!)'!$AY$2,'Results (DO NOT EDIT!!)'!$BN$2,'Results (DO NOT EDIT!!)'!$BS$2,'Results (DO NOT EDIT!!)'!$BX$2)</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EDIT!!)'!$J$9,'Results (DO NOT EDIT!!)'!$AX$9,'Results (DO NOT EDIT!!)'!$BM$9,'Results (DO NOT EDIT!!)'!$BR$9,'Results (DO NOT EDIT!!)'!$BW$9,'Results (DO NOT EDIT!!)'!$CB$9)</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C5BA-4625-A9B8-C580A2F73E64}"/>
            </c:ext>
          </c:extLst>
        </c:ser>
        <c:ser>
          <c:idx val="1"/>
          <c:order val="1"/>
          <c:tx>
            <c:v>Ambition</c:v>
          </c:tx>
          <c:spPr>
            <a:ln w="28575" cap="rnd">
              <a:solidFill>
                <a:schemeClr val="accent5"/>
              </a:solidFill>
              <a:round/>
            </a:ln>
            <a:effectLst/>
          </c:spPr>
          <c:marker>
            <c:symbol val="none"/>
          </c:marker>
          <c:cat>
            <c:strRef>
              <c:f>('Results (DO NOT EDIT!!)'!$E$2,'Results (DO NOT EDIT!!)'!$K$2,'Results (DO NOT EDIT!!)'!$AY$2,'Results (DO NOT EDIT!!)'!$BN$2,'Results (DO NOT EDIT!!)'!$BS$2,'Results (DO NOT EDIT!!)'!$BX$2)</c:f>
              <c:strCache>
                <c:ptCount val="6"/>
                <c:pt idx="0">
                  <c:v>Digital Power Basic Skills</c:v>
                </c:pt>
                <c:pt idx="1">
                  <c:v>Domain Skills</c:v>
                </c:pt>
                <c:pt idx="2">
                  <c:v>Hardskills</c:v>
                </c:pt>
                <c:pt idx="3">
                  <c:v>Basic Consultancy Skills</c:v>
                </c:pt>
                <c:pt idx="4">
                  <c:v>Business Skills</c:v>
                </c:pt>
                <c:pt idx="5">
                  <c:v>Expert Consultancy Skills</c:v>
                </c:pt>
              </c:strCache>
            </c:strRef>
          </c:cat>
          <c:val>
            <c:numRef>
              <c:f>('Results (DO NOT EDIT!!)'!$J$13,'Results (DO NOT EDIT!!)'!$AX$13,'Results (DO NOT EDIT!!)'!$BM$13,'Results (DO NOT EDIT!!)'!$BR$13,'Results (DO NOT EDIT!!)'!$BW$13,'Results (DO NOT EDIT!!)'!$CB$13)</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2-C5BA-4625-A9B8-C580A2F73E64}"/>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Digital</a:t>
            </a:r>
            <a:r>
              <a:rPr lang="en-US" baseline="0"/>
              <a:t> Power Basic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EDIT!!)'!$E$4:$J$4</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EDIT!!)'!$E$7:$J$7</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5D7-42BA-BBE3-A651293613B5}"/>
            </c:ext>
          </c:extLst>
        </c:ser>
        <c:ser>
          <c:idx val="1"/>
          <c:order val="1"/>
          <c:tx>
            <c:v>Ambition</c:v>
          </c:tx>
          <c:spPr>
            <a:ln w="28575" cap="rnd">
              <a:solidFill>
                <a:schemeClr val="accent5"/>
              </a:solidFill>
              <a:round/>
            </a:ln>
            <a:effectLst/>
          </c:spPr>
          <c:marker>
            <c:symbol val="none"/>
          </c:marker>
          <c:cat>
            <c:strRef>
              <c:f>'Results (DO NOT EDIT!!)'!$E$4:$J$4</c:f>
              <c:strCache>
                <c:ptCount val="6"/>
                <c:pt idx="0">
                  <c:v>Learning &amp; reflection</c:v>
                </c:pt>
                <c:pt idx="1">
                  <c:v>Support &amp; collaboration</c:v>
                </c:pt>
                <c:pt idx="2">
                  <c:v>Entrepreneurial &amp; result-oriented</c:v>
                </c:pt>
                <c:pt idx="3">
                  <c:v>Customer-oriented</c:v>
                </c:pt>
                <c:pt idx="4">
                  <c:v>Knowledge sharing</c:v>
                </c:pt>
                <c:pt idx="5">
                  <c:v>Coaching &amp; guidance</c:v>
                </c:pt>
              </c:strCache>
            </c:strRef>
          </c:cat>
          <c:val>
            <c:numRef>
              <c:f>'Results (DO NOT EDIT!!)'!$E$11:$J$11</c:f>
              <c:numCache>
                <c:formatCode>0.0</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1-05D7-42BA-BBE3-A651293613B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Domein Skills (DA)</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Huidig</c:v>
          </c:tx>
          <c:spPr>
            <a:ln w="28575" cap="rnd">
              <a:solidFill>
                <a:schemeClr val="accent6"/>
              </a:solidFill>
              <a:round/>
            </a:ln>
            <a:effectLst/>
          </c:spPr>
          <c:marker>
            <c:symbol val="none"/>
          </c:marker>
          <c:cat>
            <c:strRef>
              <c:f>'Results (DO NOT EDIT!!)'!$K$4:$AX$4</c:f>
              <c:strCache>
                <c:ptCount val="40"/>
                <c:pt idx="0">
                  <c:v>Aware</c:v>
                </c:pt>
                <c:pt idx="1">
                  <c:v>Understands</c:v>
                </c:pt>
                <c:pt idx="2">
                  <c:v>Advises</c:v>
                </c:pt>
                <c:pt idx="3">
                  <c:v>Takes into account in own work</c:v>
                </c:pt>
                <c:pt idx="4">
                  <c:v>Proactively advises</c:v>
                </c:pt>
                <c:pt idx="5">
                  <c:v>Aware of different types of data and possibilities/limitations</c:v>
                </c:pt>
                <c:pt idx="6">
                  <c:v>Understands data quality and recognizes problems</c:v>
                </c:pt>
                <c:pt idx="7">
                  <c:v>Also knows the solutions to deal with data quality problems</c:v>
                </c:pt>
                <c:pt idx="8">
                  <c:v>Can effectively and efficiently transform/manipulate the data</c:v>
                </c:pt>
                <c:pt idx="9">
                  <c:v>Assumptions about sample size, distribution, etc.</c:v>
                </c:pt>
                <c:pt idx="10">
                  <c:v>Confidence Intervals</c:v>
                </c:pt>
                <c:pt idx="11">
                  <c:v>Statistical tests</c:v>
                </c:pt>
                <c:pt idx="12">
                  <c:v>Correlation</c:v>
                </c:pt>
                <c:pt idx="13">
                  <c:v>Regression</c:v>
                </c:pt>
                <c:pt idx="14">
                  <c:v>Reliability &amp; validity</c:v>
                </c:pt>
                <c:pt idx="15">
                  <c:v>Selecting appropriate research method</c:v>
                </c:pt>
                <c:pt idx="16">
                  <c:v>Research design</c:v>
                </c:pt>
                <c:pt idx="17">
                  <c:v>Interpreting results</c:v>
                </c:pt>
                <c:pt idx="18">
                  <c:v>Research in a business context</c:v>
                </c:pt>
                <c:pt idx="19">
                  <c:v>Metrics for usability and UX</c:v>
                </c:pt>
                <c:pt idx="20">
                  <c:v>Metrics for CX</c:v>
                </c:pt>
                <c:pt idx="21">
                  <c:v>Metrics connecting strategy with UX/CX metrics</c:v>
                </c:pt>
                <c:pt idx="22">
                  <c:v>Translating metrics into concrete measurable definitions</c:v>
                </c:pt>
                <c:pt idx="23">
                  <c:v>Metrics for the appropriate level in the organization</c:v>
                </c:pt>
                <c:pt idx="24">
                  <c:v>Perception and decision making</c:v>
                </c:pt>
                <c:pt idx="25">
                  <c:v>Optimization process</c:v>
                </c:pt>
                <c:pt idx="26">
                  <c:v>CX Maturity models</c:v>
                </c:pt>
                <c:pt idx="27">
                  <c:v>Brand, usability, UX, CX</c:v>
                </c:pt>
                <c:pt idx="28">
                  <c:v>CX strategy</c:v>
                </c:pt>
                <c:pt idx="29">
                  <c:v>Copywriting | UX writing | Content</c:v>
                </c:pt>
                <c:pt idx="30">
                  <c:v>Customer Journey Mapping &amp; Personas</c:v>
                </c:pt>
                <c:pt idx="31">
                  <c:v>Personalization &amp; segmentation</c:v>
                </c:pt>
                <c:pt idx="32">
                  <c:v>Customer Journey (CXO)</c:v>
                </c:pt>
                <c:pt idx="33">
                  <c:v>Marketing Analytics</c:v>
                </c:pt>
                <c:pt idx="34">
                  <c:v>eCommerce Analytics</c:v>
                </c:pt>
                <c:pt idx="35">
                  <c:v>Product Analytics</c:v>
                </c:pt>
                <c:pt idx="36">
                  <c:v>Customer Service Optimalisation</c:v>
                </c:pt>
                <c:pt idx="37">
                  <c:v>Design</c:v>
                </c:pt>
                <c:pt idx="38">
                  <c:v>Prototyping</c:v>
                </c:pt>
                <c:pt idx="39">
                  <c:v>Visual design</c:v>
                </c:pt>
              </c:strCache>
            </c:strRef>
          </c:cat>
          <c:val>
            <c:numRef>
              <c:f>'Results (DO NOT EDIT!!)'!$K$7:$AX$7</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0-4121-458C-ABA3-856BD7FC94F5}"/>
            </c:ext>
          </c:extLst>
        </c:ser>
        <c:ser>
          <c:idx val="1"/>
          <c:order val="1"/>
          <c:tx>
            <c:v>Ambitie</c:v>
          </c:tx>
          <c:spPr>
            <a:ln w="28575" cap="rnd">
              <a:solidFill>
                <a:schemeClr val="accent5"/>
              </a:solidFill>
              <a:round/>
            </a:ln>
            <a:effectLst/>
          </c:spPr>
          <c:marker>
            <c:symbol val="none"/>
          </c:marker>
          <c:cat>
            <c:strRef>
              <c:f>'Results (DO NOT EDIT!!)'!$K$4:$AX$4</c:f>
              <c:strCache>
                <c:ptCount val="40"/>
                <c:pt idx="0">
                  <c:v>Aware</c:v>
                </c:pt>
                <c:pt idx="1">
                  <c:v>Understands</c:v>
                </c:pt>
                <c:pt idx="2">
                  <c:v>Advises</c:v>
                </c:pt>
                <c:pt idx="3">
                  <c:v>Takes into account in own work</c:v>
                </c:pt>
                <c:pt idx="4">
                  <c:v>Proactively advises</c:v>
                </c:pt>
                <c:pt idx="5">
                  <c:v>Aware of different types of data and possibilities/limitations</c:v>
                </c:pt>
                <c:pt idx="6">
                  <c:v>Understands data quality and recognizes problems</c:v>
                </c:pt>
                <c:pt idx="7">
                  <c:v>Also knows the solutions to deal with data quality problems</c:v>
                </c:pt>
                <c:pt idx="8">
                  <c:v>Can effectively and efficiently transform/manipulate the data</c:v>
                </c:pt>
                <c:pt idx="9">
                  <c:v>Assumptions about sample size, distribution, etc.</c:v>
                </c:pt>
                <c:pt idx="10">
                  <c:v>Confidence Intervals</c:v>
                </c:pt>
                <c:pt idx="11">
                  <c:v>Statistical tests</c:v>
                </c:pt>
                <c:pt idx="12">
                  <c:v>Correlation</c:v>
                </c:pt>
                <c:pt idx="13">
                  <c:v>Regression</c:v>
                </c:pt>
                <c:pt idx="14">
                  <c:v>Reliability &amp; validity</c:v>
                </c:pt>
                <c:pt idx="15">
                  <c:v>Selecting appropriate research method</c:v>
                </c:pt>
                <c:pt idx="16">
                  <c:v>Research design</c:v>
                </c:pt>
                <c:pt idx="17">
                  <c:v>Interpreting results</c:v>
                </c:pt>
                <c:pt idx="18">
                  <c:v>Research in a business context</c:v>
                </c:pt>
                <c:pt idx="19">
                  <c:v>Metrics for usability and UX</c:v>
                </c:pt>
                <c:pt idx="20">
                  <c:v>Metrics for CX</c:v>
                </c:pt>
                <c:pt idx="21">
                  <c:v>Metrics connecting strategy with UX/CX metrics</c:v>
                </c:pt>
                <c:pt idx="22">
                  <c:v>Translating metrics into concrete measurable definitions</c:v>
                </c:pt>
                <c:pt idx="23">
                  <c:v>Metrics for the appropriate level in the organization</c:v>
                </c:pt>
                <c:pt idx="24">
                  <c:v>Perception and decision making</c:v>
                </c:pt>
                <c:pt idx="25">
                  <c:v>Optimization process</c:v>
                </c:pt>
                <c:pt idx="26">
                  <c:v>CX Maturity models</c:v>
                </c:pt>
                <c:pt idx="27">
                  <c:v>Brand, usability, UX, CX</c:v>
                </c:pt>
                <c:pt idx="28">
                  <c:v>CX strategy</c:v>
                </c:pt>
                <c:pt idx="29">
                  <c:v>Copywriting | UX writing | Content</c:v>
                </c:pt>
                <c:pt idx="30">
                  <c:v>Customer Journey Mapping &amp; Personas</c:v>
                </c:pt>
                <c:pt idx="31">
                  <c:v>Personalization &amp; segmentation</c:v>
                </c:pt>
                <c:pt idx="32">
                  <c:v>Customer Journey (CXO)</c:v>
                </c:pt>
                <c:pt idx="33">
                  <c:v>Marketing Analytics</c:v>
                </c:pt>
                <c:pt idx="34">
                  <c:v>eCommerce Analytics</c:v>
                </c:pt>
                <c:pt idx="35">
                  <c:v>Product Analytics</c:v>
                </c:pt>
                <c:pt idx="36">
                  <c:v>Customer Service Optimalisation</c:v>
                </c:pt>
                <c:pt idx="37">
                  <c:v>Design</c:v>
                </c:pt>
                <c:pt idx="38">
                  <c:v>Prototyping</c:v>
                </c:pt>
                <c:pt idx="39">
                  <c:v>Visual design</c:v>
                </c:pt>
              </c:strCache>
            </c:strRef>
          </c:cat>
          <c:val>
            <c:numRef>
              <c:f>'Results (DO NOT EDIT!!)'!$K$11:$AX$11</c:f>
              <c:numCache>
                <c:formatCode>0.0</c:formatCode>
                <c:ptCount val="4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numCache>
            </c:numRef>
          </c:val>
          <c:extLst>
            <c:ext xmlns:c16="http://schemas.microsoft.com/office/drawing/2014/chart" uri="{C3380CC4-5D6E-409C-BE32-E72D297353CC}">
              <c16:uniqueId val="{00000001-4121-458C-ABA3-856BD7FC94F5}"/>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(Ethics &amp; professionalism)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EDIT!!)'!$K$4:$O$4</c:f>
              <c:strCache>
                <c:ptCount val="5"/>
                <c:pt idx="0">
                  <c:v>Aware</c:v>
                </c:pt>
                <c:pt idx="1">
                  <c:v>Understands</c:v>
                </c:pt>
                <c:pt idx="2">
                  <c:v>Advises</c:v>
                </c:pt>
                <c:pt idx="3">
                  <c:v>Takes into account in own work</c:v>
                </c:pt>
                <c:pt idx="4">
                  <c:v>Proactively advises</c:v>
                </c:pt>
              </c:strCache>
            </c:strRef>
          </c:cat>
          <c:val>
            <c:numRef>
              <c:f>'Results (DO NOT EDIT!!)'!$K$7:$O$7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F4D2-4679-8459-1DD705E21CE1}"/>
            </c:ext>
          </c:extLst>
        </c:ser>
        <c:ser>
          <c:idx val="1"/>
          <c:order val="1"/>
          <c:tx>
            <c:v>Ambition</c:v>
          </c:tx>
          <c:spPr>
            <a:ln w="28575" cap="rnd">
              <a:solidFill>
                <a:schemeClr val="accent5"/>
              </a:solidFill>
              <a:round/>
            </a:ln>
            <a:effectLst/>
          </c:spPr>
          <c:marker>
            <c:symbol val="none"/>
          </c:marker>
          <c:cat>
            <c:strRef>
              <c:f>'Results (DO NOT EDIT!!)'!$K$4:$O$4</c:f>
              <c:strCache>
                <c:ptCount val="5"/>
                <c:pt idx="0">
                  <c:v>Aware</c:v>
                </c:pt>
                <c:pt idx="1">
                  <c:v>Understands</c:v>
                </c:pt>
                <c:pt idx="2">
                  <c:v>Advises</c:v>
                </c:pt>
                <c:pt idx="3">
                  <c:v>Takes into account in own work</c:v>
                </c:pt>
                <c:pt idx="4">
                  <c:v>Proactively advises</c:v>
                </c:pt>
              </c:strCache>
            </c:strRef>
          </c:cat>
          <c:val>
            <c:numRef>
              <c:f>'Results (DO NOT EDIT!!)'!$K$11:$O$11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F4D2-4679-8459-1DD705E21CE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Basic</a:t>
            </a:r>
            <a:r>
              <a:rPr lang="en-US" baseline="0"/>
              <a:t> Consultancy Skills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EDIT!!)'!$BN$4:$BR$4</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EDIT!!)'!$BN$7:$BR$7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0266-483F-84F6-987AC3E8328C}"/>
            </c:ext>
          </c:extLst>
        </c:ser>
        <c:ser>
          <c:idx val="1"/>
          <c:order val="1"/>
          <c:tx>
            <c:v>Ambition</c:v>
          </c:tx>
          <c:spPr>
            <a:ln w="28575" cap="rnd">
              <a:solidFill>
                <a:schemeClr val="accent5"/>
              </a:solidFill>
              <a:round/>
            </a:ln>
            <a:effectLst/>
          </c:spPr>
          <c:marker>
            <c:symbol val="none"/>
          </c:marker>
          <c:cat>
            <c:strRef>
              <c:f>'Results (DO NOT EDIT!!)'!$BN$4:$BR$4</c:f>
              <c:strCache>
                <c:ptCount val="5"/>
                <c:pt idx="0">
                  <c:v>Advising</c:v>
                </c:pt>
                <c:pt idx="1">
                  <c:v>Decisive &amp; problem-solving </c:v>
                </c:pt>
                <c:pt idx="2">
                  <c:v>Interpersonal communication</c:v>
                </c:pt>
                <c:pt idx="3">
                  <c:v>Expectation management</c:v>
                </c:pt>
                <c:pt idx="4">
                  <c:v>Written and oral communication</c:v>
                </c:pt>
              </c:strCache>
            </c:strRef>
          </c:cat>
          <c:val>
            <c:numRef>
              <c:f>'Results (DO NOT EDIT!!)'!$BN$11:$BR$11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0266-483F-84F6-987AC3E8328C}"/>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Spreiding huidige</a:t>
            </a:r>
            <a:r>
              <a:rPr lang="en-US" baseline="0"/>
              <a:t> versus ambitie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filled"/>
        <c:varyColors val="0"/>
        <c:ser>
          <c:idx val="0"/>
          <c:order val="0"/>
          <c:tx>
            <c:strRef>
              <c:f>'Results (DO NOT EDIT!!)'!$D$11</c:f>
              <c:strCache>
                <c:ptCount val="1"/>
                <c:pt idx="0">
                  <c:v>Score ambition</c:v>
                </c:pt>
              </c:strCache>
            </c:strRef>
          </c:tx>
          <c:spPr>
            <a:solidFill>
              <a:schemeClr val="accent2"/>
            </a:solidFill>
            <a:ln>
              <a:noFill/>
            </a:ln>
            <a:effectLst/>
          </c:spPr>
          <c:cat>
            <c:strRef>
              <c:f>'Results (DO NOT EDIT!!)'!$E$4:$CB$4</c:f>
              <c:strCache>
                <c:ptCount val="76"/>
                <c:pt idx="0">
                  <c:v>Learning &amp; reflection</c:v>
                </c:pt>
                <c:pt idx="1">
                  <c:v>Support &amp; collaboration</c:v>
                </c:pt>
                <c:pt idx="2">
                  <c:v>Entrepreneurial &amp; result-oriented</c:v>
                </c:pt>
                <c:pt idx="3">
                  <c:v>Customer-oriented</c:v>
                </c:pt>
                <c:pt idx="4">
                  <c:v>Knowledge sharing</c:v>
                </c:pt>
                <c:pt idx="5">
                  <c:v>Coaching &amp; guidance</c:v>
                </c:pt>
                <c:pt idx="6">
                  <c:v>Aware</c:v>
                </c:pt>
                <c:pt idx="7">
                  <c:v>Understands</c:v>
                </c:pt>
                <c:pt idx="8">
                  <c:v>Advises</c:v>
                </c:pt>
                <c:pt idx="9">
                  <c:v>Takes into account in own work</c:v>
                </c:pt>
                <c:pt idx="10">
                  <c:v>Proactively advises</c:v>
                </c:pt>
                <c:pt idx="11">
                  <c:v>Aware of different types of data and possibilities/limitations</c:v>
                </c:pt>
                <c:pt idx="12">
                  <c:v>Understands data quality and recognizes problems</c:v>
                </c:pt>
                <c:pt idx="13">
                  <c:v>Also knows the solutions to deal with data quality problems</c:v>
                </c:pt>
                <c:pt idx="14">
                  <c:v>Can effectively and efficiently transform/manipulate the data</c:v>
                </c:pt>
                <c:pt idx="15">
                  <c:v>Assumptions about sample size, distribution, etc.</c:v>
                </c:pt>
                <c:pt idx="16">
                  <c:v>Confidence Intervals</c:v>
                </c:pt>
                <c:pt idx="17">
                  <c:v>Statistical tests</c:v>
                </c:pt>
                <c:pt idx="18">
                  <c:v>Correlation</c:v>
                </c:pt>
                <c:pt idx="19">
                  <c:v>Regression</c:v>
                </c:pt>
                <c:pt idx="20">
                  <c:v>Reliability &amp; validity</c:v>
                </c:pt>
                <c:pt idx="21">
                  <c:v>Selecting appropriate research method</c:v>
                </c:pt>
                <c:pt idx="22">
                  <c:v>Research design</c:v>
                </c:pt>
                <c:pt idx="23">
                  <c:v>Interpreting results</c:v>
                </c:pt>
                <c:pt idx="24">
                  <c:v>Research in a business context</c:v>
                </c:pt>
                <c:pt idx="25">
                  <c:v>Metrics for usability and UX</c:v>
                </c:pt>
                <c:pt idx="26">
                  <c:v>Metrics for CX</c:v>
                </c:pt>
                <c:pt idx="27">
                  <c:v>Metrics connecting strategy with UX/CX metrics</c:v>
                </c:pt>
                <c:pt idx="28">
                  <c:v>Translating metrics into concrete measurable definitions</c:v>
                </c:pt>
                <c:pt idx="29">
                  <c:v>Metrics for the appropriate level in the organization</c:v>
                </c:pt>
                <c:pt idx="30">
                  <c:v>Perception and decision making</c:v>
                </c:pt>
                <c:pt idx="31">
                  <c:v>Optimization process</c:v>
                </c:pt>
                <c:pt idx="32">
                  <c:v>CX Maturity models</c:v>
                </c:pt>
                <c:pt idx="33">
                  <c:v>Brand, usability, UX, CX</c:v>
                </c:pt>
                <c:pt idx="34">
                  <c:v>CX strategy</c:v>
                </c:pt>
                <c:pt idx="35">
                  <c:v>Copywriting | UX writing | Content</c:v>
                </c:pt>
                <c:pt idx="36">
                  <c:v>Customer Journey Mapping &amp; Personas</c:v>
                </c:pt>
                <c:pt idx="37">
                  <c:v>Personalization &amp; segmentation</c:v>
                </c:pt>
                <c:pt idx="38">
                  <c:v>Customer Journey (CXO)</c:v>
                </c:pt>
                <c:pt idx="39">
                  <c:v>Marketing Analytics</c:v>
                </c:pt>
                <c:pt idx="40">
                  <c:v>eCommerce Analytics</c:v>
                </c:pt>
                <c:pt idx="41">
                  <c:v>Product Analytics</c:v>
                </c:pt>
                <c:pt idx="42">
                  <c:v>Customer Service Optimalisation</c:v>
                </c:pt>
                <c:pt idx="43">
                  <c:v>Design</c:v>
                </c:pt>
                <c:pt idx="44">
                  <c:v>Prototyping</c:v>
                </c:pt>
                <c:pt idx="45">
                  <c:v>Visual design</c:v>
                </c:pt>
                <c:pt idx="46">
                  <c:v>Customer Journey Mapping </c:v>
                </c:pt>
                <c:pt idx="47">
                  <c:v>Usability Tests - Formative</c:v>
                </c:pt>
                <c:pt idx="48">
                  <c:v>Usability Test - Summative</c:v>
                </c:pt>
                <c:pt idx="49">
                  <c:v>AB Testing</c:v>
                </c:pt>
                <c:pt idx="50">
                  <c:v>Behavioral Analytics (Web and app analytics tooling)</c:v>
                </c:pt>
                <c:pt idx="51">
                  <c:v>Marketing Analytics</c:v>
                </c:pt>
                <c:pt idx="52">
                  <c:v>Session recordings</c:v>
                </c:pt>
                <c:pt idx="53">
                  <c:v>Heatmaps &amp; Scrollmaps</c:v>
                </c:pt>
                <c:pt idx="54">
                  <c:v>Interviewing  (setup &amp; executing interview)</c:v>
                </c:pt>
                <c:pt idx="55">
                  <c:v>Survey Design (setup &amp; executing survey)</c:v>
                </c:pt>
                <c:pt idx="56">
                  <c:v>SQL</c:v>
                </c:pt>
                <c:pt idx="57">
                  <c:v>Python</c:v>
                </c:pt>
                <c:pt idx="58">
                  <c:v>Javascript</c:v>
                </c:pt>
                <c:pt idx="59">
                  <c:v>R</c:v>
                </c:pt>
                <c:pt idx="60">
                  <c:v>HTML / CSS</c:v>
                </c:pt>
                <c:pt idx="61">
                  <c:v>Advising</c:v>
                </c:pt>
                <c:pt idx="62">
                  <c:v>Decisive &amp; problem-solving </c:v>
                </c:pt>
                <c:pt idx="63">
                  <c:v>Interpersonal communication</c:v>
                </c:pt>
                <c:pt idx="64">
                  <c:v>Expectation management</c:v>
                </c:pt>
                <c:pt idx="65">
                  <c:v>Written and oral communication</c:v>
                </c:pt>
                <c:pt idx="66">
                  <c:v>Organizational and management identification</c:v>
                </c:pt>
                <c:pt idx="67">
                  <c:v>Strategic conceptualization</c:v>
                </c:pt>
                <c:pt idx="68">
                  <c:v>Project management</c:v>
                </c:pt>
                <c:pt idx="69">
                  <c:v>Change management</c:v>
                </c:pt>
                <c:pt idx="70">
                  <c:v>Leadership</c:v>
                </c:pt>
                <c:pt idx="71">
                  <c:v>Situational communication</c:v>
                </c:pt>
                <c:pt idx="72">
                  <c:v>Goal-oriented &amp; effective communication</c:v>
                </c:pt>
                <c:pt idx="73">
                  <c:v>Decision-making</c:v>
                </c:pt>
                <c:pt idx="74">
                  <c:v>Persuading &amp; influencing</c:v>
                </c:pt>
                <c:pt idx="75">
                  <c:v>Constructive (negative) feedback &amp; bad news conversations</c:v>
                </c:pt>
              </c:strCache>
            </c:strRef>
          </c:cat>
          <c:val>
            <c:numRef>
              <c:f>'Results (DO NOT EDIT!!)'!$E$11:$CB$11</c:f>
              <c:numCache>
                <c:formatCode>0.0</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extLst>
            <c:ext xmlns:c16="http://schemas.microsoft.com/office/drawing/2014/chart" uri="{C3380CC4-5D6E-409C-BE32-E72D297353CC}">
              <c16:uniqueId val="{00000001-C510-45C6-AE4C-93012B94423C}"/>
            </c:ext>
          </c:extLst>
        </c:ser>
        <c:ser>
          <c:idx val="1"/>
          <c:order val="1"/>
          <c:tx>
            <c:strRef>
              <c:f>'Results (DO NOT EDIT!!)'!$D$7</c:f>
              <c:strCache>
                <c:ptCount val="1"/>
                <c:pt idx="0">
                  <c:v>Score current situation</c:v>
                </c:pt>
              </c:strCache>
            </c:strRef>
          </c:tx>
          <c:spPr>
            <a:solidFill>
              <a:schemeClr val="accent4"/>
            </a:solidFill>
            <a:ln>
              <a:noFill/>
            </a:ln>
            <a:effectLst/>
          </c:spPr>
          <c:cat>
            <c:strRef>
              <c:f>'Results (DO NOT EDIT!!)'!$E$4:$CB$4</c:f>
              <c:strCache>
                <c:ptCount val="76"/>
                <c:pt idx="0">
                  <c:v>Learning &amp; reflection</c:v>
                </c:pt>
                <c:pt idx="1">
                  <c:v>Support &amp; collaboration</c:v>
                </c:pt>
                <c:pt idx="2">
                  <c:v>Entrepreneurial &amp; result-oriented</c:v>
                </c:pt>
                <c:pt idx="3">
                  <c:v>Customer-oriented</c:v>
                </c:pt>
                <c:pt idx="4">
                  <c:v>Knowledge sharing</c:v>
                </c:pt>
                <c:pt idx="5">
                  <c:v>Coaching &amp; guidance</c:v>
                </c:pt>
                <c:pt idx="6">
                  <c:v>Aware</c:v>
                </c:pt>
                <c:pt idx="7">
                  <c:v>Understands</c:v>
                </c:pt>
                <c:pt idx="8">
                  <c:v>Advises</c:v>
                </c:pt>
                <c:pt idx="9">
                  <c:v>Takes into account in own work</c:v>
                </c:pt>
                <c:pt idx="10">
                  <c:v>Proactively advises</c:v>
                </c:pt>
                <c:pt idx="11">
                  <c:v>Aware of different types of data and possibilities/limitations</c:v>
                </c:pt>
                <c:pt idx="12">
                  <c:v>Understands data quality and recognizes problems</c:v>
                </c:pt>
                <c:pt idx="13">
                  <c:v>Also knows the solutions to deal with data quality problems</c:v>
                </c:pt>
                <c:pt idx="14">
                  <c:v>Can effectively and efficiently transform/manipulate the data</c:v>
                </c:pt>
                <c:pt idx="15">
                  <c:v>Assumptions about sample size, distribution, etc.</c:v>
                </c:pt>
                <c:pt idx="16">
                  <c:v>Confidence Intervals</c:v>
                </c:pt>
                <c:pt idx="17">
                  <c:v>Statistical tests</c:v>
                </c:pt>
                <c:pt idx="18">
                  <c:v>Correlation</c:v>
                </c:pt>
                <c:pt idx="19">
                  <c:v>Regression</c:v>
                </c:pt>
                <c:pt idx="20">
                  <c:v>Reliability &amp; validity</c:v>
                </c:pt>
                <c:pt idx="21">
                  <c:v>Selecting appropriate research method</c:v>
                </c:pt>
                <c:pt idx="22">
                  <c:v>Research design</c:v>
                </c:pt>
                <c:pt idx="23">
                  <c:v>Interpreting results</c:v>
                </c:pt>
                <c:pt idx="24">
                  <c:v>Research in a business context</c:v>
                </c:pt>
                <c:pt idx="25">
                  <c:v>Metrics for usability and UX</c:v>
                </c:pt>
                <c:pt idx="26">
                  <c:v>Metrics for CX</c:v>
                </c:pt>
                <c:pt idx="27">
                  <c:v>Metrics connecting strategy with UX/CX metrics</c:v>
                </c:pt>
                <c:pt idx="28">
                  <c:v>Translating metrics into concrete measurable definitions</c:v>
                </c:pt>
                <c:pt idx="29">
                  <c:v>Metrics for the appropriate level in the organization</c:v>
                </c:pt>
                <c:pt idx="30">
                  <c:v>Perception and decision making</c:v>
                </c:pt>
                <c:pt idx="31">
                  <c:v>Optimization process</c:v>
                </c:pt>
                <c:pt idx="32">
                  <c:v>CX Maturity models</c:v>
                </c:pt>
                <c:pt idx="33">
                  <c:v>Brand, usability, UX, CX</c:v>
                </c:pt>
                <c:pt idx="34">
                  <c:v>CX strategy</c:v>
                </c:pt>
                <c:pt idx="35">
                  <c:v>Copywriting | UX writing | Content</c:v>
                </c:pt>
                <c:pt idx="36">
                  <c:v>Customer Journey Mapping &amp; Personas</c:v>
                </c:pt>
                <c:pt idx="37">
                  <c:v>Personalization &amp; segmentation</c:v>
                </c:pt>
                <c:pt idx="38">
                  <c:v>Customer Journey (CXO)</c:v>
                </c:pt>
                <c:pt idx="39">
                  <c:v>Marketing Analytics</c:v>
                </c:pt>
                <c:pt idx="40">
                  <c:v>eCommerce Analytics</c:v>
                </c:pt>
                <c:pt idx="41">
                  <c:v>Product Analytics</c:v>
                </c:pt>
                <c:pt idx="42">
                  <c:v>Customer Service Optimalisation</c:v>
                </c:pt>
                <c:pt idx="43">
                  <c:v>Design</c:v>
                </c:pt>
                <c:pt idx="44">
                  <c:v>Prototyping</c:v>
                </c:pt>
                <c:pt idx="45">
                  <c:v>Visual design</c:v>
                </c:pt>
                <c:pt idx="46">
                  <c:v>Customer Journey Mapping </c:v>
                </c:pt>
                <c:pt idx="47">
                  <c:v>Usability Tests - Formative</c:v>
                </c:pt>
                <c:pt idx="48">
                  <c:v>Usability Test - Summative</c:v>
                </c:pt>
                <c:pt idx="49">
                  <c:v>AB Testing</c:v>
                </c:pt>
                <c:pt idx="50">
                  <c:v>Behavioral Analytics (Web and app analytics tooling)</c:v>
                </c:pt>
                <c:pt idx="51">
                  <c:v>Marketing Analytics</c:v>
                </c:pt>
                <c:pt idx="52">
                  <c:v>Session recordings</c:v>
                </c:pt>
                <c:pt idx="53">
                  <c:v>Heatmaps &amp; Scrollmaps</c:v>
                </c:pt>
                <c:pt idx="54">
                  <c:v>Interviewing  (setup &amp; executing interview)</c:v>
                </c:pt>
                <c:pt idx="55">
                  <c:v>Survey Design (setup &amp; executing survey)</c:v>
                </c:pt>
                <c:pt idx="56">
                  <c:v>SQL</c:v>
                </c:pt>
                <c:pt idx="57">
                  <c:v>Python</c:v>
                </c:pt>
                <c:pt idx="58">
                  <c:v>Javascript</c:v>
                </c:pt>
                <c:pt idx="59">
                  <c:v>R</c:v>
                </c:pt>
                <c:pt idx="60">
                  <c:v>HTML / CSS</c:v>
                </c:pt>
                <c:pt idx="61">
                  <c:v>Advising</c:v>
                </c:pt>
                <c:pt idx="62">
                  <c:v>Decisive &amp; problem-solving </c:v>
                </c:pt>
                <c:pt idx="63">
                  <c:v>Interpersonal communication</c:v>
                </c:pt>
                <c:pt idx="64">
                  <c:v>Expectation management</c:v>
                </c:pt>
                <c:pt idx="65">
                  <c:v>Written and oral communication</c:v>
                </c:pt>
                <c:pt idx="66">
                  <c:v>Organizational and management identification</c:v>
                </c:pt>
                <c:pt idx="67">
                  <c:v>Strategic conceptualization</c:v>
                </c:pt>
                <c:pt idx="68">
                  <c:v>Project management</c:v>
                </c:pt>
                <c:pt idx="69">
                  <c:v>Change management</c:v>
                </c:pt>
                <c:pt idx="70">
                  <c:v>Leadership</c:v>
                </c:pt>
                <c:pt idx="71">
                  <c:v>Situational communication</c:v>
                </c:pt>
                <c:pt idx="72">
                  <c:v>Goal-oriented &amp; effective communication</c:v>
                </c:pt>
                <c:pt idx="73">
                  <c:v>Decision-making</c:v>
                </c:pt>
                <c:pt idx="74">
                  <c:v>Persuading &amp; influencing</c:v>
                </c:pt>
                <c:pt idx="75">
                  <c:v>Constructive (negative) feedback &amp; bad news conversations</c:v>
                </c:pt>
              </c:strCache>
            </c:strRef>
          </c:cat>
          <c:val>
            <c:numRef>
              <c:f>'Results (DO NOT EDIT!!)'!$E$7:$CB$7</c:f>
              <c:numCache>
                <c:formatCode>0.0</c:formatCode>
                <c:ptCount val="7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numCache>
            </c:numRef>
          </c:val>
          <c:extLst>
            <c:ext xmlns:c16="http://schemas.microsoft.com/office/drawing/2014/chart" uri="{C3380CC4-5D6E-409C-BE32-E72D297353CC}">
              <c16:uniqueId val="{00000001-29D5-489B-AF4E-547551B81992}"/>
            </c:ext>
          </c:extLst>
        </c:ser>
        <c:dLbls>
          <c:showLegendKey val="0"/>
          <c:showVal val="0"/>
          <c:showCatName val="0"/>
          <c:showSerName val="0"/>
          <c:showPercent val="0"/>
          <c:showBubbleSize val="0"/>
        </c:dLbls>
        <c:axId val="1175182184"/>
        <c:axId val="1175178576"/>
      </c:radarChart>
      <c:catAx>
        <c:axId val="117518218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Business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EDIT!!)'!$BS$4:$BW$4</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EDIT!!)'!$BS$7:$BW$7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324E-4105-8DFF-CB15C206019F}"/>
            </c:ext>
          </c:extLst>
        </c:ser>
        <c:ser>
          <c:idx val="1"/>
          <c:order val="1"/>
          <c:tx>
            <c:v>Ambition</c:v>
          </c:tx>
          <c:spPr>
            <a:ln w="28575" cap="rnd">
              <a:solidFill>
                <a:schemeClr val="accent5"/>
              </a:solidFill>
              <a:round/>
            </a:ln>
            <a:effectLst/>
          </c:spPr>
          <c:marker>
            <c:symbol val="none"/>
          </c:marker>
          <c:cat>
            <c:strRef>
              <c:f>'Results (DO NOT EDIT!!)'!$BS$4:$BW$4</c:f>
              <c:strCache>
                <c:ptCount val="5"/>
                <c:pt idx="0">
                  <c:v>Organizational and management identification</c:v>
                </c:pt>
                <c:pt idx="1">
                  <c:v>Strategic conceptualization</c:v>
                </c:pt>
                <c:pt idx="2">
                  <c:v>Project management</c:v>
                </c:pt>
                <c:pt idx="3">
                  <c:v>Change management</c:v>
                </c:pt>
                <c:pt idx="4">
                  <c:v>Leadership</c:v>
                </c:pt>
              </c:strCache>
            </c:strRef>
          </c:cat>
          <c:val>
            <c:numRef>
              <c:f>'Results (DO NOT EDIT!!)'!$BS$11:$BW$11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324E-4105-8DFF-CB15C206019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Expert Consultancy</a:t>
            </a:r>
            <a:r>
              <a:rPr lang="en-US" baseline="0"/>
              <a:t>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EDIT!!)'!$BX$4:$CB$4</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EDIT!!)'!$BX$7:$CB$7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CB9-42CF-A178-E4F5563D7D2B}"/>
            </c:ext>
          </c:extLst>
        </c:ser>
        <c:ser>
          <c:idx val="1"/>
          <c:order val="1"/>
          <c:tx>
            <c:v>Ambition</c:v>
          </c:tx>
          <c:spPr>
            <a:ln w="28575" cap="rnd">
              <a:solidFill>
                <a:schemeClr val="accent5"/>
              </a:solidFill>
              <a:round/>
            </a:ln>
            <a:effectLst/>
          </c:spPr>
          <c:marker>
            <c:symbol val="none"/>
          </c:marker>
          <c:cat>
            <c:strRef>
              <c:f>'Results (DO NOT EDIT!!)'!$BX$4:$CB$4</c:f>
              <c:strCache>
                <c:ptCount val="5"/>
                <c:pt idx="0">
                  <c:v>Situational communication</c:v>
                </c:pt>
                <c:pt idx="1">
                  <c:v>Goal-oriented &amp; effective communication</c:v>
                </c:pt>
                <c:pt idx="2">
                  <c:v>Decision-making</c:v>
                </c:pt>
                <c:pt idx="3">
                  <c:v>Persuading &amp; influencing</c:v>
                </c:pt>
                <c:pt idx="4">
                  <c:v>Constructive (negative) feedback &amp; bad news conversations</c:v>
                </c:pt>
              </c:strCache>
            </c:strRef>
          </c:cat>
          <c:val>
            <c:numRef>
              <c:f>'Results (DO NOT EDIT!!)'!$BX$11:$CB$11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CB9-42CF-A178-E4F5563D7D2B}"/>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Hardskills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EDIT!!)'!$AY$4:$BM$4</c:f>
              <c:strCache>
                <c:ptCount val="15"/>
                <c:pt idx="0">
                  <c:v>Customer Journey Mapping </c:v>
                </c:pt>
                <c:pt idx="1">
                  <c:v>Usability Tests - Formative</c:v>
                </c:pt>
                <c:pt idx="2">
                  <c:v>Usability Test - Summative</c:v>
                </c:pt>
                <c:pt idx="3">
                  <c:v>AB Testing</c:v>
                </c:pt>
                <c:pt idx="4">
                  <c:v>Behavioral Analytics (Web and app analytics tooling)</c:v>
                </c:pt>
                <c:pt idx="5">
                  <c:v>Marketing Analytics</c:v>
                </c:pt>
                <c:pt idx="6">
                  <c:v>Session recordings</c:v>
                </c:pt>
                <c:pt idx="7">
                  <c:v>Heatmaps &amp; Scrollmaps</c:v>
                </c:pt>
                <c:pt idx="8">
                  <c:v>Interviewing  (setup &amp; executing interview)</c:v>
                </c:pt>
                <c:pt idx="9">
                  <c:v>Survey Design (setup &amp; executing survey)</c:v>
                </c:pt>
                <c:pt idx="10">
                  <c:v>SQL</c:v>
                </c:pt>
                <c:pt idx="11">
                  <c:v>Python</c:v>
                </c:pt>
                <c:pt idx="12">
                  <c:v>Javascript</c:v>
                </c:pt>
                <c:pt idx="13">
                  <c:v>R</c:v>
                </c:pt>
                <c:pt idx="14">
                  <c:v>HTML / CSS</c:v>
                </c:pt>
              </c:strCache>
            </c:strRef>
          </c:cat>
          <c:val>
            <c:numRef>
              <c:f>'Results (DO NOT EDIT!!)'!$AY$7:$BM$7</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0-4031-43D2-99A1-6DD856C0D943}"/>
            </c:ext>
          </c:extLst>
        </c:ser>
        <c:ser>
          <c:idx val="1"/>
          <c:order val="1"/>
          <c:tx>
            <c:v>Ambition</c:v>
          </c:tx>
          <c:spPr>
            <a:ln w="28575" cap="rnd">
              <a:solidFill>
                <a:schemeClr val="accent5"/>
              </a:solidFill>
              <a:round/>
            </a:ln>
            <a:effectLst/>
          </c:spPr>
          <c:marker>
            <c:symbol val="none"/>
          </c:marker>
          <c:cat>
            <c:strRef>
              <c:f>'Results (DO NOT EDIT!!)'!$AY$4:$BM$4</c:f>
              <c:strCache>
                <c:ptCount val="15"/>
                <c:pt idx="0">
                  <c:v>Customer Journey Mapping </c:v>
                </c:pt>
                <c:pt idx="1">
                  <c:v>Usability Tests - Formative</c:v>
                </c:pt>
                <c:pt idx="2">
                  <c:v>Usability Test - Summative</c:v>
                </c:pt>
                <c:pt idx="3">
                  <c:v>AB Testing</c:v>
                </c:pt>
                <c:pt idx="4">
                  <c:v>Behavioral Analytics (Web and app analytics tooling)</c:v>
                </c:pt>
                <c:pt idx="5">
                  <c:v>Marketing Analytics</c:v>
                </c:pt>
                <c:pt idx="6">
                  <c:v>Session recordings</c:v>
                </c:pt>
                <c:pt idx="7">
                  <c:v>Heatmaps &amp; Scrollmaps</c:v>
                </c:pt>
                <c:pt idx="8">
                  <c:v>Interviewing  (setup &amp; executing interview)</c:v>
                </c:pt>
                <c:pt idx="9">
                  <c:v>Survey Design (setup &amp; executing survey)</c:v>
                </c:pt>
                <c:pt idx="10">
                  <c:v>SQL</c:v>
                </c:pt>
                <c:pt idx="11">
                  <c:v>Python</c:v>
                </c:pt>
                <c:pt idx="12">
                  <c:v>Javascript</c:v>
                </c:pt>
                <c:pt idx="13">
                  <c:v>R</c:v>
                </c:pt>
                <c:pt idx="14">
                  <c:v>HTML / CSS</c:v>
                </c:pt>
              </c:strCache>
            </c:strRef>
          </c:cat>
          <c:val>
            <c:numRef>
              <c:f>'Results (DO NOT EDIT!!)'!$AY$11:$BM$11</c:f>
              <c:numCache>
                <c:formatCode>0.0</c:formatCode>
                <c:ptCount val="15"/>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numCache>
            </c:numRef>
          </c:val>
          <c:extLst>
            <c:ext xmlns:c16="http://schemas.microsoft.com/office/drawing/2014/chart" uri="{C3380CC4-5D6E-409C-BE32-E72D297353CC}">
              <c16:uniqueId val="{00000001-4031-43D2-99A1-6DD856C0D943}"/>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(Basic data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EDIT!!)'!$P$4:$S$4</c:f>
              <c:strCache>
                <c:ptCount val="4"/>
                <c:pt idx="0">
                  <c:v>Aware of different types of data and possibilities/limitations</c:v>
                </c:pt>
                <c:pt idx="1">
                  <c:v>Understands data quality and recognizes problems</c:v>
                </c:pt>
                <c:pt idx="2">
                  <c:v>Also knows the solutions to deal with data quality problems</c:v>
                </c:pt>
                <c:pt idx="3">
                  <c:v>Can effectively and efficiently transform/manipulate the data</c:v>
                </c:pt>
              </c:strCache>
            </c:strRef>
          </c:cat>
          <c:val>
            <c:numRef>
              <c:f>'Results (DO NOT EDIT!!)'!$P$7:$S$7</c:f>
              <c:numCache>
                <c:formatCode>0.0</c:formatCode>
                <c:ptCount val="4"/>
                <c:pt idx="0">
                  <c:v>0</c:v>
                </c:pt>
                <c:pt idx="1">
                  <c:v>0</c:v>
                </c:pt>
                <c:pt idx="2">
                  <c:v>0</c:v>
                </c:pt>
                <c:pt idx="3">
                  <c:v>0</c:v>
                </c:pt>
              </c:numCache>
            </c:numRef>
          </c:val>
          <c:extLst>
            <c:ext xmlns:c16="http://schemas.microsoft.com/office/drawing/2014/chart" uri="{C3380CC4-5D6E-409C-BE32-E72D297353CC}">
              <c16:uniqueId val="{00000000-1197-4BD6-ACFD-2797BBB28F11}"/>
            </c:ext>
          </c:extLst>
        </c:ser>
        <c:ser>
          <c:idx val="1"/>
          <c:order val="1"/>
          <c:tx>
            <c:v>Ambition</c:v>
          </c:tx>
          <c:spPr>
            <a:ln w="28575" cap="rnd">
              <a:solidFill>
                <a:schemeClr val="accent5"/>
              </a:solidFill>
              <a:round/>
            </a:ln>
            <a:effectLst/>
          </c:spPr>
          <c:marker>
            <c:symbol val="none"/>
          </c:marker>
          <c:cat>
            <c:strRef>
              <c:f>'Results (DO NOT EDIT!!)'!$P$4:$S$4</c:f>
              <c:strCache>
                <c:ptCount val="4"/>
                <c:pt idx="0">
                  <c:v>Aware of different types of data and possibilities/limitations</c:v>
                </c:pt>
                <c:pt idx="1">
                  <c:v>Understands data quality and recognizes problems</c:v>
                </c:pt>
                <c:pt idx="2">
                  <c:v>Also knows the solutions to deal with data quality problems</c:v>
                </c:pt>
                <c:pt idx="3">
                  <c:v>Can effectively and efficiently transform/manipulate the data</c:v>
                </c:pt>
              </c:strCache>
            </c:strRef>
          </c:cat>
          <c:val>
            <c:numRef>
              <c:f>'Results (DO NOT EDIT!!)'!$P$11:$S$11</c:f>
              <c:numCache>
                <c:formatCode>0.0</c:formatCode>
                <c:ptCount val="4"/>
                <c:pt idx="0">
                  <c:v>0</c:v>
                </c:pt>
                <c:pt idx="1">
                  <c:v>0</c:v>
                </c:pt>
                <c:pt idx="2">
                  <c:v>0</c:v>
                </c:pt>
                <c:pt idx="3">
                  <c:v>0</c:v>
                </c:pt>
              </c:numCache>
            </c:numRef>
          </c:val>
          <c:extLst>
            <c:ext xmlns:c16="http://schemas.microsoft.com/office/drawing/2014/chart" uri="{C3380CC4-5D6E-409C-BE32-E72D297353CC}">
              <c16:uniqueId val="{00000001-1197-4BD6-ACFD-2797BBB28F1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(Statistics)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EDIT!!)'!$T$4:$X$4</c:f>
              <c:strCache>
                <c:ptCount val="5"/>
                <c:pt idx="0">
                  <c:v>Assumptions about sample size, distribution, etc.</c:v>
                </c:pt>
                <c:pt idx="1">
                  <c:v>Confidence Intervals</c:v>
                </c:pt>
                <c:pt idx="2">
                  <c:v>Statistical tests</c:v>
                </c:pt>
                <c:pt idx="3">
                  <c:v>Correlation</c:v>
                </c:pt>
                <c:pt idx="4">
                  <c:v>Regression</c:v>
                </c:pt>
              </c:strCache>
            </c:strRef>
          </c:cat>
          <c:val>
            <c:numRef>
              <c:f>'Results (DO NOT EDIT!!)'!$T$7:$X$7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C846-4081-8DE3-B71E31233B68}"/>
            </c:ext>
          </c:extLst>
        </c:ser>
        <c:ser>
          <c:idx val="1"/>
          <c:order val="1"/>
          <c:tx>
            <c:v>Ambition</c:v>
          </c:tx>
          <c:spPr>
            <a:ln w="28575" cap="rnd">
              <a:solidFill>
                <a:schemeClr val="accent5"/>
              </a:solidFill>
              <a:round/>
            </a:ln>
            <a:effectLst/>
          </c:spPr>
          <c:marker>
            <c:symbol val="none"/>
          </c:marker>
          <c:cat>
            <c:strRef>
              <c:f>'Results (DO NOT EDIT!!)'!$T$4:$X$4</c:f>
              <c:strCache>
                <c:ptCount val="5"/>
                <c:pt idx="0">
                  <c:v>Assumptions about sample size, distribution, etc.</c:v>
                </c:pt>
                <c:pt idx="1">
                  <c:v>Confidence Intervals</c:v>
                </c:pt>
                <c:pt idx="2">
                  <c:v>Statistical tests</c:v>
                </c:pt>
                <c:pt idx="3">
                  <c:v>Correlation</c:v>
                </c:pt>
                <c:pt idx="4">
                  <c:v>Regression</c:v>
                </c:pt>
              </c:strCache>
            </c:strRef>
          </c:cat>
          <c:val>
            <c:numRef>
              <c:f>'Results (DO NOT EDIT!!)'!$T$11:$X$11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C846-4081-8DE3-B71E31233B68}"/>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(Quant. Analysis &amp; Research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EDIT!!)'!$Y$4:$AC$4</c:f>
              <c:strCache>
                <c:ptCount val="5"/>
                <c:pt idx="0">
                  <c:v>Reliability &amp; validity</c:v>
                </c:pt>
                <c:pt idx="1">
                  <c:v>Selecting appropriate research method</c:v>
                </c:pt>
                <c:pt idx="2">
                  <c:v>Research design</c:v>
                </c:pt>
                <c:pt idx="3">
                  <c:v>Interpreting results</c:v>
                </c:pt>
                <c:pt idx="4">
                  <c:v>Research in a business context</c:v>
                </c:pt>
              </c:strCache>
            </c:strRef>
          </c:cat>
          <c:val>
            <c:numRef>
              <c:f>'Results (DO NOT EDIT!!)'!$Y$7:$AC$7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BB0E-435C-8018-10F87E9F4D0E}"/>
            </c:ext>
          </c:extLst>
        </c:ser>
        <c:ser>
          <c:idx val="1"/>
          <c:order val="1"/>
          <c:tx>
            <c:v>Ambition</c:v>
          </c:tx>
          <c:spPr>
            <a:ln w="28575" cap="rnd">
              <a:solidFill>
                <a:schemeClr val="accent5"/>
              </a:solidFill>
              <a:round/>
            </a:ln>
            <a:effectLst/>
          </c:spPr>
          <c:marker>
            <c:symbol val="none"/>
          </c:marker>
          <c:cat>
            <c:strRef>
              <c:f>'Results (DO NOT EDIT!!)'!$Y$4:$AC$4</c:f>
              <c:strCache>
                <c:ptCount val="5"/>
                <c:pt idx="0">
                  <c:v>Reliability &amp; validity</c:v>
                </c:pt>
                <c:pt idx="1">
                  <c:v>Selecting appropriate research method</c:v>
                </c:pt>
                <c:pt idx="2">
                  <c:v>Research design</c:v>
                </c:pt>
                <c:pt idx="3">
                  <c:v>Interpreting results</c:v>
                </c:pt>
                <c:pt idx="4">
                  <c:v>Research in a business context</c:v>
                </c:pt>
              </c:strCache>
            </c:strRef>
          </c:cat>
          <c:val>
            <c:numRef>
              <c:f>'Results (DO NOT EDIT!!)'!$Y$11:$AC$11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BB0E-435C-8018-10F87E9F4D0E}"/>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(Metrics &amp; goals)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EDIT!!)'!$AD$4:$AH$4</c:f>
              <c:strCache>
                <c:ptCount val="5"/>
                <c:pt idx="0">
                  <c:v>Metrics for usability and UX</c:v>
                </c:pt>
                <c:pt idx="1">
                  <c:v>Metrics for CX</c:v>
                </c:pt>
                <c:pt idx="2">
                  <c:v>Metrics connecting strategy with UX/CX metrics</c:v>
                </c:pt>
                <c:pt idx="3">
                  <c:v>Translating metrics into concrete measurable definitions</c:v>
                </c:pt>
                <c:pt idx="4">
                  <c:v>Metrics for the appropriate level in the organization</c:v>
                </c:pt>
              </c:strCache>
            </c:strRef>
          </c:cat>
          <c:val>
            <c:numRef>
              <c:f>'Results (DO NOT EDIT!!)'!$AD$7:$AH$7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D3BE-41A8-8D5E-A936FFD094DA}"/>
            </c:ext>
          </c:extLst>
        </c:ser>
        <c:ser>
          <c:idx val="1"/>
          <c:order val="1"/>
          <c:tx>
            <c:v>Ambition</c:v>
          </c:tx>
          <c:spPr>
            <a:ln w="28575" cap="rnd">
              <a:solidFill>
                <a:schemeClr val="accent5"/>
              </a:solidFill>
              <a:round/>
            </a:ln>
            <a:effectLst/>
          </c:spPr>
          <c:marker>
            <c:symbol val="none"/>
          </c:marker>
          <c:cat>
            <c:strRef>
              <c:f>'Results (DO NOT EDIT!!)'!$AD$4:$AH$4</c:f>
              <c:strCache>
                <c:ptCount val="5"/>
                <c:pt idx="0">
                  <c:v>Metrics for usability and UX</c:v>
                </c:pt>
                <c:pt idx="1">
                  <c:v>Metrics for CX</c:v>
                </c:pt>
                <c:pt idx="2">
                  <c:v>Metrics connecting strategy with UX/CX metrics</c:v>
                </c:pt>
                <c:pt idx="3">
                  <c:v>Translating metrics into concrete measurable definitions</c:v>
                </c:pt>
                <c:pt idx="4">
                  <c:v>Metrics for the appropriate level in the organization</c:v>
                </c:pt>
              </c:strCache>
            </c:strRef>
          </c:cat>
          <c:val>
            <c:numRef>
              <c:f>'Results (DO NOT EDIT!!)'!$AD$11:$AH$11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D3BE-41A8-8D5E-A936FFD094DA}"/>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(CX theory)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EDIT!!)'!$AI$4:$AP$4</c:f>
              <c:strCache>
                <c:ptCount val="8"/>
                <c:pt idx="0">
                  <c:v>Perception and decision making</c:v>
                </c:pt>
                <c:pt idx="1">
                  <c:v>Optimization process</c:v>
                </c:pt>
                <c:pt idx="2">
                  <c:v>CX Maturity models</c:v>
                </c:pt>
                <c:pt idx="3">
                  <c:v>Brand, usability, UX, CX</c:v>
                </c:pt>
                <c:pt idx="4">
                  <c:v>CX strategy</c:v>
                </c:pt>
                <c:pt idx="5">
                  <c:v>Copywriting | UX writing | Content</c:v>
                </c:pt>
                <c:pt idx="6">
                  <c:v>Customer Journey Mapping &amp; Personas</c:v>
                </c:pt>
                <c:pt idx="7">
                  <c:v>Personalization &amp; segmentation</c:v>
                </c:pt>
              </c:strCache>
            </c:strRef>
          </c:cat>
          <c:val>
            <c:numRef>
              <c:f>'Results (DO NOT EDIT!!)'!$AI$7:$AP$7</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AE6A-4898-A3F3-E8E7CC656D91}"/>
            </c:ext>
          </c:extLst>
        </c:ser>
        <c:ser>
          <c:idx val="1"/>
          <c:order val="1"/>
          <c:tx>
            <c:v>Ambition</c:v>
          </c:tx>
          <c:spPr>
            <a:ln w="28575" cap="rnd">
              <a:solidFill>
                <a:schemeClr val="accent5"/>
              </a:solidFill>
              <a:round/>
            </a:ln>
            <a:effectLst/>
          </c:spPr>
          <c:marker>
            <c:symbol val="none"/>
          </c:marker>
          <c:cat>
            <c:strRef>
              <c:f>'Results (DO NOT EDIT!!)'!$AI$4:$AP$4</c:f>
              <c:strCache>
                <c:ptCount val="8"/>
                <c:pt idx="0">
                  <c:v>Perception and decision making</c:v>
                </c:pt>
                <c:pt idx="1">
                  <c:v>Optimization process</c:v>
                </c:pt>
                <c:pt idx="2">
                  <c:v>CX Maturity models</c:v>
                </c:pt>
                <c:pt idx="3">
                  <c:v>Brand, usability, UX, CX</c:v>
                </c:pt>
                <c:pt idx="4">
                  <c:v>CX strategy</c:v>
                </c:pt>
                <c:pt idx="5">
                  <c:v>Copywriting | UX writing | Content</c:v>
                </c:pt>
                <c:pt idx="6">
                  <c:v>Customer Journey Mapping &amp; Personas</c:v>
                </c:pt>
                <c:pt idx="7">
                  <c:v>Personalization &amp; segmentation</c:v>
                </c:pt>
              </c:strCache>
            </c:strRef>
          </c:cat>
          <c:val>
            <c:numRef>
              <c:f>'Results (DO NOT EDIT!!)'!$AI$11:$AP$11</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AE6A-4898-A3F3-E8E7CC656D91}"/>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(CX knowledge &amp; domain)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EDIT!!)'!$AQ$4:$AU$4</c:f>
              <c:strCache>
                <c:ptCount val="5"/>
                <c:pt idx="0">
                  <c:v>Customer Journey (CXO)</c:v>
                </c:pt>
                <c:pt idx="1">
                  <c:v>Marketing Analytics</c:v>
                </c:pt>
                <c:pt idx="2">
                  <c:v>eCommerce Analytics</c:v>
                </c:pt>
                <c:pt idx="3">
                  <c:v>Product Analytics</c:v>
                </c:pt>
                <c:pt idx="4">
                  <c:v>Customer Service Optimalisation</c:v>
                </c:pt>
              </c:strCache>
            </c:strRef>
          </c:cat>
          <c:val>
            <c:numRef>
              <c:f>'Results (DO NOT EDIT!!)'!$AQ$7:$AU$7</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0-91A7-4965-94C9-3E09F9CFE130}"/>
            </c:ext>
          </c:extLst>
        </c:ser>
        <c:ser>
          <c:idx val="1"/>
          <c:order val="1"/>
          <c:tx>
            <c:v>Ambition</c:v>
          </c:tx>
          <c:spPr>
            <a:ln w="28575" cap="rnd">
              <a:solidFill>
                <a:schemeClr val="accent5"/>
              </a:solidFill>
              <a:round/>
            </a:ln>
            <a:effectLst/>
          </c:spPr>
          <c:marker>
            <c:symbol val="none"/>
          </c:marker>
          <c:cat>
            <c:strRef>
              <c:f>'Results (DO NOT EDIT!!)'!$AQ$4:$AU$4</c:f>
              <c:strCache>
                <c:ptCount val="5"/>
                <c:pt idx="0">
                  <c:v>Customer Journey (CXO)</c:v>
                </c:pt>
                <c:pt idx="1">
                  <c:v>Marketing Analytics</c:v>
                </c:pt>
                <c:pt idx="2">
                  <c:v>eCommerce Analytics</c:v>
                </c:pt>
                <c:pt idx="3">
                  <c:v>Product Analytics</c:v>
                </c:pt>
                <c:pt idx="4">
                  <c:v>Customer Service Optimalisation</c:v>
                </c:pt>
              </c:strCache>
            </c:strRef>
          </c:cat>
          <c:val>
            <c:numRef>
              <c:f>'Results (DO NOT EDIT!!)'!$AQ$11:$AU$11</c:f>
              <c:numCache>
                <c:formatCode>0.0</c:formatCode>
                <c:ptCount val="5"/>
                <c:pt idx="0">
                  <c:v>0</c:v>
                </c:pt>
                <c:pt idx="1">
                  <c:v>0</c:v>
                </c:pt>
                <c:pt idx="2">
                  <c:v>0</c:v>
                </c:pt>
                <c:pt idx="3">
                  <c:v>0</c:v>
                </c:pt>
                <c:pt idx="4">
                  <c:v>0</c:v>
                </c:pt>
              </c:numCache>
            </c:numRef>
          </c:val>
          <c:extLst>
            <c:ext xmlns:c16="http://schemas.microsoft.com/office/drawing/2014/chart" uri="{C3380CC4-5D6E-409C-BE32-E72D297353CC}">
              <c16:uniqueId val="{00000001-91A7-4965-94C9-3E09F9CFE130}"/>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(Bonus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radarChart>
        <c:radarStyle val="marker"/>
        <c:varyColors val="0"/>
        <c:ser>
          <c:idx val="0"/>
          <c:order val="0"/>
          <c:tx>
            <c:v>Current</c:v>
          </c:tx>
          <c:spPr>
            <a:ln w="28575" cap="rnd">
              <a:solidFill>
                <a:schemeClr val="accent6"/>
              </a:solidFill>
              <a:round/>
            </a:ln>
            <a:effectLst/>
          </c:spPr>
          <c:marker>
            <c:symbol val="none"/>
          </c:marker>
          <c:cat>
            <c:strRef>
              <c:f>'Results (DO NOT EDIT!!)'!$AV$4:$AX$4</c:f>
              <c:strCache>
                <c:ptCount val="3"/>
                <c:pt idx="0">
                  <c:v>Design</c:v>
                </c:pt>
                <c:pt idx="1">
                  <c:v>Prototyping</c:v>
                </c:pt>
                <c:pt idx="2">
                  <c:v>Visual design</c:v>
                </c:pt>
              </c:strCache>
            </c:strRef>
          </c:cat>
          <c:val>
            <c:numRef>
              <c:f>'Results (DO NOT EDIT!!)'!$AV$7:$AX$7</c:f>
              <c:numCache>
                <c:formatCode>0.0</c:formatCode>
                <c:ptCount val="3"/>
                <c:pt idx="0">
                  <c:v>0</c:v>
                </c:pt>
                <c:pt idx="1">
                  <c:v>0</c:v>
                </c:pt>
                <c:pt idx="2">
                  <c:v>0</c:v>
                </c:pt>
              </c:numCache>
            </c:numRef>
          </c:val>
          <c:extLst>
            <c:ext xmlns:c16="http://schemas.microsoft.com/office/drawing/2014/chart" uri="{C3380CC4-5D6E-409C-BE32-E72D297353CC}">
              <c16:uniqueId val="{00000000-A260-469D-BD38-25FCEF19BE4A}"/>
            </c:ext>
          </c:extLst>
        </c:ser>
        <c:ser>
          <c:idx val="1"/>
          <c:order val="1"/>
          <c:tx>
            <c:v>Ambition</c:v>
          </c:tx>
          <c:spPr>
            <a:ln w="28575" cap="rnd">
              <a:solidFill>
                <a:schemeClr val="accent5"/>
              </a:solidFill>
              <a:round/>
            </a:ln>
            <a:effectLst/>
          </c:spPr>
          <c:marker>
            <c:symbol val="none"/>
          </c:marker>
          <c:cat>
            <c:strRef>
              <c:f>'Results (DO NOT EDIT!!)'!$AV$4:$AX$4</c:f>
              <c:strCache>
                <c:ptCount val="3"/>
                <c:pt idx="0">
                  <c:v>Design</c:v>
                </c:pt>
                <c:pt idx="1">
                  <c:v>Prototyping</c:v>
                </c:pt>
                <c:pt idx="2">
                  <c:v>Visual design</c:v>
                </c:pt>
              </c:strCache>
            </c:strRef>
          </c:cat>
          <c:val>
            <c:numRef>
              <c:f>'Results (DO NOT EDIT!!)'!$AV$11:$AX$11</c:f>
              <c:numCache>
                <c:formatCode>0.0</c:formatCode>
                <c:ptCount val="3"/>
                <c:pt idx="0">
                  <c:v>0</c:v>
                </c:pt>
                <c:pt idx="1">
                  <c:v>0</c:v>
                </c:pt>
                <c:pt idx="2">
                  <c:v>0</c:v>
                </c:pt>
              </c:numCache>
            </c:numRef>
          </c:val>
          <c:extLst>
            <c:ext xmlns:c16="http://schemas.microsoft.com/office/drawing/2014/chart" uri="{C3380CC4-5D6E-409C-BE32-E72D297353CC}">
              <c16:uniqueId val="{00000001-A260-469D-BD38-25FCEF19BE4A}"/>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Domain skills subcategories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37594743873608794"/>
          <c:y val="0.25376519047835783"/>
          <c:w val="0.27077314927609569"/>
          <c:h val="0.57539294221170334"/>
        </c:manualLayout>
      </c:layout>
      <c:radarChart>
        <c:radarStyle val="marker"/>
        <c:varyColors val="0"/>
        <c:ser>
          <c:idx val="0"/>
          <c:order val="0"/>
          <c:tx>
            <c:v>Current</c:v>
          </c:tx>
          <c:spPr>
            <a:ln w="28575" cap="rnd">
              <a:solidFill>
                <a:schemeClr val="accent6"/>
              </a:solidFill>
              <a:round/>
            </a:ln>
            <a:effectLst/>
          </c:spPr>
          <c:marker>
            <c:symbol val="none"/>
          </c:marker>
          <c:cat>
            <c:strRef>
              <c:f>('Results (DO NOT EDIT!!)'!$O$3,'Results (DO NOT EDIT!!)'!$S$3,'Results (DO NOT EDIT!!)'!$X$3,'Results (DO NOT EDIT!!)'!$AC$3,'Results (DO NOT EDIT!!)'!$AH$3,'Results (DO NOT EDIT!!)'!$AP$3,'Results (DO NOT EDIT!!)'!$AU$3,'Results (DO NOT EDIT!!)'!$AX$3)</c:f>
              <c:strCache>
                <c:ptCount val="8"/>
                <c:pt idx="0">
                  <c:v>Ethics and professionalism</c:v>
                </c:pt>
                <c:pt idx="1">
                  <c:v>Basic data skills</c:v>
                </c:pt>
                <c:pt idx="2">
                  <c:v>Statistics</c:v>
                </c:pt>
                <c:pt idx="3">
                  <c:v>Qualitative analysis and research skills</c:v>
                </c:pt>
                <c:pt idx="4">
                  <c:v>Metrics and goals</c:v>
                </c:pt>
                <c:pt idx="5">
                  <c:v>CX theory</c:v>
                </c:pt>
                <c:pt idx="6">
                  <c:v>CX knowledge application domain </c:v>
                </c:pt>
                <c:pt idx="7">
                  <c:v>Bonus skills</c:v>
                </c:pt>
              </c:strCache>
            </c:strRef>
          </c:cat>
          <c:val>
            <c:numRef>
              <c:f>('Results (DO NOT EDIT!!)'!$O$8,'Results (DO NOT EDIT!!)'!$S$8,'Results (DO NOT EDIT!!)'!$X$8,'Results (DO NOT EDIT!!)'!$AC$8,'Results (DO NOT EDIT!!)'!$AH$8,'Results (DO NOT EDIT!!)'!$AP$8,'Results (DO NOT EDIT!!)'!$AU$8,'Results (DO NOT EDIT!!)'!$AX$8)</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5D7B-43B3-A7BC-34EAA24306CF}"/>
            </c:ext>
          </c:extLst>
        </c:ser>
        <c:ser>
          <c:idx val="1"/>
          <c:order val="1"/>
          <c:tx>
            <c:v>Ambition</c:v>
          </c:tx>
          <c:spPr>
            <a:ln w="28575" cap="rnd">
              <a:solidFill>
                <a:schemeClr val="accent5"/>
              </a:solidFill>
              <a:round/>
            </a:ln>
            <a:effectLst/>
          </c:spPr>
          <c:marker>
            <c:symbol val="none"/>
          </c:marker>
          <c:cat>
            <c:strRef>
              <c:f>('Results (DO NOT EDIT!!)'!$O$3,'Results (DO NOT EDIT!!)'!$S$3,'Results (DO NOT EDIT!!)'!$X$3,'Results (DO NOT EDIT!!)'!$AC$3,'Results (DO NOT EDIT!!)'!$AH$3,'Results (DO NOT EDIT!!)'!$AP$3,'Results (DO NOT EDIT!!)'!$AU$3,'Results (DO NOT EDIT!!)'!$AX$3)</c:f>
              <c:strCache>
                <c:ptCount val="8"/>
                <c:pt idx="0">
                  <c:v>Ethics and professionalism</c:v>
                </c:pt>
                <c:pt idx="1">
                  <c:v>Basic data skills</c:v>
                </c:pt>
                <c:pt idx="2">
                  <c:v>Statistics</c:v>
                </c:pt>
                <c:pt idx="3">
                  <c:v>Qualitative analysis and research skills</c:v>
                </c:pt>
                <c:pt idx="4">
                  <c:v>Metrics and goals</c:v>
                </c:pt>
                <c:pt idx="5">
                  <c:v>CX theory</c:v>
                </c:pt>
                <c:pt idx="6">
                  <c:v>CX knowledge application domain </c:v>
                </c:pt>
                <c:pt idx="7">
                  <c:v>Bonus skills</c:v>
                </c:pt>
              </c:strCache>
            </c:strRef>
          </c:cat>
          <c:val>
            <c:numRef>
              <c:f>('Results (DO NOT EDIT!!)'!$O$12,'Results (DO NOT EDIT!!)'!$S$12,'Results (DO NOT EDIT!!)'!$X$12,'Results (DO NOT EDIT!!)'!$AC$12,'Results (DO NOT EDIT!!)'!$AH$12,'Results (DO NOT EDIT!!)'!$AP$12,'Results (DO NOT EDIT!!)'!$AU$12,'Results (DO NOT EDIT!!)'!$AX$12)</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D7B-43B3-A7BC-34EAA24306CF}"/>
            </c:ext>
          </c:extLst>
        </c:ser>
        <c:dLbls>
          <c:showLegendKey val="0"/>
          <c:showVal val="0"/>
          <c:showCatName val="0"/>
          <c:showSerName val="0"/>
          <c:showPercent val="0"/>
          <c:showBubbleSize val="0"/>
        </c:dLbls>
        <c:axId val="1175182184"/>
        <c:axId val="1175178576"/>
      </c:radarChart>
      <c:catAx>
        <c:axId val="1175182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5178576"/>
        <c:crosses val="autoZero"/>
        <c:auto val="1"/>
        <c:lblAlgn val="ctr"/>
        <c:lblOffset val="100"/>
        <c:noMultiLvlLbl val="0"/>
      </c:catAx>
      <c:valAx>
        <c:axId val="1175178576"/>
        <c:scaling>
          <c:orientation val="minMax"/>
        </c:scaling>
        <c:delete val="1"/>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crossAx val="11751821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iagrams/colors1.xml><?xml version="1.0" encoding="utf-8"?>
<dgm:colorsDef xmlns:dgm="http://schemas.openxmlformats.org/drawingml/2006/diagram" xmlns:a="http://schemas.openxmlformats.org/drawingml/2006/main" uniqueId="urn:microsoft.com/office/officeart/2005/8/colors/accent6_1">
  <dgm:title val=""/>
  <dgm:desc val=""/>
  <dgm:catLst>
    <dgm:cat type="accent6" pri="11100"/>
  </dgm:catLst>
  <dgm:styleLbl name="node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lig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lnNode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vennNode1">
    <dgm:fillClrLst meth="repeat">
      <a:schemeClr val="lt1">
        <a:alpha val="50000"/>
      </a:schemeClr>
    </dgm:fillClrLst>
    <dgm:linClrLst meth="repeat">
      <a:schemeClr val="accent6">
        <a:shade val="80000"/>
      </a:schemeClr>
    </dgm:linClrLst>
    <dgm:effectClrLst/>
    <dgm:txLinClrLst/>
    <dgm:txFillClrLst/>
    <dgm:txEffectClrLst/>
  </dgm:styleLbl>
  <dgm:styleLbl name="node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node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f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align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bgImgPlace1">
    <dgm:fillClrLst meth="repeat">
      <a:schemeClr val="accent6">
        <a:tint val="40000"/>
      </a:schemeClr>
    </dgm:fillClrLst>
    <dgm:linClrLst meth="repeat">
      <a:schemeClr val="accent6">
        <a:shade val="80000"/>
      </a:schemeClr>
    </dgm:linClrLst>
    <dgm:effectClrLst/>
    <dgm:txLinClrLst/>
    <dgm:txFillClrLst meth="repeat">
      <a:schemeClr val="lt1"/>
    </dgm:txFillClrLst>
    <dgm:txEffectClrLst/>
  </dgm:styleLbl>
  <dgm:styleLbl name="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f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bgSibTrans2D1">
    <dgm:fillClrLst meth="repeat">
      <a:schemeClr val="accent6">
        <a:tint val="60000"/>
      </a:schemeClr>
    </dgm:fillClrLst>
    <dgm:linClrLst meth="repeat">
      <a:schemeClr val="accent6">
        <a:tint val="60000"/>
      </a:schemeClr>
    </dgm:linClrLst>
    <dgm:effectClrLst/>
    <dgm:txLinClrLst/>
    <dgm:txFillClrLst meth="repeat">
      <a:schemeClr val="dk1"/>
    </dgm:txFillClrLst>
    <dgm:txEffectClrLst/>
  </dgm:styleLbl>
  <dgm:styleLbl name="sibTrans1D1">
    <dgm:fillClrLst meth="repeat">
      <a:schemeClr val="accent6"/>
    </dgm:fillClrLst>
    <dgm:linClrLst meth="repeat">
      <a:schemeClr val="accent6"/>
    </dgm:linClrLst>
    <dgm:effectClrLst/>
    <dgm:txLinClrLst/>
    <dgm:txFillClrLst meth="repeat">
      <a:schemeClr val="tx1"/>
    </dgm:txFillClrLst>
    <dgm:txEffectClrLst/>
  </dgm:styleLbl>
  <dgm:styleLbl name="callout">
    <dgm:fillClrLst meth="repeat">
      <a:schemeClr val="accent6"/>
    </dgm:fillClrLst>
    <dgm:linClrLst meth="repeat">
      <a:schemeClr val="accent6"/>
    </dgm:linClrLst>
    <dgm:effectClrLst/>
    <dgm:txLinClrLst/>
    <dgm:txFillClrLst meth="repeat">
      <a:schemeClr val="tx1"/>
    </dgm:txFillClrLst>
    <dgm:txEffectClrLst/>
  </dgm:styleLbl>
  <dgm:styleLbl name="asst0">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1">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2">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3">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asst4">
    <dgm:fillClrLst meth="repeat">
      <a:schemeClr val="lt1"/>
    </dgm:fillClrLst>
    <dgm:linClrLst meth="repeat">
      <a:schemeClr val="accent6">
        <a:shade val="80000"/>
      </a:schemeClr>
    </dgm:linClrLst>
    <dgm:effectClrLst/>
    <dgm:txLinClrLst/>
    <dgm:txFillClrLst meth="repeat">
      <a:schemeClr val="dk1"/>
    </dgm:txFillClrLst>
    <dgm:txEffectClrLst/>
  </dgm:styleLbl>
  <dgm:styleLbl name="parChTrans2D1">
    <dgm:fillClrLst meth="repeat">
      <a:schemeClr val="accent6">
        <a:tint val="60000"/>
      </a:schemeClr>
    </dgm:fillClrLst>
    <dgm:linClrLst meth="repeat">
      <a:schemeClr val="accent6">
        <a:tint val="60000"/>
      </a:schemeClr>
    </dgm:linClrLst>
    <dgm:effectClrLst/>
    <dgm:txLinClrLst/>
    <dgm:txFillClrLst/>
    <dgm:txEffectClrLst/>
  </dgm:styleLbl>
  <dgm:styleLbl name="parChTrans2D2">
    <dgm:fillClrLst meth="repeat">
      <a:schemeClr val="accent6"/>
    </dgm:fillClrLst>
    <dgm:linClrLst meth="repeat">
      <a:schemeClr val="accent6"/>
    </dgm:linClrLst>
    <dgm:effectClrLst/>
    <dgm:txLinClrLst/>
    <dgm:txFillClrLst/>
    <dgm:txEffectClrLst/>
  </dgm:styleLbl>
  <dgm:styleLbl name="parChTrans2D3">
    <dgm:fillClrLst meth="repeat">
      <a:schemeClr val="accent6"/>
    </dgm:fillClrLst>
    <dgm:linClrLst meth="repeat">
      <a:schemeClr val="accent6"/>
    </dgm:linClrLst>
    <dgm:effectClrLst/>
    <dgm:txLinClrLst/>
    <dgm:txFillClrLst/>
    <dgm:txEffectClrLst/>
  </dgm:styleLbl>
  <dgm:styleLbl name="parChTrans2D4">
    <dgm:fillClrLst meth="repeat">
      <a:schemeClr val="accent6"/>
    </dgm:fillClrLst>
    <dgm:linClrLst meth="repeat">
      <a:schemeClr val="accent6"/>
    </dgm:linClrLst>
    <dgm:effectClrLst/>
    <dgm:txLinClrLst/>
    <dgm:txFillClrLst meth="repeat">
      <a:schemeClr val="lt1"/>
    </dgm:txFillClrLst>
    <dgm:txEffectClrLst/>
  </dgm:styleLbl>
  <dgm:styleLbl name="parChTrans1D1">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2">
    <dgm:fillClrLst meth="repeat">
      <a:schemeClr val="accent6"/>
    </dgm:fillClrLst>
    <dgm:linClrLst meth="repeat">
      <a:schemeClr val="accent6">
        <a:shade val="60000"/>
      </a:schemeClr>
    </dgm:linClrLst>
    <dgm:effectClrLst/>
    <dgm:txLinClrLst/>
    <dgm:txFillClrLst meth="repeat">
      <a:schemeClr val="tx1"/>
    </dgm:txFillClrLst>
    <dgm:txEffectClrLst/>
  </dgm:styleLbl>
  <dgm:styleLbl name="parChTrans1D3">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parChTrans1D4">
    <dgm:fillClrLst meth="repeat">
      <a:schemeClr val="accent6"/>
    </dgm:fillClrLst>
    <dgm:linClrLst meth="repeat">
      <a:schemeClr val="accent6">
        <a:shade val="80000"/>
      </a:schemeClr>
    </dgm:linClrLst>
    <dgm:effectClrLst/>
    <dgm:txLinClrLst/>
    <dgm:txFillClrLst meth="repeat">
      <a:schemeClr val="tx1"/>
    </dgm:txFillClrLst>
    <dgm:txEffectClrLst/>
  </dgm:styleLbl>
  <dgm:styleLbl name="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conF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align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trAlignAcc1">
    <dgm:fillClrLst meth="repeat">
      <a:schemeClr val="accent6">
        <a:alpha val="40000"/>
        <a:tint val="40000"/>
      </a:schemeClr>
    </dgm:fillClrLst>
    <dgm:linClrLst meth="repeat">
      <a:schemeClr val="accent6"/>
    </dgm:linClrLst>
    <dgm:effectClrLst/>
    <dgm:txLinClrLst/>
    <dgm:txFillClrLst meth="repeat">
      <a:schemeClr val="dk1"/>
    </dgm:txFillClrLst>
    <dgm:txEffectClrLst/>
  </dgm:styleLbl>
  <dgm:styleLbl name="bgAcc1">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solidFgAcc1">
    <dgm:fillClrLst meth="repeat">
      <a:schemeClr val="lt1"/>
    </dgm:fillClrLst>
    <dgm:linClrLst meth="repeat">
      <a:schemeClr val="accent6"/>
    </dgm:linClrLst>
    <dgm:effectClrLst/>
    <dgm:txLinClrLst/>
    <dgm:txFillClrLst meth="repeat">
      <a:schemeClr val="dk1"/>
    </dgm:txFillClrLst>
    <dgm:txEffectClrLst/>
  </dgm:styleLbl>
  <dgm:styleLbl name="solidAlignAcc1">
    <dgm:fillClrLst meth="repeat">
      <a:schemeClr val="lt1"/>
    </dgm:fillClrLst>
    <dgm:linClrLst meth="repeat">
      <a:schemeClr val="accent6"/>
    </dgm:linClrLst>
    <dgm:effectClrLst/>
    <dgm:txLinClrLst/>
    <dgm:txFillClrLst meth="repeat">
      <a:schemeClr val="dk1"/>
    </dgm:txFillClrLst>
    <dgm:txEffectClrLst/>
  </dgm:styleLbl>
  <dgm:styleLbl name="solidBgAcc1">
    <dgm:fillClrLst meth="repeat">
      <a:schemeClr val="lt1"/>
    </dgm:fillClrLst>
    <dgm:linClrLst meth="repeat">
      <a:schemeClr val="accent6"/>
    </dgm:linClrLst>
    <dgm:effectClrLst/>
    <dgm:txLinClrLst/>
    <dgm:txFillClrLst meth="repeat">
      <a:schemeClr val="dk1"/>
    </dgm:txFillClrLst>
    <dgm:txEffectClrLst/>
  </dgm:styleLbl>
  <dgm:styleLbl name="f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align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bgAccFollowNode1">
    <dgm:fillClrLst meth="repeat">
      <a:schemeClr val="lt1">
        <a:alpha val="90000"/>
        <a:tint val="40000"/>
      </a:schemeClr>
    </dgm:fillClrLst>
    <dgm:linClrLst meth="repeat">
      <a:schemeClr val="accent6">
        <a:alpha val="90000"/>
      </a:schemeClr>
    </dgm:linClrLst>
    <dgm:effectClrLst/>
    <dgm:txLinClrLst/>
    <dgm:txFillClrLst meth="repeat">
      <a:schemeClr val="dk1"/>
    </dgm:txFillClrLst>
    <dgm:txEffectClrLst/>
  </dgm:styleLbl>
  <dgm:styleLbl name="fgAcc0">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2">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3">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fgAcc4">
    <dgm:fillClrLst meth="repeat">
      <a:schemeClr val="accent6">
        <a:alpha val="90000"/>
        <a:tint val="40000"/>
      </a:schemeClr>
    </dgm:fillClrLst>
    <dgm:linClrLst meth="repeat">
      <a:schemeClr val="accent6"/>
    </dgm:linClrLst>
    <dgm:effectClrLst/>
    <dgm:txLinClrLst/>
    <dgm:txFillClrLst meth="repeat">
      <a:schemeClr val="dk1"/>
    </dgm:txFillClrLst>
    <dgm:txEffectClrLst/>
  </dgm:styleLbl>
  <dgm:styleLbl name="bgShp">
    <dgm:fillClrLst meth="repeat">
      <a:schemeClr val="accent6">
        <a:tint val="40000"/>
      </a:schemeClr>
    </dgm:fillClrLst>
    <dgm:linClrLst meth="repeat">
      <a:schemeClr val="accent6"/>
    </dgm:linClrLst>
    <dgm:effectClrLst/>
    <dgm:txLinClrLst/>
    <dgm:txFillClrLst meth="repeat">
      <a:schemeClr val="dk1"/>
    </dgm:txFillClrLst>
    <dgm:txEffectClrLst/>
  </dgm:styleLbl>
  <dgm:styleLbl name="dkBgShp">
    <dgm:fillClrLst meth="repeat">
      <a:schemeClr val="accent6">
        <a:shade val="80000"/>
      </a:schemeClr>
    </dgm:fillClrLst>
    <dgm:linClrLst meth="repeat">
      <a:schemeClr val="accent6"/>
    </dgm:linClrLst>
    <dgm:effectClrLst/>
    <dgm:txLinClrLst/>
    <dgm:txFillClrLst meth="repeat">
      <a:schemeClr val="lt1"/>
    </dgm:txFillClrLst>
    <dgm:txEffectClrLst/>
  </dgm:styleLbl>
  <dgm:styleLbl name="trBgShp">
    <dgm:fillClrLst meth="repeat">
      <a:schemeClr val="accent6">
        <a:tint val="50000"/>
        <a:alpha val="40000"/>
      </a:schemeClr>
    </dgm:fillClrLst>
    <dgm:linClrLst meth="repeat">
      <a:schemeClr val="accent6"/>
    </dgm:linClrLst>
    <dgm:effectClrLst/>
    <dgm:txLinClrLst/>
    <dgm:txFillClrLst meth="repeat">
      <a:schemeClr val="lt1"/>
    </dgm:txFillClrLst>
    <dgm:txEffectClrLst/>
  </dgm:styleLbl>
  <dgm:styleLbl name="fgShp">
    <dgm:fillClrLst meth="repeat">
      <a:schemeClr val="accent6">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3C8EFC9A-BDC9-4CB0-8DCF-FD6F89FD7C78}" type="doc">
      <dgm:prSet loTypeId="urn:microsoft.com/office/officeart/2005/8/layout/lProcess2" loCatId="list" qsTypeId="urn:microsoft.com/office/officeart/2005/8/quickstyle/simple1" qsCatId="simple" csTypeId="urn:microsoft.com/office/officeart/2005/8/colors/accent6_1" csCatId="accent6" phldr="1"/>
      <dgm:spPr/>
      <dgm:t>
        <a:bodyPr/>
        <a:lstStyle/>
        <a:p>
          <a:endParaRPr lang="nl-NL"/>
        </a:p>
      </dgm:t>
    </dgm:pt>
    <dgm:pt modelId="{7ED69BD0-5C46-430C-BD11-1675B78445AF}">
      <dgm:prSet phldrT="[Tekst]" custT="1"/>
      <dgm:spPr/>
      <dgm:t>
        <a:bodyPr/>
        <a:lstStyle/>
        <a:p>
          <a:r>
            <a:rPr lang="nl-NL" sz="1800" b="1"/>
            <a:t>Digital Power Basic Skills</a:t>
          </a:r>
        </a:p>
      </dgm:t>
    </dgm:pt>
    <dgm:pt modelId="{E750908F-6048-4121-9824-44DEE38A9550}" type="parTrans" cxnId="{6E3EB49A-F9C7-49B8-A048-579421865614}">
      <dgm:prSet/>
      <dgm:spPr/>
      <dgm:t>
        <a:bodyPr/>
        <a:lstStyle/>
        <a:p>
          <a:endParaRPr lang="nl-NL" sz="2400"/>
        </a:p>
      </dgm:t>
    </dgm:pt>
    <dgm:pt modelId="{218C9A6D-6F68-45C1-B697-BBF6B4D44B14}" type="sibTrans" cxnId="{6E3EB49A-F9C7-49B8-A048-579421865614}">
      <dgm:prSet/>
      <dgm:spPr/>
      <dgm:t>
        <a:bodyPr/>
        <a:lstStyle/>
        <a:p>
          <a:endParaRPr lang="nl-NL" sz="2400"/>
        </a:p>
      </dgm:t>
    </dgm:pt>
    <dgm:pt modelId="{E4B92491-EA9A-4D22-9CF8-82866D9BC210}">
      <dgm:prSet phldrT="[Tekst]" custT="1"/>
      <dgm:spPr/>
      <dgm:t>
        <a:bodyPr/>
        <a:lstStyle/>
        <a:p>
          <a:r>
            <a:rPr lang="nl-NL" sz="900"/>
            <a:t>Leren &amp; reflecteren</a:t>
          </a:r>
        </a:p>
      </dgm:t>
    </dgm:pt>
    <dgm:pt modelId="{AAD8A640-0904-42B2-8737-4F819FCC663F}" type="parTrans" cxnId="{B9B84F3F-92DA-48E6-A3BB-B7C952E21BD3}">
      <dgm:prSet/>
      <dgm:spPr/>
      <dgm:t>
        <a:bodyPr/>
        <a:lstStyle/>
        <a:p>
          <a:endParaRPr lang="nl-NL" sz="2400"/>
        </a:p>
      </dgm:t>
    </dgm:pt>
    <dgm:pt modelId="{6A795A40-8887-4AB1-8E50-2A17E97000C7}" type="sibTrans" cxnId="{B9B84F3F-92DA-48E6-A3BB-B7C952E21BD3}">
      <dgm:prSet/>
      <dgm:spPr/>
      <dgm:t>
        <a:bodyPr/>
        <a:lstStyle/>
        <a:p>
          <a:endParaRPr lang="nl-NL" sz="2400"/>
        </a:p>
      </dgm:t>
    </dgm:pt>
    <dgm:pt modelId="{1DCEF51C-F50A-4B0B-9902-33B322D5ADEF}">
      <dgm:prSet phldrT="[Tekst]" custT="1"/>
      <dgm:spPr/>
      <dgm:t>
        <a:bodyPr/>
        <a:lstStyle/>
        <a:p>
          <a:r>
            <a:rPr lang="nl-NL" sz="900"/>
            <a:t>Ondernemen &amp; resultaatgericht</a:t>
          </a:r>
        </a:p>
      </dgm:t>
    </dgm:pt>
    <dgm:pt modelId="{2C60948B-205E-4F80-82A1-F8B8D3A331F9}" type="parTrans" cxnId="{3EC95584-F64E-4F01-9306-D20FA216FBEC}">
      <dgm:prSet/>
      <dgm:spPr/>
      <dgm:t>
        <a:bodyPr/>
        <a:lstStyle/>
        <a:p>
          <a:endParaRPr lang="nl-NL" sz="2400"/>
        </a:p>
      </dgm:t>
    </dgm:pt>
    <dgm:pt modelId="{54A7321B-FDE2-4C58-BFBF-737A8982D7C8}" type="sibTrans" cxnId="{3EC95584-F64E-4F01-9306-D20FA216FBEC}">
      <dgm:prSet/>
      <dgm:spPr/>
      <dgm:t>
        <a:bodyPr/>
        <a:lstStyle/>
        <a:p>
          <a:endParaRPr lang="nl-NL" sz="2400"/>
        </a:p>
      </dgm:t>
    </dgm:pt>
    <dgm:pt modelId="{71C93146-8DBD-47BA-9B89-8D2FF25B6FDE}">
      <dgm:prSet phldrT="[Tekst]" custT="1"/>
      <dgm:spPr/>
      <dgm:t>
        <a:bodyPr/>
        <a:lstStyle/>
        <a:p>
          <a:r>
            <a:rPr lang="nl-NL" sz="1800" b="1"/>
            <a:t>Domein skills</a:t>
          </a:r>
        </a:p>
      </dgm:t>
    </dgm:pt>
    <dgm:pt modelId="{A4EFA77B-9971-480B-8CDC-B60EE2909B0A}" type="parTrans" cxnId="{85CA7328-C88E-4CCA-A503-4BBF9E60CB5E}">
      <dgm:prSet/>
      <dgm:spPr/>
      <dgm:t>
        <a:bodyPr/>
        <a:lstStyle/>
        <a:p>
          <a:endParaRPr lang="nl-NL" sz="2400"/>
        </a:p>
      </dgm:t>
    </dgm:pt>
    <dgm:pt modelId="{8213C114-C822-4D1A-8481-C09CD83DA145}" type="sibTrans" cxnId="{85CA7328-C88E-4CCA-A503-4BBF9E60CB5E}">
      <dgm:prSet/>
      <dgm:spPr/>
      <dgm:t>
        <a:bodyPr/>
        <a:lstStyle/>
        <a:p>
          <a:endParaRPr lang="nl-NL" sz="2400"/>
        </a:p>
      </dgm:t>
    </dgm:pt>
    <dgm:pt modelId="{CB339438-8F81-4836-B0D6-39E445779B2D}">
      <dgm:prSet phldrT="[Tekst]" custT="1"/>
      <dgm:spPr/>
      <dgm:t>
        <a:bodyPr/>
        <a:lstStyle/>
        <a:p>
          <a:r>
            <a:rPr lang="nl-NL" sz="1800" b="1"/>
            <a:t>Hardskills</a:t>
          </a:r>
        </a:p>
      </dgm:t>
    </dgm:pt>
    <dgm:pt modelId="{81844B2A-8DE3-4EEB-9E0E-031ED26B43F7}" type="parTrans" cxnId="{FA676D8E-DD10-4206-946E-A18DBBC548C9}">
      <dgm:prSet/>
      <dgm:spPr/>
      <dgm:t>
        <a:bodyPr/>
        <a:lstStyle/>
        <a:p>
          <a:endParaRPr lang="nl-NL" sz="2400"/>
        </a:p>
      </dgm:t>
    </dgm:pt>
    <dgm:pt modelId="{217513DC-7E70-4D8D-9CA4-5D4693EB7292}" type="sibTrans" cxnId="{FA676D8E-DD10-4206-946E-A18DBBC548C9}">
      <dgm:prSet/>
      <dgm:spPr/>
      <dgm:t>
        <a:bodyPr/>
        <a:lstStyle/>
        <a:p>
          <a:endParaRPr lang="nl-NL" sz="2400"/>
        </a:p>
      </dgm:t>
    </dgm:pt>
    <dgm:pt modelId="{39F506DE-50F1-49BE-9ED2-88EFDAE6F0E1}">
      <dgm:prSet phldrT="[Tekst]" custT="1"/>
      <dgm:spPr/>
      <dgm:t>
        <a:bodyPr/>
        <a:lstStyle/>
        <a:p>
          <a:r>
            <a:rPr lang="nl-NL" sz="1800" b="1"/>
            <a:t>Basic Consultancy Skills</a:t>
          </a:r>
        </a:p>
      </dgm:t>
    </dgm:pt>
    <dgm:pt modelId="{7F60D346-2BA8-4279-8596-2765F26B3192}" type="parTrans" cxnId="{81471AD1-0069-4A55-AFA7-7230934509D8}">
      <dgm:prSet/>
      <dgm:spPr/>
      <dgm:t>
        <a:bodyPr/>
        <a:lstStyle/>
        <a:p>
          <a:endParaRPr lang="nl-NL" sz="2400"/>
        </a:p>
      </dgm:t>
    </dgm:pt>
    <dgm:pt modelId="{7C66CED6-4EF2-4379-89C4-7E1B0D2D3641}" type="sibTrans" cxnId="{81471AD1-0069-4A55-AFA7-7230934509D8}">
      <dgm:prSet/>
      <dgm:spPr/>
      <dgm:t>
        <a:bodyPr/>
        <a:lstStyle/>
        <a:p>
          <a:endParaRPr lang="nl-NL" sz="2400"/>
        </a:p>
      </dgm:t>
    </dgm:pt>
    <dgm:pt modelId="{5689EC68-4989-4E1E-96FD-3A6DB0CAD78C}">
      <dgm:prSet phldrT="[Tekst]" custT="1"/>
      <dgm:spPr/>
      <dgm:t>
        <a:bodyPr/>
        <a:lstStyle/>
        <a:p>
          <a:r>
            <a:rPr lang="nl-NL" sz="900"/>
            <a:t>Adviseren</a:t>
          </a:r>
        </a:p>
      </dgm:t>
    </dgm:pt>
    <dgm:pt modelId="{5E002F54-8A10-472E-96C2-6347E5C62ABE}" type="parTrans" cxnId="{9E5B2586-4117-46D2-A77F-55BE96C0CD18}">
      <dgm:prSet/>
      <dgm:spPr/>
      <dgm:t>
        <a:bodyPr/>
        <a:lstStyle/>
        <a:p>
          <a:endParaRPr lang="nl-NL" sz="2400"/>
        </a:p>
      </dgm:t>
    </dgm:pt>
    <dgm:pt modelId="{A783D2D8-9AA5-4B37-B664-80F0625BDE23}" type="sibTrans" cxnId="{9E5B2586-4117-46D2-A77F-55BE96C0CD18}">
      <dgm:prSet/>
      <dgm:spPr/>
      <dgm:t>
        <a:bodyPr/>
        <a:lstStyle/>
        <a:p>
          <a:endParaRPr lang="nl-NL" sz="2400"/>
        </a:p>
      </dgm:t>
    </dgm:pt>
    <dgm:pt modelId="{731B959C-F05A-4425-AA8A-A0CC576E0CD6}">
      <dgm:prSet phldrT="[Tekst]" custT="1"/>
      <dgm:spPr/>
      <dgm:t>
        <a:bodyPr/>
        <a:lstStyle/>
        <a:p>
          <a:r>
            <a:rPr lang="nl-NL" sz="1800" b="1"/>
            <a:t>Expert Consultancy Skills</a:t>
          </a:r>
        </a:p>
      </dgm:t>
    </dgm:pt>
    <dgm:pt modelId="{4DAF3717-69D8-4024-BC2D-22D2476AC76E}" type="parTrans" cxnId="{3898561C-AE03-4718-AE3E-8110DF2975AE}">
      <dgm:prSet/>
      <dgm:spPr/>
      <dgm:t>
        <a:bodyPr/>
        <a:lstStyle/>
        <a:p>
          <a:endParaRPr lang="nl-NL" sz="2400"/>
        </a:p>
      </dgm:t>
    </dgm:pt>
    <dgm:pt modelId="{4B9E5D53-0B42-48F6-AA2B-6F5F833B01D8}" type="sibTrans" cxnId="{3898561C-AE03-4718-AE3E-8110DF2975AE}">
      <dgm:prSet/>
      <dgm:spPr/>
      <dgm:t>
        <a:bodyPr/>
        <a:lstStyle/>
        <a:p>
          <a:endParaRPr lang="nl-NL" sz="2400"/>
        </a:p>
      </dgm:t>
    </dgm:pt>
    <dgm:pt modelId="{E4529BFC-7FBA-401E-83DC-ED21706EC71E}">
      <dgm:prSet phldrT="[Tekst]" custT="1"/>
      <dgm:spPr/>
      <dgm:t>
        <a:bodyPr/>
        <a:lstStyle/>
        <a:p>
          <a:r>
            <a:rPr lang="nl-NL" sz="900"/>
            <a:t>Situationele communicatie</a:t>
          </a:r>
        </a:p>
      </dgm:t>
    </dgm:pt>
    <dgm:pt modelId="{75EC726F-0F1A-4A9A-AAA4-BA5A62E7EF13}" type="parTrans" cxnId="{B9770FDA-37FF-43F8-A310-12FA30D16BC1}">
      <dgm:prSet/>
      <dgm:spPr/>
      <dgm:t>
        <a:bodyPr/>
        <a:lstStyle/>
        <a:p>
          <a:endParaRPr lang="nl-NL" sz="2400"/>
        </a:p>
      </dgm:t>
    </dgm:pt>
    <dgm:pt modelId="{2694060A-8504-46CC-B366-F826D32B0115}" type="sibTrans" cxnId="{B9770FDA-37FF-43F8-A310-12FA30D16BC1}">
      <dgm:prSet/>
      <dgm:spPr/>
      <dgm:t>
        <a:bodyPr/>
        <a:lstStyle/>
        <a:p>
          <a:endParaRPr lang="nl-NL" sz="2400"/>
        </a:p>
      </dgm:t>
    </dgm:pt>
    <dgm:pt modelId="{086678A7-F493-4823-B3B6-57A9657951CF}">
      <dgm:prSet phldrT="[Tekst]" custT="1"/>
      <dgm:spPr/>
      <dgm:t>
        <a:bodyPr/>
        <a:lstStyle/>
        <a:p>
          <a:r>
            <a:rPr lang="nl-NL" sz="900"/>
            <a:t>Ondersteunen &amp; samenwerken</a:t>
          </a:r>
        </a:p>
      </dgm:t>
    </dgm:pt>
    <dgm:pt modelId="{D26FD918-8E0C-41E9-A734-59F853D9C88E}" type="parTrans" cxnId="{58C72467-DF9F-4CB4-858D-2E57F85622DE}">
      <dgm:prSet/>
      <dgm:spPr/>
      <dgm:t>
        <a:bodyPr/>
        <a:lstStyle/>
        <a:p>
          <a:endParaRPr lang="nl-NL" sz="2400"/>
        </a:p>
      </dgm:t>
    </dgm:pt>
    <dgm:pt modelId="{BEC88BC7-710D-498D-B073-44C36555D78A}" type="sibTrans" cxnId="{58C72467-DF9F-4CB4-858D-2E57F85622DE}">
      <dgm:prSet/>
      <dgm:spPr/>
      <dgm:t>
        <a:bodyPr/>
        <a:lstStyle/>
        <a:p>
          <a:endParaRPr lang="nl-NL" sz="2400"/>
        </a:p>
      </dgm:t>
    </dgm:pt>
    <dgm:pt modelId="{2E51DF25-B7C0-43DA-ADCE-0B6DAA3E9F7B}">
      <dgm:prSet phldrT="[Tekst]" custT="1"/>
      <dgm:spPr/>
      <dgm:t>
        <a:bodyPr/>
        <a:lstStyle/>
        <a:p>
          <a:r>
            <a:rPr lang="nl-NL" sz="900"/>
            <a:t>Klantgericht</a:t>
          </a:r>
        </a:p>
      </dgm:t>
    </dgm:pt>
    <dgm:pt modelId="{060E53C2-706B-40E2-B6B1-DC5694082B1A}" type="parTrans" cxnId="{9AA6C102-B33A-45C3-AE7D-4BCB09515111}">
      <dgm:prSet/>
      <dgm:spPr/>
      <dgm:t>
        <a:bodyPr/>
        <a:lstStyle/>
        <a:p>
          <a:endParaRPr lang="nl-NL" sz="2400"/>
        </a:p>
      </dgm:t>
    </dgm:pt>
    <dgm:pt modelId="{54C986C0-7254-4D77-8EF8-B2E27153E9C6}" type="sibTrans" cxnId="{9AA6C102-B33A-45C3-AE7D-4BCB09515111}">
      <dgm:prSet/>
      <dgm:spPr/>
      <dgm:t>
        <a:bodyPr/>
        <a:lstStyle/>
        <a:p>
          <a:endParaRPr lang="nl-NL" sz="2400"/>
        </a:p>
      </dgm:t>
    </dgm:pt>
    <dgm:pt modelId="{C765EFE1-9587-4BD0-BA1D-81A6425C17DB}">
      <dgm:prSet phldrT="[Tekst]" custT="1"/>
      <dgm:spPr/>
      <dgm:t>
        <a:bodyPr/>
        <a:lstStyle/>
        <a:p>
          <a:r>
            <a:rPr lang="nl-NL" sz="900"/>
            <a:t>Kennisdeling</a:t>
          </a:r>
        </a:p>
      </dgm:t>
    </dgm:pt>
    <dgm:pt modelId="{9666F175-7D96-457C-A175-023DEBE6F969}" type="parTrans" cxnId="{B60D540F-CFA6-412D-9DCA-BF4FB473BD58}">
      <dgm:prSet/>
      <dgm:spPr/>
      <dgm:t>
        <a:bodyPr/>
        <a:lstStyle/>
        <a:p>
          <a:endParaRPr lang="nl-NL" sz="2400"/>
        </a:p>
      </dgm:t>
    </dgm:pt>
    <dgm:pt modelId="{F6867B9E-C732-4845-A91D-352DB38C5B50}" type="sibTrans" cxnId="{B60D540F-CFA6-412D-9DCA-BF4FB473BD58}">
      <dgm:prSet/>
      <dgm:spPr/>
      <dgm:t>
        <a:bodyPr/>
        <a:lstStyle/>
        <a:p>
          <a:endParaRPr lang="nl-NL" sz="2400"/>
        </a:p>
      </dgm:t>
    </dgm:pt>
    <dgm:pt modelId="{7C0E973C-743C-470A-8B02-0F4E3FD93FC5}">
      <dgm:prSet phldrT="[Tekst]" custT="1"/>
      <dgm:spPr/>
      <dgm:t>
        <a:bodyPr/>
        <a:lstStyle/>
        <a:p>
          <a:r>
            <a:rPr lang="nl-NL" sz="900"/>
            <a:t>Coaching &amp; begeleiding</a:t>
          </a:r>
        </a:p>
      </dgm:t>
    </dgm:pt>
    <dgm:pt modelId="{6D16B90E-7EB1-4EB7-A35C-49E2D6F9539C}" type="parTrans" cxnId="{4D3BDD4D-4325-42D8-8823-D4F547B79AB4}">
      <dgm:prSet/>
      <dgm:spPr/>
      <dgm:t>
        <a:bodyPr/>
        <a:lstStyle/>
        <a:p>
          <a:endParaRPr lang="nl-NL" sz="2400"/>
        </a:p>
      </dgm:t>
    </dgm:pt>
    <dgm:pt modelId="{CC84AF64-DE57-4A04-8A0F-424FADB77927}" type="sibTrans" cxnId="{4D3BDD4D-4325-42D8-8823-D4F547B79AB4}">
      <dgm:prSet/>
      <dgm:spPr/>
      <dgm:t>
        <a:bodyPr/>
        <a:lstStyle/>
        <a:p>
          <a:endParaRPr lang="nl-NL" sz="2400"/>
        </a:p>
      </dgm:t>
    </dgm:pt>
    <dgm:pt modelId="{C134F88E-4C4C-4F83-B22D-C129B7E3477A}">
      <dgm:prSet phldrT="[Tekst]" custT="1"/>
      <dgm:spPr/>
      <dgm:t>
        <a:bodyPr/>
        <a:lstStyle/>
        <a:p>
          <a:r>
            <a:rPr lang="nl-NL" sz="900"/>
            <a:t>Doortastend &amp; probleemoplossend</a:t>
          </a:r>
        </a:p>
      </dgm:t>
    </dgm:pt>
    <dgm:pt modelId="{3A9BCE9D-421C-4EAB-A25F-50ADA7668B4B}" type="parTrans" cxnId="{6317B032-9E2D-4C09-BFCB-DEE7F6FB19EC}">
      <dgm:prSet/>
      <dgm:spPr/>
      <dgm:t>
        <a:bodyPr/>
        <a:lstStyle/>
        <a:p>
          <a:endParaRPr lang="nl-NL" sz="2400"/>
        </a:p>
      </dgm:t>
    </dgm:pt>
    <dgm:pt modelId="{4236607B-8CE8-427B-A6C7-9C4FA5BC3E95}" type="sibTrans" cxnId="{6317B032-9E2D-4C09-BFCB-DEE7F6FB19EC}">
      <dgm:prSet/>
      <dgm:spPr/>
      <dgm:t>
        <a:bodyPr/>
        <a:lstStyle/>
        <a:p>
          <a:endParaRPr lang="nl-NL" sz="2400"/>
        </a:p>
      </dgm:t>
    </dgm:pt>
    <dgm:pt modelId="{5788F799-C613-40C5-8761-BEA82B1C90FC}">
      <dgm:prSet phldrT="[Tekst]" custT="1"/>
      <dgm:spPr/>
      <dgm:t>
        <a:bodyPr/>
        <a:lstStyle/>
        <a:p>
          <a:r>
            <a:rPr lang="nl-NL" sz="900"/>
            <a:t>Interpersoonlijke communicatie</a:t>
          </a:r>
        </a:p>
      </dgm:t>
    </dgm:pt>
    <dgm:pt modelId="{B1600F06-2268-4E93-8025-6213C861BF03}" type="parTrans" cxnId="{DFD1EAA7-E9B7-4782-A476-14CE33073947}">
      <dgm:prSet/>
      <dgm:spPr/>
      <dgm:t>
        <a:bodyPr/>
        <a:lstStyle/>
        <a:p>
          <a:endParaRPr lang="nl-NL" sz="2400"/>
        </a:p>
      </dgm:t>
    </dgm:pt>
    <dgm:pt modelId="{34DDA67C-48F2-49AC-B592-522587E58066}" type="sibTrans" cxnId="{DFD1EAA7-E9B7-4782-A476-14CE33073947}">
      <dgm:prSet/>
      <dgm:spPr/>
      <dgm:t>
        <a:bodyPr/>
        <a:lstStyle/>
        <a:p>
          <a:endParaRPr lang="nl-NL" sz="2400"/>
        </a:p>
      </dgm:t>
    </dgm:pt>
    <dgm:pt modelId="{451149D5-FEDA-4765-B600-5039ABB58E53}">
      <dgm:prSet phldrT="[Tekst]" custT="1"/>
      <dgm:spPr/>
      <dgm:t>
        <a:bodyPr/>
        <a:lstStyle/>
        <a:p>
          <a:r>
            <a:rPr lang="nl-NL" sz="900"/>
            <a:t>Verwachtings-management</a:t>
          </a:r>
        </a:p>
      </dgm:t>
    </dgm:pt>
    <dgm:pt modelId="{4E2281CA-A78E-45B2-B336-A5EC6E0D7E46}" type="parTrans" cxnId="{A91C153A-AAE1-478B-8F28-DD6597A354F0}">
      <dgm:prSet/>
      <dgm:spPr/>
      <dgm:t>
        <a:bodyPr/>
        <a:lstStyle/>
        <a:p>
          <a:endParaRPr lang="nl-NL" sz="2400"/>
        </a:p>
      </dgm:t>
    </dgm:pt>
    <dgm:pt modelId="{9902A7BB-1925-42EB-BB58-87F6AD6E80B5}" type="sibTrans" cxnId="{A91C153A-AAE1-478B-8F28-DD6597A354F0}">
      <dgm:prSet/>
      <dgm:spPr/>
      <dgm:t>
        <a:bodyPr/>
        <a:lstStyle/>
        <a:p>
          <a:endParaRPr lang="nl-NL" sz="2400"/>
        </a:p>
      </dgm:t>
    </dgm:pt>
    <dgm:pt modelId="{C73CB937-E35C-46A7-A528-03AE78F9430B}">
      <dgm:prSet phldrT="[Tekst]" custT="1"/>
      <dgm:spPr/>
      <dgm:t>
        <a:bodyPr/>
        <a:lstStyle/>
        <a:p>
          <a:r>
            <a:rPr lang="nl-NL" sz="900"/>
            <a:t>Schriftelijke en mondelinge communicatie</a:t>
          </a:r>
        </a:p>
      </dgm:t>
    </dgm:pt>
    <dgm:pt modelId="{4C4481EF-620D-4181-8F00-31DC7C846A66}" type="parTrans" cxnId="{DF4930EE-E080-4A33-A5A2-D0A164B70308}">
      <dgm:prSet/>
      <dgm:spPr/>
      <dgm:t>
        <a:bodyPr/>
        <a:lstStyle/>
        <a:p>
          <a:endParaRPr lang="nl-NL" sz="2400"/>
        </a:p>
      </dgm:t>
    </dgm:pt>
    <dgm:pt modelId="{CF0C6F57-028A-4F8B-9B40-15B58322102D}" type="sibTrans" cxnId="{DF4930EE-E080-4A33-A5A2-D0A164B70308}">
      <dgm:prSet/>
      <dgm:spPr/>
      <dgm:t>
        <a:bodyPr/>
        <a:lstStyle/>
        <a:p>
          <a:endParaRPr lang="nl-NL" sz="2400"/>
        </a:p>
      </dgm:t>
    </dgm:pt>
    <dgm:pt modelId="{00C5AD74-BB5E-4C37-87ED-5C005FAF2322}">
      <dgm:prSet phldrT="[Tekst]" custT="1"/>
      <dgm:spPr/>
      <dgm:t>
        <a:bodyPr/>
        <a:lstStyle/>
        <a:p>
          <a:r>
            <a:rPr lang="nl-NL" sz="900"/>
            <a:t>Doelgerichte &amp; effectieve communicatie</a:t>
          </a:r>
        </a:p>
      </dgm:t>
    </dgm:pt>
    <dgm:pt modelId="{404B7502-7D11-4D22-9D7C-06E3E9EF975E}" type="parTrans" cxnId="{501AF81F-EDA7-4634-BE2F-4461AC162427}">
      <dgm:prSet/>
      <dgm:spPr/>
      <dgm:t>
        <a:bodyPr/>
        <a:lstStyle/>
        <a:p>
          <a:endParaRPr lang="nl-NL" sz="2400"/>
        </a:p>
      </dgm:t>
    </dgm:pt>
    <dgm:pt modelId="{3EDD23AB-CD9C-43D5-A813-69B24A88F265}" type="sibTrans" cxnId="{501AF81F-EDA7-4634-BE2F-4461AC162427}">
      <dgm:prSet/>
      <dgm:spPr/>
      <dgm:t>
        <a:bodyPr/>
        <a:lstStyle/>
        <a:p>
          <a:endParaRPr lang="nl-NL" sz="2400"/>
        </a:p>
      </dgm:t>
    </dgm:pt>
    <dgm:pt modelId="{33D15CE1-2AE0-443F-9467-251AED4D49CA}">
      <dgm:prSet phldrT="[Tekst]" custT="1"/>
      <dgm:spPr/>
      <dgm:t>
        <a:bodyPr/>
        <a:lstStyle/>
        <a:p>
          <a:r>
            <a:rPr lang="nl-NL" sz="900"/>
            <a:t>Besluitvaardigheid</a:t>
          </a:r>
        </a:p>
      </dgm:t>
    </dgm:pt>
    <dgm:pt modelId="{8DBE2E30-A162-48E8-A94C-52C937E1A99A}" type="parTrans" cxnId="{30B7E838-9B7D-4D9C-AF84-FB3D80B5C2B5}">
      <dgm:prSet/>
      <dgm:spPr/>
      <dgm:t>
        <a:bodyPr/>
        <a:lstStyle/>
        <a:p>
          <a:endParaRPr lang="nl-NL" sz="2400"/>
        </a:p>
      </dgm:t>
    </dgm:pt>
    <dgm:pt modelId="{4DADF293-3BD0-4310-9161-04488FADA7BD}" type="sibTrans" cxnId="{30B7E838-9B7D-4D9C-AF84-FB3D80B5C2B5}">
      <dgm:prSet/>
      <dgm:spPr/>
      <dgm:t>
        <a:bodyPr/>
        <a:lstStyle/>
        <a:p>
          <a:endParaRPr lang="nl-NL" sz="2400"/>
        </a:p>
      </dgm:t>
    </dgm:pt>
    <dgm:pt modelId="{464CADB2-5C0A-499E-880D-27B3B06B5A3D}">
      <dgm:prSet phldrT="[Tekst]" custT="1"/>
      <dgm:spPr/>
      <dgm:t>
        <a:bodyPr/>
        <a:lstStyle/>
        <a:p>
          <a:r>
            <a:rPr lang="nl-NL" sz="900"/>
            <a:t>Overtuigen &amp; beinvloeden</a:t>
          </a:r>
        </a:p>
      </dgm:t>
    </dgm:pt>
    <dgm:pt modelId="{8119D722-6BA9-4785-8A53-4105DEEDF657}" type="parTrans" cxnId="{16961D73-ACEE-46B1-941F-230149DA61A6}">
      <dgm:prSet/>
      <dgm:spPr/>
      <dgm:t>
        <a:bodyPr/>
        <a:lstStyle/>
        <a:p>
          <a:endParaRPr lang="nl-NL" sz="2400"/>
        </a:p>
      </dgm:t>
    </dgm:pt>
    <dgm:pt modelId="{B913E8EF-34C5-40F3-B6EB-CE64043368BA}" type="sibTrans" cxnId="{16961D73-ACEE-46B1-941F-230149DA61A6}">
      <dgm:prSet/>
      <dgm:spPr/>
      <dgm:t>
        <a:bodyPr/>
        <a:lstStyle/>
        <a:p>
          <a:endParaRPr lang="nl-NL" sz="2400"/>
        </a:p>
      </dgm:t>
    </dgm:pt>
    <dgm:pt modelId="{A7DDA4F1-B40B-46B4-B746-EA89906A2FB4}">
      <dgm:prSet phldrT="[Tekst]" custT="1"/>
      <dgm:spPr/>
      <dgm:t>
        <a:bodyPr/>
        <a:lstStyle/>
        <a:p>
          <a:r>
            <a:rPr lang="nl-NL" sz="900"/>
            <a:t>Opbouwende feedback &amp; slecht nieuws gesprekken</a:t>
          </a:r>
        </a:p>
      </dgm:t>
    </dgm:pt>
    <dgm:pt modelId="{27302846-3F4E-4890-8FD2-653D02ED08C4}" type="parTrans" cxnId="{1A1ED718-5287-4C05-9F2C-9C591CDAFBB1}">
      <dgm:prSet/>
      <dgm:spPr/>
      <dgm:t>
        <a:bodyPr/>
        <a:lstStyle/>
        <a:p>
          <a:endParaRPr lang="nl-NL" sz="2400"/>
        </a:p>
      </dgm:t>
    </dgm:pt>
    <dgm:pt modelId="{BDDA1F47-37EC-4594-B19B-6BEADC130A10}" type="sibTrans" cxnId="{1A1ED718-5287-4C05-9F2C-9C591CDAFBB1}">
      <dgm:prSet/>
      <dgm:spPr/>
      <dgm:t>
        <a:bodyPr/>
        <a:lstStyle/>
        <a:p>
          <a:endParaRPr lang="nl-NL" sz="2400"/>
        </a:p>
      </dgm:t>
    </dgm:pt>
    <dgm:pt modelId="{35F91573-84CF-4D05-97CE-0E5A3583D4E6}">
      <dgm:prSet phldrT="[Tekst]" custT="1"/>
      <dgm:spPr/>
      <dgm:t>
        <a:bodyPr/>
        <a:lstStyle/>
        <a:p>
          <a:r>
            <a:rPr lang="nl-NL" sz="1800" b="1"/>
            <a:t>Business Skills</a:t>
          </a:r>
        </a:p>
      </dgm:t>
    </dgm:pt>
    <dgm:pt modelId="{C4B92D65-5D5B-4031-AC81-F50BE376D814}" type="parTrans" cxnId="{D99B360E-0CD9-4872-8220-7B7AB6BFD839}">
      <dgm:prSet/>
      <dgm:spPr/>
      <dgm:t>
        <a:bodyPr/>
        <a:lstStyle/>
        <a:p>
          <a:endParaRPr lang="nl-NL"/>
        </a:p>
      </dgm:t>
    </dgm:pt>
    <dgm:pt modelId="{F141414D-6441-49BD-B8D1-7829EEA431E5}" type="sibTrans" cxnId="{D99B360E-0CD9-4872-8220-7B7AB6BFD839}">
      <dgm:prSet/>
      <dgm:spPr/>
      <dgm:t>
        <a:bodyPr/>
        <a:lstStyle/>
        <a:p>
          <a:endParaRPr lang="nl-NL"/>
        </a:p>
      </dgm:t>
    </dgm:pt>
    <dgm:pt modelId="{437562EF-45B9-4108-A430-E90D425350DB}">
      <dgm:prSet phldrT="[Tekst]" custT="1"/>
      <dgm:spPr/>
      <dgm:t>
        <a:bodyPr/>
        <a:lstStyle/>
        <a:p>
          <a:r>
            <a:rPr lang="nl-NL" sz="900"/>
            <a:t>Organisatie- en management identificatie</a:t>
          </a:r>
        </a:p>
      </dgm:t>
    </dgm:pt>
    <dgm:pt modelId="{5D122FFE-41EF-4D98-A656-471511B9F739}" type="parTrans" cxnId="{55C2DFF2-EDBE-45FB-8FCB-121AEBAE19AA}">
      <dgm:prSet/>
      <dgm:spPr/>
      <dgm:t>
        <a:bodyPr/>
        <a:lstStyle/>
        <a:p>
          <a:endParaRPr lang="nl-NL"/>
        </a:p>
      </dgm:t>
    </dgm:pt>
    <dgm:pt modelId="{DA5646B2-415F-44CC-B454-6CDE34BFAF76}" type="sibTrans" cxnId="{55C2DFF2-EDBE-45FB-8FCB-121AEBAE19AA}">
      <dgm:prSet/>
      <dgm:spPr/>
      <dgm:t>
        <a:bodyPr/>
        <a:lstStyle/>
        <a:p>
          <a:endParaRPr lang="nl-NL"/>
        </a:p>
      </dgm:t>
    </dgm:pt>
    <dgm:pt modelId="{2B8DCA65-5882-490B-B6E0-1244B42860BD}">
      <dgm:prSet phldrT="[Tekst]" custT="1"/>
      <dgm:spPr/>
      <dgm:t>
        <a:bodyPr/>
        <a:lstStyle/>
        <a:p>
          <a:r>
            <a:rPr lang="nl-NL" sz="900"/>
            <a:t>Strategische conceptualisatie</a:t>
          </a:r>
        </a:p>
      </dgm:t>
    </dgm:pt>
    <dgm:pt modelId="{AF4BB2B8-6F57-43A5-998F-8FEB6870A237}" type="parTrans" cxnId="{C6CB4B4E-3CB8-4590-84FC-3F095DABDA92}">
      <dgm:prSet/>
      <dgm:spPr/>
      <dgm:t>
        <a:bodyPr/>
        <a:lstStyle/>
        <a:p>
          <a:endParaRPr lang="nl-NL"/>
        </a:p>
      </dgm:t>
    </dgm:pt>
    <dgm:pt modelId="{DCAF1C21-F262-4AFE-8421-2B398F24486E}" type="sibTrans" cxnId="{C6CB4B4E-3CB8-4590-84FC-3F095DABDA92}">
      <dgm:prSet/>
      <dgm:spPr/>
      <dgm:t>
        <a:bodyPr/>
        <a:lstStyle/>
        <a:p>
          <a:endParaRPr lang="nl-NL"/>
        </a:p>
      </dgm:t>
    </dgm:pt>
    <dgm:pt modelId="{15D775C9-9490-4A8C-8606-292DE6D1D53F}">
      <dgm:prSet phldrT="[Tekst]" custT="1"/>
      <dgm:spPr/>
      <dgm:t>
        <a:bodyPr/>
        <a:lstStyle/>
        <a:p>
          <a:r>
            <a:rPr lang="nl-NL" sz="900"/>
            <a:t>Projectmanagement</a:t>
          </a:r>
        </a:p>
      </dgm:t>
    </dgm:pt>
    <dgm:pt modelId="{F8978FD2-D021-43EA-A358-35B52665F96B}" type="parTrans" cxnId="{3DE601D1-0C81-4723-843D-1DD0725735FE}">
      <dgm:prSet/>
      <dgm:spPr/>
      <dgm:t>
        <a:bodyPr/>
        <a:lstStyle/>
        <a:p>
          <a:endParaRPr lang="nl-NL"/>
        </a:p>
      </dgm:t>
    </dgm:pt>
    <dgm:pt modelId="{F54A7DEE-2768-4F69-97DE-957C9B2086DF}" type="sibTrans" cxnId="{3DE601D1-0C81-4723-843D-1DD0725735FE}">
      <dgm:prSet/>
      <dgm:spPr/>
      <dgm:t>
        <a:bodyPr/>
        <a:lstStyle/>
        <a:p>
          <a:endParaRPr lang="nl-NL"/>
        </a:p>
      </dgm:t>
    </dgm:pt>
    <dgm:pt modelId="{23669D9C-1B83-4042-BBDD-E437161DD5D6}">
      <dgm:prSet phldrT="[Tekst]" custT="1"/>
      <dgm:spPr/>
      <dgm:t>
        <a:bodyPr/>
        <a:lstStyle/>
        <a:p>
          <a:r>
            <a:rPr lang="nl-NL" sz="900"/>
            <a:t>Verander-management</a:t>
          </a:r>
        </a:p>
      </dgm:t>
    </dgm:pt>
    <dgm:pt modelId="{BC0690C2-1CFB-4558-98BE-D57A2ED56433}" type="parTrans" cxnId="{BC0D9673-3077-4617-B59E-EC25082B159E}">
      <dgm:prSet/>
      <dgm:spPr/>
      <dgm:t>
        <a:bodyPr/>
        <a:lstStyle/>
        <a:p>
          <a:endParaRPr lang="nl-NL"/>
        </a:p>
      </dgm:t>
    </dgm:pt>
    <dgm:pt modelId="{F788100D-E697-41D6-8F56-32F86DF6336D}" type="sibTrans" cxnId="{BC0D9673-3077-4617-B59E-EC25082B159E}">
      <dgm:prSet/>
      <dgm:spPr/>
      <dgm:t>
        <a:bodyPr/>
        <a:lstStyle/>
        <a:p>
          <a:endParaRPr lang="nl-NL"/>
        </a:p>
      </dgm:t>
    </dgm:pt>
    <dgm:pt modelId="{9CC56A7C-11FF-4892-B122-891E65EB1004}">
      <dgm:prSet phldrT="[Tekst]" custT="1"/>
      <dgm:spPr/>
      <dgm:t>
        <a:bodyPr/>
        <a:lstStyle/>
        <a:p>
          <a:r>
            <a:rPr lang="nl-NL" sz="900"/>
            <a:t>Leidinggeven</a:t>
          </a:r>
        </a:p>
      </dgm:t>
    </dgm:pt>
    <dgm:pt modelId="{F9FC4AA1-7DA9-455E-8AF2-773670B97011}" type="parTrans" cxnId="{DD5B6D5E-0C04-4034-8CAF-6472FC67D767}">
      <dgm:prSet/>
      <dgm:spPr/>
      <dgm:t>
        <a:bodyPr/>
        <a:lstStyle/>
        <a:p>
          <a:endParaRPr lang="nl-NL"/>
        </a:p>
      </dgm:t>
    </dgm:pt>
    <dgm:pt modelId="{D118C918-C2CF-42EA-A3C1-36E577D91416}" type="sibTrans" cxnId="{DD5B6D5E-0C04-4034-8CAF-6472FC67D767}">
      <dgm:prSet/>
      <dgm:spPr/>
      <dgm:t>
        <a:bodyPr/>
        <a:lstStyle/>
        <a:p>
          <a:endParaRPr lang="nl-NL"/>
        </a:p>
      </dgm:t>
    </dgm:pt>
    <dgm:pt modelId="{D38A169C-73FA-404F-BBC1-E58D54FDBE12}">
      <dgm:prSet phldrT="[Tekst]" custT="1"/>
      <dgm:spPr/>
      <dgm:t>
        <a:bodyPr/>
        <a:lstStyle/>
        <a:p>
          <a:r>
            <a:rPr lang="nl-NL" sz="900"/>
            <a:t>Customer Journey Mapping</a:t>
          </a:r>
        </a:p>
      </dgm:t>
    </dgm:pt>
    <dgm:pt modelId="{A99A1C84-B8AD-4CE4-944A-AF6FBA84AD6E}" type="sibTrans" cxnId="{3FCEE895-271C-4136-B426-FE7F1582CEF1}">
      <dgm:prSet/>
      <dgm:spPr/>
      <dgm:t>
        <a:bodyPr/>
        <a:lstStyle/>
        <a:p>
          <a:endParaRPr lang="nl-NL" sz="2400"/>
        </a:p>
      </dgm:t>
    </dgm:pt>
    <dgm:pt modelId="{972BF931-FB6A-47EF-8701-10AC9CDA14F0}" type="parTrans" cxnId="{3FCEE895-271C-4136-B426-FE7F1582CEF1}">
      <dgm:prSet/>
      <dgm:spPr/>
      <dgm:t>
        <a:bodyPr/>
        <a:lstStyle/>
        <a:p>
          <a:endParaRPr lang="nl-NL" sz="2400"/>
        </a:p>
      </dgm:t>
    </dgm:pt>
    <dgm:pt modelId="{D432DB11-412F-4D35-974F-D69F6D0B3FDA}">
      <dgm:prSet phldrT="[Tekst]" custT="1"/>
      <dgm:spPr/>
      <dgm:t>
        <a:bodyPr/>
        <a:lstStyle/>
        <a:p>
          <a:r>
            <a:rPr lang="nl-NL" sz="900"/>
            <a:t>Ethiek en professionaliteit</a:t>
          </a:r>
        </a:p>
      </dgm:t>
    </dgm:pt>
    <dgm:pt modelId="{18E4096D-0279-4B0D-9EA2-49664C0DCBCF}" type="parTrans" cxnId="{278649FD-1178-45A1-87B3-15E09DD30944}">
      <dgm:prSet/>
      <dgm:spPr/>
      <dgm:t>
        <a:bodyPr/>
        <a:lstStyle/>
        <a:p>
          <a:endParaRPr lang="nl-NL"/>
        </a:p>
      </dgm:t>
    </dgm:pt>
    <dgm:pt modelId="{6A582335-4BD6-4203-A79B-1B668066A74A}" type="sibTrans" cxnId="{278649FD-1178-45A1-87B3-15E09DD30944}">
      <dgm:prSet/>
      <dgm:spPr/>
      <dgm:t>
        <a:bodyPr/>
        <a:lstStyle/>
        <a:p>
          <a:endParaRPr lang="nl-NL"/>
        </a:p>
      </dgm:t>
    </dgm:pt>
    <dgm:pt modelId="{AD36A718-93CE-430C-B388-A3C63521F773}">
      <dgm:prSet phldrT="[Tekst]" custT="1"/>
      <dgm:spPr/>
      <dgm:t>
        <a:bodyPr/>
        <a:lstStyle/>
        <a:p>
          <a:r>
            <a:rPr lang="nl-NL" sz="900"/>
            <a:t>Basis data vaardigheden</a:t>
          </a:r>
        </a:p>
      </dgm:t>
    </dgm:pt>
    <dgm:pt modelId="{A1F66019-4974-4AE2-B934-0E1CE10895E5}" type="parTrans" cxnId="{76338E4E-34EF-47D7-B849-A5FAB39C6676}">
      <dgm:prSet/>
      <dgm:spPr/>
      <dgm:t>
        <a:bodyPr/>
        <a:lstStyle/>
        <a:p>
          <a:endParaRPr lang="nl-NL"/>
        </a:p>
      </dgm:t>
    </dgm:pt>
    <dgm:pt modelId="{AEDFE799-82DC-4F0F-B95C-232938BB20DB}" type="sibTrans" cxnId="{76338E4E-34EF-47D7-B849-A5FAB39C6676}">
      <dgm:prSet/>
      <dgm:spPr/>
      <dgm:t>
        <a:bodyPr/>
        <a:lstStyle/>
        <a:p>
          <a:endParaRPr lang="nl-NL"/>
        </a:p>
      </dgm:t>
    </dgm:pt>
    <dgm:pt modelId="{2A72ADA7-B59D-45EC-80FE-F3489AB58B53}">
      <dgm:prSet phldrT="[Tekst]" custT="1"/>
      <dgm:spPr/>
      <dgm:t>
        <a:bodyPr/>
        <a:lstStyle/>
        <a:p>
          <a:r>
            <a:rPr lang="nl-NL" sz="900"/>
            <a:t>Statistiek</a:t>
          </a:r>
        </a:p>
      </dgm:t>
    </dgm:pt>
    <dgm:pt modelId="{4336A49A-6BA6-4BE6-9DBD-2C0E49AEED4C}" type="parTrans" cxnId="{C85AE870-89A5-45D6-BCCF-A6E7693E5D9D}">
      <dgm:prSet/>
      <dgm:spPr/>
      <dgm:t>
        <a:bodyPr/>
        <a:lstStyle/>
        <a:p>
          <a:endParaRPr lang="nl-NL"/>
        </a:p>
      </dgm:t>
    </dgm:pt>
    <dgm:pt modelId="{B2005B3D-BB0D-4ED3-9F75-F0181D3D938F}" type="sibTrans" cxnId="{C85AE870-89A5-45D6-BCCF-A6E7693E5D9D}">
      <dgm:prSet/>
      <dgm:spPr/>
      <dgm:t>
        <a:bodyPr/>
        <a:lstStyle/>
        <a:p>
          <a:endParaRPr lang="nl-NL"/>
        </a:p>
      </dgm:t>
    </dgm:pt>
    <dgm:pt modelId="{934ADA9C-D899-4C8D-9419-FEE89DA1604A}">
      <dgm:prSet phldrT="[Tekst]" custT="1"/>
      <dgm:spPr/>
      <dgm:t>
        <a:bodyPr/>
        <a:lstStyle/>
        <a:p>
          <a:r>
            <a:rPr lang="nl-NL" sz="900"/>
            <a:t>Kwalitatieve analyse en onderzoeksvaardigheden</a:t>
          </a:r>
        </a:p>
      </dgm:t>
    </dgm:pt>
    <dgm:pt modelId="{B1494962-AFEF-4D46-BF89-F2CBD1DCBE95}" type="parTrans" cxnId="{4E2A9A0C-ED2E-4573-9819-CDFE088087F9}">
      <dgm:prSet/>
      <dgm:spPr/>
      <dgm:t>
        <a:bodyPr/>
        <a:lstStyle/>
        <a:p>
          <a:endParaRPr lang="nl-NL"/>
        </a:p>
      </dgm:t>
    </dgm:pt>
    <dgm:pt modelId="{FFAB65ED-7D8E-48F5-9691-49D1851A0F09}" type="sibTrans" cxnId="{4E2A9A0C-ED2E-4573-9819-CDFE088087F9}">
      <dgm:prSet/>
      <dgm:spPr/>
      <dgm:t>
        <a:bodyPr/>
        <a:lstStyle/>
        <a:p>
          <a:endParaRPr lang="nl-NL"/>
        </a:p>
      </dgm:t>
    </dgm:pt>
    <dgm:pt modelId="{AEA10931-67D5-417F-A76E-45AB9B1C6A81}">
      <dgm:prSet phldrT="[Tekst]" custT="1"/>
      <dgm:spPr/>
      <dgm:t>
        <a:bodyPr/>
        <a:lstStyle/>
        <a:p>
          <a:r>
            <a:rPr lang="nl-NL" sz="900"/>
            <a:t>Metrics en doelen</a:t>
          </a:r>
        </a:p>
      </dgm:t>
    </dgm:pt>
    <dgm:pt modelId="{B0B738C3-BB85-4251-950F-D0DA9CF36DB7}" type="parTrans" cxnId="{0C59FDDB-A7A2-439C-B82B-D292E1CE9119}">
      <dgm:prSet/>
      <dgm:spPr/>
      <dgm:t>
        <a:bodyPr/>
        <a:lstStyle/>
        <a:p>
          <a:endParaRPr lang="nl-NL"/>
        </a:p>
      </dgm:t>
    </dgm:pt>
    <dgm:pt modelId="{65284B25-B563-441E-AA50-34820D568949}" type="sibTrans" cxnId="{0C59FDDB-A7A2-439C-B82B-D292E1CE9119}">
      <dgm:prSet/>
      <dgm:spPr/>
      <dgm:t>
        <a:bodyPr/>
        <a:lstStyle/>
        <a:p>
          <a:endParaRPr lang="nl-NL"/>
        </a:p>
      </dgm:t>
    </dgm:pt>
    <dgm:pt modelId="{0C6DCA03-9E72-4D8D-8E20-6BB667ABB775}">
      <dgm:prSet phldrT="[Tekst]" custT="1"/>
      <dgm:spPr/>
      <dgm:t>
        <a:bodyPr/>
        <a:lstStyle/>
        <a:p>
          <a:r>
            <a:rPr lang="nl-NL" sz="900"/>
            <a:t>CX theorie</a:t>
          </a:r>
        </a:p>
      </dgm:t>
    </dgm:pt>
    <dgm:pt modelId="{D3577232-1435-4B93-84AB-031FE67F897E}" type="parTrans" cxnId="{08E782DB-08EE-4B03-9729-6ED55AB6702C}">
      <dgm:prSet/>
      <dgm:spPr/>
      <dgm:t>
        <a:bodyPr/>
        <a:lstStyle/>
        <a:p>
          <a:endParaRPr lang="nl-NL"/>
        </a:p>
      </dgm:t>
    </dgm:pt>
    <dgm:pt modelId="{B45ABF13-D591-49E0-8D1F-A5BA7E1EEEA7}" type="sibTrans" cxnId="{08E782DB-08EE-4B03-9729-6ED55AB6702C}">
      <dgm:prSet/>
      <dgm:spPr/>
      <dgm:t>
        <a:bodyPr/>
        <a:lstStyle/>
        <a:p>
          <a:endParaRPr lang="nl-NL"/>
        </a:p>
      </dgm:t>
    </dgm:pt>
    <dgm:pt modelId="{50343C18-7404-4E1E-A316-5D7BFDE3E852}">
      <dgm:prSet phldrT="[Tekst]" custT="1"/>
      <dgm:spPr/>
      <dgm:t>
        <a:bodyPr/>
        <a:lstStyle/>
        <a:p>
          <a:r>
            <a:rPr lang="nl-NL" sz="900"/>
            <a:t>CX toepassingsdomein</a:t>
          </a:r>
        </a:p>
      </dgm:t>
    </dgm:pt>
    <dgm:pt modelId="{A136BA88-9C81-4CB3-9DC2-1F60301DED38}" type="parTrans" cxnId="{4C1CA796-F64D-4137-9DBB-FFE5FB99CBCB}">
      <dgm:prSet/>
      <dgm:spPr/>
      <dgm:t>
        <a:bodyPr/>
        <a:lstStyle/>
        <a:p>
          <a:endParaRPr lang="nl-NL"/>
        </a:p>
      </dgm:t>
    </dgm:pt>
    <dgm:pt modelId="{DA4313F4-94D1-49D5-9385-ED67121043D0}" type="sibTrans" cxnId="{4C1CA796-F64D-4137-9DBB-FFE5FB99CBCB}">
      <dgm:prSet/>
      <dgm:spPr/>
      <dgm:t>
        <a:bodyPr/>
        <a:lstStyle/>
        <a:p>
          <a:endParaRPr lang="nl-NL"/>
        </a:p>
      </dgm:t>
    </dgm:pt>
    <dgm:pt modelId="{4EB609EB-A256-4ADE-A223-B75FFCB88452}">
      <dgm:prSet phldrT="[Tekst]" custT="1"/>
      <dgm:spPr/>
      <dgm:t>
        <a:bodyPr/>
        <a:lstStyle/>
        <a:p>
          <a:r>
            <a:rPr lang="nl-NL" sz="900"/>
            <a:t>Bonusskills</a:t>
          </a:r>
        </a:p>
      </dgm:t>
    </dgm:pt>
    <dgm:pt modelId="{8234BA1C-2965-449D-9116-FFE33298955C}" type="parTrans" cxnId="{8C5526D1-80ED-4CCE-9F0E-33839D9335FF}">
      <dgm:prSet/>
      <dgm:spPr/>
      <dgm:t>
        <a:bodyPr/>
        <a:lstStyle/>
        <a:p>
          <a:endParaRPr lang="nl-NL"/>
        </a:p>
      </dgm:t>
    </dgm:pt>
    <dgm:pt modelId="{9DB76EBE-5004-4208-8114-E7D3B9E7904E}" type="sibTrans" cxnId="{8C5526D1-80ED-4CCE-9F0E-33839D9335FF}">
      <dgm:prSet/>
      <dgm:spPr/>
      <dgm:t>
        <a:bodyPr/>
        <a:lstStyle/>
        <a:p>
          <a:endParaRPr lang="nl-NL"/>
        </a:p>
      </dgm:t>
    </dgm:pt>
    <dgm:pt modelId="{438D9939-C1F5-4FB8-A207-F0C7DE6CBA69}">
      <dgm:prSet phldrT="[Tekst]" custT="1"/>
      <dgm:spPr/>
      <dgm:t>
        <a:bodyPr/>
        <a:lstStyle/>
        <a:p>
          <a:r>
            <a:rPr lang="nl-NL" sz="900"/>
            <a:t>Usability testen</a:t>
          </a:r>
        </a:p>
      </dgm:t>
    </dgm:pt>
    <dgm:pt modelId="{A0A0EAD3-783C-4DF1-A92E-62289294F327}" type="parTrans" cxnId="{64DCCAD6-9212-4DFE-AB84-E4547408BBB6}">
      <dgm:prSet/>
      <dgm:spPr/>
      <dgm:t>
        <a:bodyPr/>
        <a:lstStyle/>
        <a:p>
          <a:endParaRPr lang="nl-NL"/>
        </a:p>
      </dgm:t>
    </dgm:pt>
    <dgm:pt modelId="{61BCE3C7-9560-4AEA-8DA8-239915B66C7E}" type="sibTrans" cxnId="{64DCCAD6-9212-4DFE-AB84-E4547408BBB6}">
      <dgm:prSet/>
      <dgm:spPr/>
      <dgm:t>
        <a:bodyPr/>
        <a:lstStyle/>
        <a:p>
          <a:endParaRPr lang="nl-NL"/>
        </a:p>
      </dgm:t>
    </dgm:pt>
    <dgm:pt modelId="{41DB7EAC-BDC5-40D6-99A8-D401555AD179}">
      <dgm:prSet phldrT="[Tekst]" custT="1"/>
      <dgm:spPr/>
      <dgm:t>
        <a:bodyPr/>
        <a:lstStyle/>
        <a:p>
          <a:r>
            <a:rPr lang="nl-NL" sz="900"/>
            <a:t>AB testen</a:t>
          </a:r>
        </a:p>
      </dgm:t>
    </dgm:pt>
    <dgm:pt modelId="{6DABEDB5-F660-448D-B3F0-BB8AAA9CDC58}" type="parTrans" cxnId="{BD605C74-7CF9-4E65-AD27-3000B21A608E}">
      <dgm:prSet/>
      <dgm:spPr/>
      <dgm:t>
        <a:bodyPr/>
        <a:lstStyle/>
        <a:p>
          <a:endParaRPr lang="nl-NL"/>
        </a:p>
      </dgm:t>
    </dgm:pt>
    <dgm:pt modelId="{3877FFD9-2918-4C76-AE3D-8409123FBDDD}" type="sibTrans" cxnId="{BD605C74-7CF9-4E65-AD27-3000B21A608E}">
      <dgm:prSet/>
      <dgm:spPr/>
      <dgm:t>
        <a:bodyPr/>
        <a:lstStyle/>
        <a:p>
          <a:endParaRPr lang="nl-NL"/>
        </a:p>
      </dgm:t>
    </dgm:pt>
    <dgm:pt modelId="{4432093D-A644-4827-AA6D-7067AC85A70A}">
      <dgm:prSet phldrT="[Tekst]" custT="1"/>
      <dgm:spPr/>
      <dgm:t>
        <a:bodyPr/>
        <a:lstStyle/>
        <a:p>
          <a:r>
            <a:rPr lang="nl-NL" sz="900"/>
            <a:t>Behavioral analytics</a:t>
          </a:r>
        </a:p>
      </dgm:t>
    </dgm:pt>
    <dgm:pt modelId="{A4F69265-93A9-4DC8-B476-3C54A78A0F87}" type="parTrans" cxnId="{98C015A3-EDAC-4BDD-8149-7A8917740FB6}">
      <dgm:prSet/>
      <dgm:spPr/>
      <dgm:t>
        <a:bodyPr/>
        <a:lstStyle/>
        <a:p>
          <a:endParaRPr lang="nl-NL"/>
        </a:p>
      </dgm:t>
    </dgm:pt>
    <dgm:pt modelId="{29DE9C12-7530-46C0-A1D0-9B97206287A0}" type="sibTrans" cxnId="{98C015A3-EDAC-4BDD-8149-7A8917740FB6}">
      <dgm:prSet/>
      <dgm:spPr/>
      <dgm:t>
        <a:bodyPr/>
        <a:lstStyle/>
        <a:p>
          <a:endParaRPr lang="nl-NL"/>
        </a:p>
      </dgm:t>
    </dgm:pt>
    <dgm:pt modelId="{8EA8A5B3-158A-46A2-BD3A-F3B57486ADAA}">
      <dgm:prSet phldrT="[Tekst]" custT="1"/>
      <dgm:spPr/>
      <dgm:t>
        <a:bodyPr/>
        <a:lstStyle/>
        <a:p>
          <a:r>
            <a:rPr lang="nl-NL" sz="900"/>
            <a:t>Marketing analytics</a:t>
          </a:r>
        </a:p>
      </dgm:t>
    </dgm:pt>
    <dgm:pt modelId="{6540D407-4028-474E-9544-BDCD7B8CE6C5}" type="parTrans" cxnId="{FB9EEF0D-5226-4D9D-9497-B58B195C2EF0}">
      <dgm:prSet/>
      <dgm:spPr/>
      <dgm:t>
        <a:bodyPr/>
        <a:lstStyle/>
        <a:p>
          <a:endParaRPr lang="nl-NL"/>
        </a:p>
      </dgm:t>
    </dgm:pt>
    <dgm:pt modelId="{058C431F-692E-413B-B576-35837BF524AA}" type="sibTrans" cxnId="{FB9EEF0D-5226-4D9D-9497-B58B195C2EF0}">
      <dgm:prSet/>
      <dgm:spPr/>
      <dgm:t>
        <a:bodyPr/>
        <a:lstStyle/>
        <a:p>
          <a:endParaRPr lang="nl-NL"/>
        </a:p>
      </dgm:t>
    </dgm:pt>
    <dgm:pt modelId="{13A36F88-2485-42F6-A3FC-D739D794920C}">
      <dgm:prSet phldrT="[Tekst]" custT="1"/>
      <dgm:spPr/>
      <dgm:t>
        <a:bodyPr/>
        <a:lstStyle/>
        <a:p>
          <a:r>
            <a:rPr lang="nl-NL" sz="900"/>
            <a:t>Session recordings</a:t>
          </a:r>
        </a:p>
      </dgm:t>
    </dgm:pt>
    <dgm:pt modelId="{4EDEC716-C282-4191-AF55-CFCFB1F8E9A4}" type="parTrans" cxnId="{CD380867-B426-407E-9E42-1A42391F040A}">
      <dgm:prSet/>
      <dgm:spPr/>
      <dgm:t>
        <a:bodyPr/>
        <a:lstStyle/>
        <a:p>
          <a:endParaRPr lang="nl-NL"/>
        </a:p>
      </dgm:t>
    </dgm:pt>
    <dgm:pt modelId="{AB522DCA-C53B-4B60-ACD6-A1FAF6BACEEB}" type="sibTrans" cxnId="{CD380867-B426-407E-9E42-1A42391F040A}">
      <dgm:prSet/>
      <dgm:spPr/>
      <dgm:t>
        <a:bodyPr/>
        <a:lstStyle/>
        <a:p>
          <a:endParaRPr lang="nl-NL"/>
        </a:p>
      </dgm:t>
    </dgm:pt>
    <dgm:pt modelId="{D411A1FC-339C-4AED-B06A-CCB1EF4A7CD3}">
      <dgm:prSet phldrT="[Tekst]" custT="1"/>
      <dgm:spPr/>
      <dgm:t>
        <a:bodyPr/>
        <a:lstStyle/>
        <a:p>
          <a:r>
            <a:rPr lang="nl-NL" sz="900"/>
            <a:t>Heatmaps &amp; scrollmaps</a:t>
          </a:r>
        </a:p>
      </dgm:t>
    </dgm:pt>
    <dgm:pt modelId="{AF1F3F01-116A-405F-8787-6DF48258E288}" type="parTrans" cxnId="{67C84A60-E026-4356-95F4-7C96EDBE6D0A}">
      <dgm:prSet/>
      <dgm:spPr/>
      <dgm:t>
        <a:bodyPr/>
        <a:lstStyle/>
        <a:p>
          <a:endParaRPr lang="nl-NL"/>
        </a:p>
      </dgm:t>
    </dgm:pt>
    <dgm:pt modelId="{C0225810-0023-4BB2-84AF-BABEF44A48C0}" type="sibTrans" cxnId="{67C84A60-E026-4356-95F4-7C96EDBE6D0A}">
      <dgm:prSet/>
      <dgm:spPr/>
      <dgm:t>
        <a:bodyPr/>
        <a:lstStyle/>
        <a:p>
          <a:endParaRPr lang="nl-NL"/>
        </a:p>
      </dgm:t>
    </dgm:pt>
    <dgm:pt modelId="{E8B27D1E-1ED3-409D-AC4F-669F5B2CDC18}">
      <dgm:prSet phldrT="[Tekst]" custT="1"/>
      <dgm:spPr/>
      <dgm:t>
        <a:bodyPr/>
        <a:lstStyle/>
        <a:p>
          <a:r>
            <a:rPr lang="nl-NL" sz="900"/>
            <a:t>Interviewen</a:t>
          </a:r>
        </a:p>
      </dgm:t>
    </dgm:pt>
    <dgm:pt modelId="{46CB104B-55EF-4A51-AC64-68885FC63ABE}" type="parTrans" cxnId="{CE0AFB95-B8CC-4AD5-A07D-E2A6265CA419}">
      <dgm:prSet/>
      <dgm:spPr/>
      <dgm:t>
        <a:bodyPr/>
        <a:lstStyle/>
        <a:p>
          <a:endParaRPr lang="nl-NL"/>
        </a:p>
      </dgm:t>
    </dgm:pt>
    <dgm:pt modelId="{55567566-D993-4863-8837-85C10A4BCEA2}" type="sibTrans" cxnId="{CE0AFB95-B8CC-4AD5-A07D-E2A6265CA419}">
      <dgm:prSet/>
      <dgm:spPr/>
      <dgm:t>
        <a:bodyPr/>
        <a:lstStyle/>
        <a:p>
          <a:endParaRPr lang="nl-NL"/>
        </a:p>
      </dgm:t>
    </dgm:pt>
    <dgm:pt modelId="{4908B1CE-1E13-41F3-AC11-B5A77DB5626A}">
      <dgm:prSet phldrT="[Tekst]" custT="1"/>
      <dgm:spPr/>
      <dgm:t>
        <a:bodyPr/>
        <a:lstStyle/>
        <a:p>
          <a:r>
            <a:rPr lang="nl-NL" sz="900"/>
            <a:t>Survey design</a:t>
          </a:r>
        </a:p>
      </dgm:t>
    </dgm:pt>
    <dgm:pt modelId="{6BBCFD51-EEFF-4FC3-B808-F3D33D98FACC}" type="parTrans" cxnId="{D3A408EA-CE47-43F0-85B0-490CCD9D2957}">
      <dgm:prSet/>
      <dgm:spPr/>
      <dgm:t>
        <a:bodyPr/>
        <a:lstStyle/>
        <a:p>
          <a:endParaRPr lang="nl-NL"/>
        </a:p>
      </dgm:t>
    </dgm:pt>
    <dgm:pt modelId="{90AAF411-650F-49AB-84C3-F88F32355E86}" type="sibTrans" cxnId="{D3A408EA-CE47-43F0-85B0-490CCD9D2957}">
      <dgm:prSet/>
      <dgm:spPr/>
      <dgm:t>
        <a:bodyPr/>
        <a:lstStyle/>
        <a:p>
          <a:endParaRPr lang="nl-NL"/>
        </a:p>
      </dgm:t>
    </dgm:pt>
    <dgm:pt modelId="{1CC776DD-EEFA-4565-91BF-9B7AD9CBC17D}">
      <dgm:prSet phldrT="[Tekst]" custT="1"/>
      <dgm:spPr/>
      <dgm:t>
        <a:bodyPr/>
        <a:lstStyle/>
        <a:p>
          <a:r>
            <a:rPr lang="nl-NL" sz="900"/>
            <a:t>SQL</a:t>
          </a:r>
        </a:p>
      </dgm:t>
    </dgm:pt>
    <dgm:pt modelId="{BC09C9FB-00F3-487A-A28F-C1126604E94C}" type="parTrans" cxnId="{00F92ACC-4823-4E0D-95F3-BEEFDC7629BC}">
      <dgm:prSet/>
      <dgm:spPr/>
      <dgm:t>
        <a:bodyPr/>
        <a:lstStyle/>
        <a:p>
          <a:endParaRPr lang="nl-NL"/>
        </a:p>
      </dgm:t>
    </dgm:pt>
    <dgm:pt modelId="{B41CACD4-437F-4C9E-AAB3-5E4F11D822B9}" type="sibTrans" cxnId="{00F92ACC-4823-4E0D-95F3-BEEFDC7629BC}">
      <dgm:prSet/>
      <dgm:spPr/>
      <dgm:t>
        <a:bodyPr/>
        <a:lstStyle/>
        <a:p>
          <a:endParaRPr lang="nl-NL"/>
        </a:p>
      </dgm:t>
    </dgm:pt>
    <dgm:pt modelId="{FED73D90-A231-45ED-9608-50DB3A310825}">
      <dgm:prSet phldrT="[Tekst]" custT="1"/>
      <dgm:spPr/>
      <dgm:t>
        <a:bodyPr/>
        <a:lstStyle/>
        <a:p>
          <a:r>
            <a:rPr lang="nl-NL" sz="900"/>
            <a:t>Python</a:t>
          </a:r>
        </a:p>
      </dgm:t>
    </dgm:pt>
    <dgm:pt modelId="{9714E755-7258-49A9-86E0-2BB94B33C6A3}" type="parTrans" cxnId="{F46BB1D8-B8A7-4372-B5E0-80B9E6AE26D8}">
      <dgm:prSet/>
      <dgm:spPr/>
      <dgm:t>
        <a:bodyPr/>
        <a:lstStyle/>
        <a:p>
          <a:endParaRPr lang="nl-NL"/>
        </a:p>
      </dgm:t>
    </dgm:pt>
    <dgm:pt modelId="{8459BC38-BE57-4A1F-8954-6DFDB6B43CE3}" type="sibTrans" cxnId="{F46BB1D8-B8A7-4372-B5E0-80B9E6AE26D8}">
      <dgm:prSet/>
      <dgm:spPr/>
      <dgm:t>
        <a:bodyPr/>
        <a:lstStyle/>
        <a:p>
          <a:endParaRPr lang="nl-NL"/>
        </a:p>
      </dgm:t>
    </dgm:pt>
    <dgm:pt modelId="{3B574CCD-63EB-4E5C-A38D-7AA05C571F3B}">
      <dgm:prSet phldrT="[Tekst]" custT="1"/>
      <dgm:spPr/>
      <dgm:t>
        <a:bodyPr/>
        <a:lstStyle/>
        <a:p>
          <a:r>
            <a:rPr lang="nl-NL" sz="900"/>
            <a:t>Javascript</a:t>
          </a:r>
        </a:p>
      </dgm:t>
    </dgm:pt>
    <dgm:pt modelId="{E3D17962-1BB9-40BF-A36B-BEEBC3E1DE31}" type="parTrans" cxnId="{5995BFFE-8AB2-43A6-86C3-1C23B66A9F14}">
      <dgm:prSet/>
      <dgm:spPr/>
      <dgm:t>
        <a:bodyPr/>
        <a:lstStyle/>
        <a:p>
          <a:endParaRPr lang="nl-NL"/>
        </a:p>
      </dgm:t>
    </dgm:pt>
    <dgm:pt modelId="{C02361AD-766D-4D85-8840-CEB6BDBD83F9}" type="sibTrans" cxnId="{5995BFFE-8AB2-43A6-86C3-1C23B66A9F14}">
      <dgm:prSet/>
      <dgm:spPr/>
      <dgm:t>
        <a:bodyPr/>
        <a:lstStyle/>
        <a:p>
          <a:endParaRPr lang="nl-NL"/>
        </a:p>
      </dgm:t>
    </dgm:pt>
    <dgm:pt modelId="{B823F78E-EDE4-45FB-920D-11EA719224AF}">
      <dgm:prSet phldrT="[Tekst]" custT="1"/>
      <dgm:spPr/>
      <dgm:t>
        <a:bodyPr/>
        <a:lstStyle/>
        <a:p>
          <a:r>
            <a:rPr lang="nl-NL" sz="900"/>
            <a:t>R</a:t>
          </a:r>
        </a:p>
      </dgm:t>
    </dgm:pt>
    <dgm:pt modelId="{49B1493B-57D3-4661-B76D-0EBC6476610C}" type="parTrans" cxnId="{73E1E5A2-4260-4937-A5C7-669E2719F280}">
      <dgm:prSet/>
      <dgm:spPr/>
      <dgm:t>
        <a:bodyPr/>
        <a:lstStyle/>
        <a:p>
          <a:endParaRPr lang="nl-NL"/>
        </a:p>
      </dgm:t>
    </dgm:pt>
    <dgm:pt modelId="{80A7048E-4626-4715-8FD7-B2B505C532BA}" type="sibTrans" cxnId="{73E1E5A2-4260-4937-A5C7-669E2719F280}">
      <dgm:prSet/>
      <dgm:spPr/>
      <dgm:t>
        <a:bodyPr/>
        <a:lstStyle/>
        <a:p>
          <a:endParaRPr lang="nl-NL"/>
        </a:p>
      </dgm:t>
    </dgm:pt>
    <dgm:pt modelId="{122C84AD-6224-411C-BE7E-74C2C2FD2E1A}">
      <dgm:prSet phldrT="[Tekst]" custT="1"/>
      <dgm:spPr/>
      <dgm:t>
        <a:bodyPr/>
        <a:lstStyle/>
        <a:p>
          <a:r>
            <a:rPr lang="nl-NL" sz="900"/>
            <a:t>HTML/ CSS</a:t>
          </a:r>
        </a:p>
      </dgm:t>
    </dgm:pt>
    <dgm:pt modelId="{102DA3CC-F117-4032-9ABC-F5264B7C2305}" type="parTrans" cxnId="{13881F3D-6468-48C6-9228-A0738DB3F976}">
      <dgm:prSet/>
      <dgm:spPr/>
      <dgm:t>
        <a:bodyPr/>
        <a:lstStyle/>
        <a:p>
          <a:endParaRPr lang="nl-NL"/>
        </a:p>
      </dgm:t>
    </dgm:pt>
    <dgm:pt modelId="{5C06CB73-1F46-486C-AA6A-5AB7F3CD2E3F}" type="sibTrans" cxnId="{13881F3D-6468-48C6-9228-A0738DB3F976}">
      <dgm:prSet/>
      <dgm:spPr/>
      <dgm:t>
        <a:bodyPr/>
        <a:lstStyle/>
        <a:p>
          <a:endParaRPr lang="nl-NL"/>
        </a:p>
      </dgm:t>
    </dgm:pt>
    <dgm:pt modelId="{7D112E5F-5E8D-4BAC-B50E-86C24ABA9E6B}" type="pres">
      <dgm:prSet presAssocID="{3C8EFC9A-BDC9-4CB0-8DCF-FD6F89FD7C78}" presName="theList" presStyleCnt="0">
        <dgm:presLayoutVars>
          <dgm:dir/>
          <dgm:animLvl val="lvl"/>
          <dgm:resizeHandles val="exact"/>
        </dgm:presLayoutVars>
      </dgm:prSet>
      <dgm:spPr/>
    </dgm:pt>
    <dgm:pt modelId="{4301FABA-D3E5-4FCD-BE6A-B0CB16ED0DEF}" type="pres">
      <dgm:prSet presAssocID="{7ED69BD0-5C46-430C-BD11-1675B78445AF}" presName="compNode" presStyleCnt="0"/>
      <dgm:spPr/>
    </dgm:pt>
    <dgm:pt modelId="{4470F352-0887-4B4E-81B9-385C6AD8A1EF}" type="pres">
      <dgm:prSet presAssocID="{7ED69BD0-5C46-430C-BD11-1675B78445AF}" presName="aNode" presStyleLbl="bgShp" presStyleIdx="0" presStyleCnt="6" custLinFactNeighborX="-32702" custLinFactNeighborY="-11298"/>
      <dgm:spPr/>
    </dgm:pt>
    <dgm:pt modelId="{F05B5A65-AC5E-407E-B187-D515ADC27144}" type="pres">
      <dgm:prSet presAssocID="{7ED69BD0-5C46-430C-BD11-1675B78445AF}" presName="textNode" presStyleLbl="bgShp" presStyleIdx="0" presStyleCnt="6"/>
      <dgm:spPr/>
    </dgm:pt>
    <dgm:pt modelId="{A624F00D-DAF2-4670-AA4A-208C7DFEA3B7}" type="pres">
      <dgm:prSet presAssocID="{7ED69BD0-5C46-430C-BD11-1675B78445AF}" presName="compChildNode" presStyleCnt="0"/>
      <dgm:spPr/>
    </dgm:pt>
    <dgm:pt modelId="{533A268E-215C-474A-8A7A-CC045A7FFEC3}" type="pres">
      <dgm:prSet presAssocID="{7ED69BD0-5C46-430C-BD11-1675B78445AF}" presName="theInnerList" presStyleCnt="0"/>
      <dgm:spPr/>
    </dgm:pt>
    <dgm:pt modelId="{D9D4FC23-0730-4C6A-92D3-55905B566BDA}" type="pres">
      <dgm:prSet presAssocID="{E4B92491-EA9A-4D22-9CF8-82866D9BC210}" presName="childNode" presStyleLbl="node1" presStyleIdx="0" presStyleCnt="43">
        <dgm:presLayoutVars>
          <dgm:bulletEnabled val="1"/>
        </dgm:presLayoutVars>
      </dgm:prSet>
      <dgm:spPr/>
    </dgm:pt>
    <dgm:pt modelId="{7CC912D5-C980-4E1E-9C52-57A9CBD43DD8}" type="pres">
      <dgm:prSet presAssocID="{E4B92491-EA9A-4D22-9CF8-82866D9BC210}" presName="aSpace2" presStyleCnt="0"/>
      <dgm:spPr/>
    </dgm:pt>
    <dgm:pt modelId="{B92FF65D-7314-4281-8C61-D2E02ABB453E}" type="pres">
      <dgm:prSet presAssocID="{086678A7-F493-4823-B3B6-57A9657951CF}" presName="childNode" presStyleLbl="node1" presStyleIdx="1" presStyleCnt="43">
        <dgm:presLayoutVars>
          <dgm:bulletEnabled val="1"/>
        </dgm:presLayoutVars>
      </dgm:prSet>
      <dgm:spPr/>
    </dgm:pt>
    <dgm:pt modelId="{73953B14-DABE-4B45-B824-FBE124E351EA}" type="pres">
      <dgm:prSet presAssocID="{086678A7-F493-4823-B3B6-57A9657951CF}" presName="aSpace2" presStyleCnt="0"/>
      <dgm:spPr/>
    </dgm:pt>
    <dgm:pt modelId="{8BA67AC5-5D23-4E1E-BC34-5B51379E48E7}" type="pres">
      <dgm:prSet presAssocID="{1DCEF51C-F50A-4B0B-9902-33B322D5ADEF}" presName="childNode" presStyleLbl="node1" presStyleIdx="2" presStyleCnt="43">
        <dgm:presLayoutVars>
          <dgm:bulletEnabled val="1"/>
        </dgm:presLayoutVars>
      </dgm:prSet>
      <dgm:spPr/>
    </dgm:pt>
    <dgm:pt modelId="{90BBE37B-DDB2-4AAE-AB19-880B559F56DA}" type="pres">
      <dgm:prSet presAssocID="{1DCEF51C-F50A-4B0B-9902-33B322D5ADEF}" presName="aSpace2" presStyleCnt="0"/>
      <dgm:spPr/>
    </dgm:pt>
    <dgm:pt modelId="{EE4F65C3-F61D-4F57-82E6-6248AF681702}" type="pres">
      <dgm:prSet presAssocID="{2E51DF25-B7C0-43DA-ADCE-0B6DAA3E9F7B}" presName="childNode" presStyleLbl="node1" presStyleIdx="3" presStyleCnt="43">
        <dgm:presLayoutVars>
          <dgm:bulletEnabled val="1"/>
        </dgm:presLayoutVars>
      </dgm:prSet>
      <dgm:spPr/>
    </dgm:pt>
    <dgm:pt modelId="{59A96A6C-4DA1-40BF-BF04-0514F78121CF}" type="pres">
      <dgm:prSet presAssocID="{2E51DF25-B7C0-43DA-ADCE-0B6DAA3E9F7B}" presName="aSpace2" presStyleCnt="0"/>
      <dgm:spPr/>
    </dgm:pt>
    <dgm:pt modelId="{4AA2C2D8-38AC-49A4-B325-32683F44EAF4}" type="pres">
      <dgm:prSet presAssocID="{C765EFE1-9587-4BD0-BA1D-81A6425C17DB}" presName="childNode" presStyleLbl="node1" presStyleIdx="4" presStyleCnt="43">
        <dgm:presLayoutVars>
          <dgm:bulletEnabled val="1"/>
        </dgm:presLayoutVars>
      </dgm:prSet>
      <dgm:spPr/>
    </dgm:pt>
    <dgm:pt modelId="{660A3C69-90FE-49F7-90AF-6D0370DB9A7D}" type="pres">
      <dgm:prSet presAssocID="{C765EFE1-9587-4BD0-BA1D-81A6425C17DB}" presName="aSpace2" presStyleCnt="0"/>
      <dgm:spPr/>
    </dgm:pt>
    <dgm:pt modelId="{211DDDCD-7378-4BEA-A98D-65ED33393EC4}" type="pres">
      <dgm:prSet presAssocID="{7C0E973C-743C-470A-8B02-0F4E3FD93FC5}" presName="childNode" presStyleLbl="node1" presStyleIdx="5" presStyleCnt="43">
        <dgm:presLayoutVars>
          <dgm:bulletEnabled val="1"/>
        </dgm:presLayoutVars>
      </dgm:prSet>
      <dgm:spPr/>
    </dgm:pt>
    <dgm:pt modelId="{C16AB182-874D-4807-9AFD-D4E1B87B6A38}" type="pres">
      <dgm:prSet presAssocID="{7ED69BD0-5C46-430C-BD11-1675B78445AF}" presName="aSpace" presStyleCnt="0"/>
      <dgm:spPr/>
    </dgm:pt>
    <dgm:pt modelId="{DDC1624A-B4AF-45C4-96AB-6684F5D040BE}" type="pres">
      <dgm:prSet presAssocID="{71C93146-8DBD-47BA-9B89-8D2FF25B6FDE}" presName="compNode" presStyleCnt="0"/>
      <dgm:spPr/>
    </dgm:pt>
    <dgm:pt modelId="{54671E33-5AC7-4CD0-91C9-A60A47022F3E}" type="pres">
      <dgm:prSet presAssocID="{71C93146-8DBD-47BA-9B89-8D2FF25B6FDE}" presName="aNode" presStyleLbl="bgShp" presStyleIdx="1" presStyleCnt="6"/>
      <dgm:spPr/>
    </dgm:pt>
    <dgm:pt modelId="{6480FF0A-C4CA-4878-B3DC-5C3D2BC5401E}" type="pres">
      <dgm:prSet presAssocID="{71C93146-8DBD-47BA-9B89-8D2FF25B6FDE}" presName="textNode" presStyleLbl="bgShp" presStyleIdx="1" presStyleCnt="6"/>
      <dgm:spPr/>
    </dgm:pt>
    <dgm:pt modelId="{A367C46E-BD57-4EAA-AAC8-349DD5760DC9}" type="pres">
      <dgm:prSet presAssocID="{71C93146-8DBD-47BA-9B89-8D2FF25B6FDE}" presName="compChildNode" presStyleCnt="0"/>
      <dgm:spPr/>
    </dgm:pt>
    <dgm:pt modelId="{10201B17-1614-4D45-8D1F-E89E82CE147B}" type="pres">
      <dgm:prSet presAssocID="{71C93146-8DBD-47BA-9B89-8D2FF25B6FDE}" presName="theInnerList" presStyleCnt="0"/>
      <dgm:spPr/>
    </dgm:pt>
    <dgm:pt modelId="{851ADC3A-49E7-4E47-85D5-1526996F9E82}" type="pres">
      <dgm:prSet presAssocID="{D432DB11-412F-4D35-974F-D69F6D0B3FDA}" presName="childNode" presStyleLbl="node1" presStyleIdx="6" presStyleCnt="43">
        <dgm:presLayoutVars>
          <dgm:bulletEnabled val="1"/>
        </dgm:presLayoutVars>
      </dgm:prSet>
      <dgm:spPr/>
    </dgm:pt>
    <dgm:pt modelId="{F642ADEF-7912-4FAB-96A5-F1EF877DDD81}" type="pres">
      <dgm:prSet presAssocID="{D432DB11-412F-4D35-974F-D69F6D0B3FDA}" presName="aSpace2" presStyleCnt="0"/>
      <dgm:spPr/>
    </dgm:pt>
    <dgm:pt modelId="{10F88D14-C566-4EFF-B18E-BA4F68CFFBB9}" type="pres">
      <dgm:prSet presAssocID="{AD36A718-93CE-430C-B388-A3C63521F773}" presName="childNode" presStyleLbl="node1" presStyleIdx="7" presStyleCnt="43">
        <dgm:presLayoutVars>
          <dgm:bulletEnabled val="1"/>
        </dgm:presLayoutVars>
      </dgm:prSet>
      <dgm:spPr/>
    </dgm:pt>
    <dgm:pt modelId="{F801D632-B2AB-4C80-9B03-A252128DC279}" type="pres">
      <dgm:prSet presAssocID="{AD36A718-93CE-430C-B388-A3C63521F773}" presName="aSpace2" presStyleCnt="0"/>
      <dgm:spPr/>
    </dgm:pt>
    <dgm:pt modelId="{9CE9E257-D948-4ED8-B93B-3F31494CC27F}" type="pres">
      <dgm:prSet presAssocID="{2A72ADA7-B59D-45EC-80FE-F3489AB58B53}" presName="childNode" presStyleLbl="node1" presStyleIdx="8" presStyleCnt="43">
        <dgm:presLayoutVars>
          <dgm:bulletEnabled val="1"/>
        </dgm:presLayoutVars>
      </dgm:prSet>
      <dgm:spPr/>
    </dgm:pt>
    <dgm:pt modelId="{8B2FBECB-0EDB-4509-946F-1DC0E9661980}" type="pres">
      <dgm:prSet presAssocID="{2A72ADA7-B59D-45EC-80FE-F3489AB58B53}" presName="aSpace2" presStyleCnt="0"/>
      <dgm:spPr/>
    </dgm:pt>
    <dgm:pt modelId="{67114D93-E06F-4DAA-BCFB-6E5088AA4903}" type="pres">
      <dgm:prSet presAssocID="{934ADA9C-D899-4C8D-9419-FEE89DA1604A}" presName="childNode" presStyleLbl="node1" presStyleIdx="9" presStyleCnt="43">
        <dgm:presLayoutVars>
          <dgm:bulletEnabled val="1"/>
        </dgm:presLayoutVars>
      </dgm:prSet>
      <dgm:spPr/>
    </dgm:pt>
    <dgm:pt modelId="{EFE7404F-70C7-4633-9057-3F324B62F2F9}" type="pres">
      <dgm:prSet presAssocID="{934ADA9C-D899-4C8D-9419-FEE89DA1604A}" presName="aSpace2" presStyleCnt="0"/>
      <dgm:spPr/>
    </dgm:pt>
    <dgm:pt modelId="{C50B8762-916F-458A-91A1-E49668139917}" type="pres">
      <dgm:prSet presAssocID="{AEA10931-67D5-417F-A76E-45AB9B1C6A81}" presName="childNode" presStyleLbl="node1" presStyleIdx="10" presStyleCnt="43">
        <dgm:presLayoutVars>
          <dgm:bulletEnabled val="1"/>
        </dgm:presLayoutVars>
      </dgm:prSet>
      <dgm:spPr/>
    </dgm:pt>
    <dgm:pt modelId="{D04DAC56-5217-4255-B900-13027F3F77E4}" type="pres">
      <dgm:prSet presAssocID="{AEA10931-67D5-417F-A76E-45AB9B1C6A81}" presName="aSpace2" presStyleCnt="0"/>
      <dgm:spPr/>
    </dgm:pt>
    <dgm:pt modelId="{B80C5998-036C-422A-A67B-3EFA153DC555}" type="pres">
      <dgm:prSet presAssocID="{0C6DCA03-9E72-4D8D-8E20-6BB667ABB775}" presName="childNode" presStyleLbl="node1" presStyleIdx="11" presStyleCnt="43">
        <dgm:presLayoutVars>
          <dgm:bulletEnabled val="1"/>
        </dgm:presLayoutVars>
      </dgm:prSet>
      <dgm:spPr/>
    </dgm:pt>
    <dgm:pt modelId="{3B3F4C04-5C10-43C4-A818-4800CC678596}" type="pres">
      <dgm:prSet presAssocID="{0C6DCA03-9E72-4D8D-8E20-6BB667ABB775}" presName="aSpace2" presStyleCnt="0"/>
      <dgm:spPr/>
    </dgm:pt>
    <dgm:pt modelId="{253B22F4-8A1D-4683-A75D-F533A591C1F5}" type="pres">
      <dgm:prSet presAssocID="{50343C18-7404-4E1E-A316-5D7BFDE3E852}" presName="childNode" presStyleLbl="node1" presStyleIdx="12" presStyleCnt="43">
        <dgm:presLayoutVars>
          <dgm:bulletEnabled val="1"/>
        </dgm:presLayoutVars>
      </dgm:prSet>
      <dgm:spPr/>
    </dgm:pt>
    <dgm:pt modelId="{498BE8EE-D893-4411-B2FB-2F730B789131}" type="pres">
      <dgm:prSet presAssocID="{50343C18-7404-4E1E-A316-5D7BFDE3E852}" presName="aSpace2" presStyleCnt="0"/>
      <dgm:spPr/>
    </dgm:pt>
    <dgm:pt modelId="{C99F83CB-8249-4820-A5BE-6174F687C561}" type="pres">
      <dgm:prSet presAssocID="{4EB609EB-A256-4ADE-A223-B75FFCB88452}" presName="childNode" presStyleLbl="node1" presStyleIdx="13" presStyleCnt="43">
        <dgm:presLayoutVars>
          <dgm:bulletEnabled val="1"/>
        </dgm:presLayoutVars>
      </dgm:prSet>
      <dgm:spPr/>
    </dgm:pt>
    <dgm:pt modelId="{E1E0E8BA-EBC3-4F70-B3ED-DB8A17482F28}" type="pres">
      <dgm:prSet presAssocID="{71C93146-8DBD-47BA-9B89-8D2FF25B6FDE}" presName="aSpace" presStyleCnt="0"/>
      <dgm:spPr/>
    </dgm:pt>
    <dgm:pt modelId="{402D373B-B130-4BCE-B754-88E874A8BA2F}" type="pres">
      <dgm:prSet presAssocID="{CB339438-8F81-4836-B0D6-39E445779B2D}" presName="compNode" presStyleCnt="0"/>
      <dgm:spPr/>
    </dgm:pt>
    <dgm:pt modelId="{6D56517E-766B-45C1-B3BA-03A92A9F1628}" type="pres">
      <dgm:prSet presAssocID="{CB339438-8F81-4836-B0D6-39E445779B2D}" presName="aNode" presStyleLbl="bgShp" presStyleIdx="2" presStyleCnt="6" custLinFactNeighborX="1282" custLinFactNeighborY="-546"/>
      <dgm:spPr/>
    </dgm:pt>
    <dgm:pt modelId="{3D88E221-0C0B-49C5-BB85-D37F5241594C}" type="pres">
      <dgm:prSet presAssocID="{CB339438-8F81-4836-B0D6-39E445779B2D}" presName="textNode" presStyleLbl="bgShp" presStyleIdx="2" presStyleCnt="6"/>
      <dgm:spPr/>
    </dgm:pt>
    <dgm:pt modelId="{FC127A81-509B-4C31-A143-B820FFD61064}" type="pres">
      <dgm:prSet presAssocID="{CB339438-8F81-4836-B0D6-39E445779B2D}" presName="compChildNode" presStyleCnt="0"/>
      <dgm:spPr/>
    </dgm:pt>
    <dgm:pt modelId="{E3A1EC06-F8F1-47EA-A4C0-7BCCDF995841}" type="pres">
      <dgm:prSet presAssocID="{CB339438-8F81-4836-B0D6-39E445779B2D}" presName="theInnerList" presStyleCnt="0"/>
      <dgm:spPr/>
    </dgm:pt>
    <dgm:pt modelId="{A239EC8B-8508-4BCF-8FEB-C4B29C102781}" type="pres">
      <dgm:prSet presAssocID="{D38A169C-73FA-404F-BBC1-E58D54FDBE12}" presName="childNode" presStyleLbl="node1" presStyleIdx="14" presStyleCnt="43">
        <dgm:presLayoutVars>
          <dgm:bulletEnabled val="1"/>
        </dgm:presLayoutVars>
      </dgm:prSet>
      <dgm:spPr/>
    </dgm:pt>
    <dgm:pt modelId="{DF1C0E16-9921-47F0-A6F2-1E91F143E5F6}" type="pres">
      <dgm:prSet presAssocID="{D38A169C-73FA-404F-BBC1-E58D54FDBE12}" presName="aSpace2" presStyleCnt="0"/>
      <dgm:spPr/>
    </dgm:pt>
    <dgm:pt modelId="{3F43A9C7-A3FB-4D08-965C-D2FF2D56DEF9}" type="pres">
      <dgm:prSet presAssocID="{438D9939-C1F5-4FB8-A207-F0C7DE6CBA69}" presName="childNode" presStyleLbl="node1" presStyleIdx="15" presStyleCnt="43">
        <dgm:presLayoutVars>
          <dgm:bulletEnabled val="1"/>
        </dgm:presLayoutVars>
      </dgm:prSet>
      <dgm:spPr/>
    </dgm:pt>
    <dgm:pt modelId="{990D9734-B5DC-4C37-8167-62C50ED668C3}" type="pres">
      <dgm:prSet presAssocID="{438D9939-C1F5-4FB8-A207-F0C7DE6CBA69}" presName="aSpace2" presStyleCnt="0"/>
      <dgm:spPr/>
    </dgm:pt>
    <dgm:pt modelId="{C2D31149-D845-48F1-A98F-89A487B49698}" type="pres">
      <dgm:prSet presAssocID="{41DB7EAC-BDC5-40D6-99A8-D401555AD179}" presName="childNode" presStyleLbl="node1" presStyleIdx="16" presStyleCnt="43">
        <dgm:presLayoutVars>
          <dgm:bulletEnabled val="1"/>
        </dgm:presLayoutVars>
      </dgm:prSet>
      <dgm:spPr/>
    </dgm:pt>
    <dgm:pt modelId="{50D82E75-2A28-45B1-AC5E-406ED42D34DA}" type="pres">
      <dgm:prSet presAssocID="{41DB7EAC-BDC5-40D6-99A8-D401555AD179}" presName="aSpace2" presStyleCnt="0"/>
      <dgm:spPr/>
    </dgm:pt>
    <dgm:pt modelId="{307F1E4F-0554-4C37-A560-635EFC728D02}" type="pres">
      <dgm:prSet presAssocID="{4432093D-A644-4827-AA6D-7067AC85A70A}" presName="childNode" presStyleLbl="node1" presStyleIdx="17" presStyleCnt="43">
        <dgm:presLayoutVars>
          <dgm:bulletEnabled val="1"/>
        </dgm:presLayoutVars>
      </dgm:prSet>
      <dgm:spPr/>
    </dgm:pt>
    <dgm:pt modelId="{01098CA1-3D93-4027-BB8F-2F32626E5743}" type="pres">
      <dgm:prSet presAssocID="{4432093D-A644-4827-AA6D-7067AC85A70A}" presName="aSpace2" presStyleCnt="0"/>
      <dgm:spPr/>
    </dgm:pt>
    <dgm:pt modelId="{3D1E60B4-E52B-42E4-8458-6ACEB0512CD6}" type="pres">
      <dgm:prSet presAssocID="{8EA8A5B3-158A-46A2-BD3A-F3B57486ADAA}" presName="childNode" presStyleLbl="node1" presStyleIdx="18" presStyleCnt="43">
        <dgm:presLayoutVars>
          <dgm:bulletEnabled val="1"/>
        </dgm:presLayoutVars>
      </dgm:prSet>
      <dgm:spPr/>
    </dgm:pt>
    <dgm:pt modelId="{7CD52AD0-9ED4-48C8-8278-5C1DFF87B8B2}" type="pres">
      <dgm:prSet presAssocID="{8EA8A5B3-158A-46A2-BD3A-F3B57486ADAA}" presName="aSpace2" presStyleCnt="0"/>
      <dgm:spPr/>
    </dgm:pt>
    <dgm:pt modelId="{8C2946A0-576E-4808-9C92-02BFFF0C7D6F}" type="pres">
      <dgm:prSet presAssocID="{13A36F88-2485-42F6-A3FC-D739D794920C}" presName="childNode" presStyleLbl="node1" presStyleIdx="19" presStyleCnt="43">
        <dgm:presLayoutVars>
          <dgm:bulletEnabled val="1"/>
        </dgm:presLayoutVars>
      </dgm:prSet>
      <dgm:spPr/>
    </dgm:pt>
    <dgm:pt modelId="{A4848201-0A73-4ACD-8887-C345506F6A64}" type="pres">
      <dgm:prSet presAssocID="{13A36F88-2485-42F6-A3FC-D739D794920C}" presName="aSpace2" presStyleCnt="0"/>
      <dgm:spPr/>
    </dgm:pt>
    <dgm:pt modelId="{91059573-C0DD-4A23-8D59-F5A921FF13B2}" type="pres">
      <dgm:prSet presAssocID="{D411A1FC-339C-4AED-B06A-CCB1EF4A7CD3}" presName="childNode" presStyleLbl="node1" presStyleIdx="20" presStyleCnt="43">
        <dgm:presLayoutVars>
          <dgm:bulletEnabled val="1"/>
        </dgm:presLayoutVars>
      </dgm:prSet>
      <dgm:spPr/>
    </dgm:pt>
    <dgm:pt modelId="{5404AF4D-4CB9-4A16-BECC-35CCBB601BBF}" type="pres">
      <dgm:prSet presAssocID="{D411A1FC-339C-4AED-B06A-CCB1EF4A7CD3}" presName="aSpace2" presStyleCnt="0"/>
      <dgm:spPr/>
    </dgm:pt>
    <dgm:pt modelId="{14016185-EE9F-4C64-9998-4EC5312A4113}" type="pres">
      <dgm:prSet presAssocID="{E8B27D1E-1ED3-409D-AC4F-669F5B2CDC18}" presName="childNode" presStyleLbl="node1" presStyleIdx="21" presStyleCnt="43">
        <dgm:presLayoutVars>
          <dgm:bulletEnabled val="1"/>
        </dgm:presLayoutVars>
      </dgm:prSet>
      <dgm:spPr/>
    </dgm:pt>
    <dgm:pt modelId="{1C840F3E-50CB-45CC-9E9F-1E96428A0ACE}" type="pres">
      <dgm:prSet presAssocID="{E8B27D1E-1ED3-409D-AC4F-669F5B2CDC18}" presName="aSpace2" presStyleCnt="0"/>
      <dgm:spPr/>
    </dgm:pt>
    <dgm:pt modelId="{8E2F0041-E7A9-4A20-910C-CBEDC8B777CC}" type="pres">
      <dgm:prSet presAssocID="{4908B1CE-1E13-41F3-AC11-B5A77DB5626A}" presName="childNode" presStyleLbl="node1" presStyleIdx="22" presStyleCnt="43">
        <dgm:presLayoutVars>
          <dgm:bulletEnabled val="1"/>
        </dgm:presLayoutVars>
      </dgm:prSet>
      <dgm:spPr/>
    </dgm:pt>
    <dgm:pt modelId="{50312EBE-AD4B-48DB-852A-66670AB2A445}" type="pres">
      <dgm:prSet presAssocID="{4908B1CE-1E13-41F3-AC11-B5A77DB5626A}" presName="aSpace2" presStyleCnt="0"/>
      <dgm:spPr/>
    </dgm:pt>
    <dgm:pt modelId="{38C7B200-636A-4821-8B86-81A7AD31BC87}" type="pres">
      <dgm:prSet presAssocID="{1CC776DD-EEFA-4565-91BF-9B7AD9CBC17D}" presName="childNode" presStyleLbl="node1" presStyleIdx="23" presStyleCnt="43">
        <dgm:presLayoutVars>
          <dgm:bulletEnabled val="1"/>
        </dgm:presLayoutVars>
      </dgm:prSet>
      <dgm:spPr/>
    </dgm:pt>
    <dgm:pt modelId="{AF7C44FF-884C-4817-BFAA-185074F6D3C4}" type="pres">
      <dgm:prSet presAssocID="{1CC776DD-EEFA-4565-91BF-9B7AD9CBC17D}" presName="aSpace2" presStyleCnt="0"/>
      <dgm:spPr/>
    </dgm:pt>
    <dgm:pt modelId="{57100ECE-9B3C-4CC3-A9C1-48AD6F34D07B}" type="pres">
      <dgm:prSet presAssocID="{FED73D90-A231-45ED-9608-50DB3A310825}" presName="childNode" presStyleLbl="node1" presStyleIdx="24" presStyleCnt="43">
        <dgm:presLayoutVars>
          <dgm:bulletEnabled val="1"/>
        </dgm:presLayoutVars>
      </dgm:prSet>
      <dgm:spPr/>
    </dgm:pt>
    <dgm:pt modelId="{163D4008-88A0-4245-8B4E-E4DCAA81960D}" type="pres">
      <dgm:prSet presAssocID="{FED73D90-A231-45ED-9608-50DB3A310825}" presName="aSpace2" presStyleCnt="0"/>
      <dgm:spPr/>
    </dgm:pt>
    <dgm:pt modelId="{6E74EA93-ADBE-4F7A-B808-B9FC1E99F407}" type="pres">
      <dgm:prSet presAssocID="{3B574CCD-63EB-4E5C-A38D-7AA05C571F3B}" presName="childNode" presStyleLbl="node1" presStyleIdx="25" presStyleCnt="43">
        <dgm:presLayoutVars>
          <dgm:bulletEnabled val="1"/>
        </dgm:presLayoutVars>
      </dgm:prSet>
      <dgm:spPr/>
    </dgm:pt>
    <dgm:pt modelId="{05C635B4-C903-4E65-AA2C-F4B1BC918E30}" type="pres">
      <dgm:prSet presAssocID="{3B574CCD-63EB-4E5C-A38D-7AA05C571F3B}" presName="aSpace2" presStyleCnt="0"/>
      <dgm:spPr/>
    </dgm:pt>
    <dgm:pt modelId="{67271954-A6BD-40EC-BD45-3A2CBE7B6109}" type="pres">
      <dgm:prSet presAssocID="{B823F78E-EDE4-45FB-920D-11EA719224AF}" presName="childNode" presStyleLbl="node1" presStyleIdx="26" presStyleCnt="43">
        <dgm:presLayoutVars>
          <dgm:bulletEnabled val="1"/>
        </dgm:presLayoutVars>
      </dgm:prSet>
      <dgm:spPr/>
    </dgm:pt>
    <dgm:pt modelId="{B6CC2937-D91B-4C70-AEA4-BB410A6F4608}" type="pres">
      <dgm:prSet presAssocID="{B823F78E-EDE4-45FB-920D-11EA719224AF}" presName="aSpace2" presStyleCnt="0"/>
      <dgm:spPr/>
    </dgm:pt>
    <dgm:pt modelId="{A0625715-5C06-476B-97BA-6A2EC0BDF26A}" type="pres">
      <dgm:prSet presAssocID="{122C84AD-6224-411C-BE7E-74C2C2FD2E1A}" presName="childNode" presStyleLbl="node1" presStyleIdx="27" presStyleCnt="43">
        <dgm:presLayoutVars>
          <dgm:bulletEnabled val="1"/>
        </dgm:presLayoutVars>
      </dgm:prSet>
      <dgm:spPr/>
    </dgm:pt>
    <dgm:pt modelId="{3E1558C7-1B44-4DF1-9150-BC01D24B90ED}" type="pres">
      <dgm:prSet presAssocID="{CB339438-8F81-4836-B0D6-39E445779B2D}" presName="aSpace" presStyleCnt="0"/>
      <dgm:spPr/>
    </dgm:pt>
    <dgm:pt modelId="{8A5ABB40-4AF3-4F54-8A23-25AF2440FB8F}" type="pres">
      <dgm:prSet presAssocID="{39F506DE-50F1-49BE-9ED2-88EFDAE6F0E1}" presName="compNode" presStyleCnt="0"/>
      <dgm:spPr/>
    </dgm:pt>
    <dgm:pt modelId="{D3D71071-A754-4C0E-9FFD-064FC19C1E19}" type="pres">
      <dgm:prSet presAssocID="{39F506DE-50F1-49BE-9ED2-88EFDAE6F0E1}" presName="aNode" presStyleLbl="bgShp" presStyleIdx="3" presStyleCnt="6"/>
      <dgm:spPr/>
    </dgm:pt>
    <dgm:pt modelId="{7B18AFFD-E121-412C-9D04-2A61C280EF92}" type="pres">
      <dgm:prSet presAssocID="{39F506DE-50F1-49BE-9ED2-88EFDAE6F0E1}" presName="textNode" presStyleLbl="bgShp" presStyleIdx="3" presStyleCnt="6"/>
      <dgm:spPr/>
    </dgm:pt>
    <dgm:pt modelId="{6464E99A-573D-4147-88DF-98BE15D9D1B3}" type="pres">
      <dgm:prSet presAssocID="{39F506DE-50F1-49BE-9ED2-88EFDAE6F0E1}" presName="compChildNode" presStyleCnt="0"/>
      <dgm:spPr/>
    </dgm:pt>
    <dgm:pt modelId="{9429677E-75CB-407F-90AA-2397BCA125A9}" type="pres">
      <dgm:prSet presAssocID="{39F506DE-50F1-49BE-9ED2-88EFDAE6F0E1}" presName="theInnerList" presStyleCnt="0"/>
      <dgm:spPr/>
    </dgm:pt>
    <dgm:pt modelId="{5FFDAE0D-01DD-4F48-856B-01906FDFAC4D}" type="pres">
      <dgm:prSet presAssocID="{5689EC68-4989-4E1E-96FD-3A6DB0CAD78C}" presName="childNode" presStyleLbl="node1" presStyleIdx="28" presStyleCnt="43">
        <dgm:presLayoutVars>
          <dgm:bulletEnabled val="1"/>
        </dgm:presLayoutVars>
      </dgm:prSet>
      <dgm:spPr/>
    </dgm:pt>
    <dgm:pt modelId="{60D1828E-3849-4FD2-B0B7-E09590FEA5A9}" type="pres">
      <dgm:prSet presAssocID="{5689EC68-4989-4E1E-96FD-3A6DB0CAD78C}" presName="aSpace2" presStyleCnt="0"/>
      <dgm:spPr/>
    </dgm:pt>
    <dgm:pt modelId="{7BE6FBB6-2C7F-4090-924E-AD3A157FFABE}" type="pres">
      <dgm:prSet presAssocID="{C134F88E-4C4C-4F83-B22D-C129B7E3477A}" presName="childNode" presStyleLbl="node1" presStyleIdx="29" presStyleCnt="43">
        <dgm:presLayoutVars>
          <dgm:bulletEnabled val="1"/>
        </dgm:presLayoutVars>
      </dgm:prSet>
      <dgm:spPr/>
    </dgm:pt>
    <dgm:pt modelId="{EB50AF21-1867-4AFD-9D93-5104C82232E5}" type="pres">
      <dgm:prSet presAssocID="{C134F88E-4C4C-4F83-B22D-C129B7E3477A}" presName="aSpace2" presStyleCnt="0"/>
      <dgm:spPr/>
    </dgm:pt>
    <dgm:pt modelId="{1BF27B21-0FAC-4F32-B691-48071D34A960}" type="pres">
      <dgm:prSet presAssocID="{5788F799-C613-40C5-8761-BEA82B1C90FC}" presName="childNode" presStyleLbl="node1" presStyleIdx="30" presStyleCnt="43">
        <dgm:presLayoutVars>
          <dgm:bulletEnabled val="1"/>
        </dgm:presLayoutVars>
      </dgm:prSet>
      <dgm:spPr/>
    </dgm:pt>
    <dgm:pt modelId="{E10D0A9F-4D55-40F0-920D-07936253DA14}" type="pres">
      <dgm:prSet presAssocID="{5788F799-C613-40C5-8761-BEA82B1C90FC}" presName="aSpace2" presStyleCnt="0"/>
      <dgm:spPr/>
    </dgm:pt>
    <dgm:pt modelId="{9821E4E8-E247-4525-A9DD-43D8B524714D}" type="pres">
      <dgm:prSet presAssocID="{451149D5-FEDA-4765-B600-5039ABB58E53}" presName="childNode" presStyleLbl="node1" presStyleIdx="31" presStyleCnt="43">
        <dgm:presLayoutVars>
          <dgm:bulletEnabled val="1"/>
        </dgm:presLayoutVars>
      </dgm:prSet>
      <dgm:spPr/>
    </dgm:pt>
    <dgm:pt modelId="{01482FE3-B603-4D03-A6E2-136BA9F2BD0C}" type="pres">
      <dgm:prSet presAssocID="{451149D5-FEDA-4765-B600-5039ABB58E53}" presName="aSpace2" presStyleCnt="0"/>
      <dgm:spPr/>
    </dgm:pt>
    <dgm:pt modelId="{6081A0E7-3270-44D0-B4CD-B69CEEB69F68}" type="pres">
      <dgm:prSet presAssocID="{C73CB937-E35C-46A7-A528-03AE78F9430B}" presName="childNode" presStyleLbl="node1" presStyleIdx="32" presStyleCnt="43">
        <dgm:presLayoutVars>
          <dgm:bulletEnabled val="1"/>
        </dgm:presLayoutVars>
      </dgm:prSet>
      <dgm:spPr/>
    </dgm:pt>
    <dgm:pt modelId="{2F25DA26-E475-4DCC-81D7-E51A03860FE1}" type="pres">
      <dgm:prSet presAssocID="{39F506DE-50F1-49BE-9ED2-88EFDAE6F0E1}" presName="aSpace" presStyleCnt="0"/>
      <dgm:spPr/>
    </dgm:pt>
    <dgm:pt modelId="{7945454D-625D-4AB2-B97D-5B3833EB7F93}" type="pres">
      <dgm:prSet presAssocID="{35F91573-84CF-4D05-97CE-0E5A3583D4E6}" presName="compNode" presStyleCnt="0"/>
      <dgm:spPr/>
    </dgm:pt>
    <dgm:pt modelId="{8387A50E-865C-4F7E-BAF7-78F89B5F3C88}" type="pres">
      <dgm:prSet presAssocID="{35F91573-84CF-4D05-97CE-0E5A3583D4E6}" presName="aNode" presStyleLbl="bgShp" presStyleIdx="4" presStyleCnt="6"/>
      <dgm:spPr/>
    </dgm:pt>
    <dgm:pt modelId="{639BD1C7-0242-4D12-913E-B2E949B465C2}" type="pres">
      <dgm:prSet presAssocID="{35F91573-84CF-4D05-97CE-0E5A3583D4E6}" presName="textNode" presStyleLbl="bgShp" presStyleIdx="4" presStyleCnt="6"/>
      <dgm:spPr/>
    </dgm:pt>
    <dgm:pt modelId="{CEC341EC-BD97-4257-ACDD-A06B55818C2D}" type="pres">
      <dgm:prSet presAssocID="{35F91573-84CF-4D05-97CE-0E5A3583D4E6}" presName="compChildNode" presStyleCnt="0"/>
      <dgm:spPr/>
    </dgm:pt>
    <dgm:pt modelId="{AEC892E2-6604-443A-A67F-53AE05637B15}" type="pres">
      <dgm:prSet presAssocID="{35F91573-84CF-4D05-97CE-0E5A3583D4E6}" presName="theInnerList" presStyleCnt="0"/>
      <dgm:spPr/>
    </dgm:pt>
    <dgm:pt modelId="{45ED17EB-782D-462A-9CC1-E53FA40A33C7}" type="pres">
      <dgm:prSet presAssocID="{437562EF-45B9-4108-A430-E90D425350DB}" presName="childNode" presStyleLbl="node1" presStyleIdx="33" presStyleCnt="43">
        <dgm:presLayoutVars>
          <dgm:bulletEnabled val="1"/>
        </dgm:presLayoutVars>
      </dgm:prSet>
      <dgm:spPr/>
    </dgm:pt>
    <dgm:pt modelId="{16E19EC9-ED01-4DAC-B0F1-F8A96C2B51C5}" type="pres">
      <dgm:prSet presAssocID="{437562EF-45B9-4108-A430-E90D425350DB}" presName="aSpace2" presStyleCnt="0"/>
      <dgm:spPr/>
    </dgm:pt>
    <dgm:pt modelId="{0482D866-2B3F-412E-9D66-E84151969353}" type="pres">
      <dgm:prSet presAssocID="{2B8DCA65-5882-490B-B6E0-1244B42860BD}" presName="childNode" presStyleLbl="node1" presStyleIdx="34" presStyleCnt="43">
        <dgm:presLayoutVars>
          <dgm:bulletEnabled val="1"/>
        </dgm:presLayoutVars>
      </dgm:prSet>
      <dgm:spPr/>
    </dgm:pt>
    <dgm:pt modelId="{7093F947-1EB5-42F2-8171-F0AB740A3D09}" type="pres">
      <dgm:prSet presAssocID="{2B8DCA65-5882-490B-B6E0-1244B42860BD}" presName="aSpace2" presStyleCnt="0"/>
      <dgm:spPr/>
    </dgm:pt>
    <dgm:pt modelId="{07A918F0-62D9-46AE-9F9F-62DB5B328CB3}" type="pres">
      <dgm:prSet presAssocID="{15D775C9-9490-4A8C-8606-292DE6D1D53F}" presName="childNode" presStyleLbl="node1" presStyleIdx="35" presStyleCnt="43">
        <dgm:presLayoutVars>
          <dgm:bulletEnabled val="1"/>
        </dgm:presLayoutVars>
      </dgm:prSet>
      <dgm:spPr/>
    </dgm:pt>
    <dgm:pt modelId="{D02C7D20-3486-4424-8131-95B71FAD3264}" type="pres">
      <dgm:prSet presAssocID="{15D775C9-9490-4A8C-8606-292DE6D1D53F}" presName="aSpace2" presStyleCnt="0"/>
      <dgm:spPr/>
    </dgm:pt>
    <dgm:pt modelId="{DED3F222-26E6-4809-AA91-F07F244295C3}" type="pres">
      <dgm:prSet presAssocID="{23669D9C-1B83-4042-BBDD-E437161DD5D6}" presName="childNode" presStyleLbl="node1" presStyleIdx="36" presStyleCnt="43">
        <dgm:presLayoutVars>
          <dgm:bulletEnabled val="1"/>
        </dgm:presLayoutVars>
      </dgm:prSet>
      <dgm:spPr/>
    </dgm:pt>
    <dgm:pt modelId="{6CA8B92D-366A-4BEA-A92A-6679C45DAB15}" type="pres">
      <dgm:prSet presAssocID="{23669D9C-1B83-4042-BBDD-E437161DD5D6}" presName="aSpace2" presStyleCnt="0"/>
      <dgm:spPr/>
    </dgm:pt>
    <dgm:pt modelId="{AAF2ACE6-5E38-4636-B080-BC2D37E74DD8}" type="pres">
      <dgm:prSet presAssocID="{9CC56A7C-11FF-4892-B122-891E65EB1004}" presName="childNode" presStyleLbl="node1" presStyleIdx="37" presStyleCnt="43">
        <dgm:presLayoutVars>
          <dgm:bulletEnabled val="1"/>
        </dgm:presLayoutVars>
      </dgm:prSet>
      <dgm:spPr/>
    </dgm:pt>
    <dgm:pt modelId="{0CBD8366-63C9-47EF-B087-7561B6477CB6}" type="pres">
      <dgm:prSet presAssocID="{35F91573-84CF-4D05-97CE-0E5A3583D4E6}" presName="aSpace" presStyleCnt="0"/>
      <dgm:spPr/>
    </dgm:pt>
    <dgm:pt modelId="{C76F0AA8-C3B8-424D-828B-9F3AEB3DDD02}" type="pres">
      <dgm:prSet presAssocID="{731B959C-F05A-4425-AA8A-A0CC576E0CD6}" presName="compNode" presStyleCnt="0"/>
      <dgm:spPr/>
    </dgm:pt>
    <dgm:pt modelId="{788DE979-FF1A-4219-BF84-8A28593CCB94}" type="pres">
      <dgm:prSet presAssocID="{731B959C-F05A-4425-AA8A-A0CC576E0CD6}" presName="aNode" presStyleLbl="bgShp" presStyleIdx="5" presStyleCnt="6"/>
      <dgm:spPr/>
    </dgm:pt>
    <dgm:pt modelId="{71B56B25-BAF1-420C-B037-BB4722F02D90}" type="pres">
      <dgm:prSet presAssocID="{731B959C-F05A-4425-AA8A-A0CC576E0CD6}" presName="textNode" presStyleLbl="bgShp" presStyleIdx="5" presStyleCnt="6"/>
      <dgm:spPr/>
    </dgm:pt>
    <dgm:pt modelId="{3F1D360B-481D-4C5E-90CF-3EAB36CBAFB2}" type="pres">
      <dgm:prSet presAssocID="{731B959C-F05A-4425-AA8A-A0CC576E0CD6}" presName="compChildNode" presStyleCnt="0"/>
      <dgm:spPr/>
    </dgm:pt>
    <dgm:pt modelId="{E1A254AC-78C7-4655-ACAE-FADF2CEC1676}" type="pres">
      <dgm:prSet presAssocID="{731B959C-F05A-4425-AA8A-A0CC576E0CD6}" presName="theInnerList" presStyleCnt="0"/>
      <dgm:spPr/>
    </dgm:pt>
    <dgm:pt modelId="{F1F16BAE-86C3-4B1E-85EA-E74B55A21462}" type="pres">
      <dgm:prSet presAssocID="{E4529BFC-7FBA-401E-83DC-ED21706EC71E}" presName="childNode" presStyleLbl="node1" presStyleIdx="38" presStyleCnt="43">
        <dgm:presLayoutVars>
          <dgm:bulletEnabled val="1"/>
        </dgm:presLayoutVars>
      </dgm:prSet>
      <dgm:spPr/>
    </dgm:pt>
    <dgm:pt modelId="{C398DBA4-3F4A-45C5-A3D1-F3F64D633C42}" type="pres">
      <dgm:prSet presAssocID="{E4529BFC-7FBA-401E-83DC-ED21706EC71E}" presName="aSpace2" presStyleCnt="0"/>
      <dgm:spPr/>
    </dgm:pt>
    <dgm:pt modelId="{2EA20561-6CFD-4954-A64B-AB91B0668E80}" type="pres">
      <dgm:prSet presAssocID="{00C5AD74-BB5E-4C37-87ED-5C005FAF2322}" presName="childNode" presStyleLbl="node1" presStyleIdx="39" presStyleCnt="43">
        <dgm:presLayoutVars>
          <dgm:bulletEnabled val="1"/>
        </dgm:presLayoutVars>
      </dgm:prSet>
      <dgm:spPr/>
    </dgm:pt>
    <dgm:pt modelId="{D0826BCA-BC11-48B7-B01F-89A295A6B808}" type="pres">
      <dgm:prSet presAssocID="{00C5AD74-BB5E-4C37-87ED-5C005FAF2322}" presName="aSpace2" presStyleCnt="0"/>
      <dgm:spPr/>
    </dgm:pt>
    <dgm:pt modelId="{23C873A2-9912-4FE4-BDE7-C88BA9B2ECB3}" type="pres">
      <dgm:prSet presAssocID="{33D15CE1-2AE0-443F-9467-251AED4D49CA}" presName="childNode" presStyleLbl="node1" presStyleIdx="40" presStyleCnt="43">
        <dgm:presLayoutVars>
          <dgm:bulletEnabled val="1"/>
        </dgm:presLayoutVars>
      </dgm:prSet>
      <dgm:spPr/>
    </dgm:pt>
    <dgm:pt modelId="{ED34EE53-D035-4AEC-9CC5-068CFCF668D1}" type="pres">
      <dgm:prSet presAssocID="{33D15CE1-2AE0-443F-9467-251AED4D49CA}" presName="aSpace2" presStyleCnt="0"/>
      <dgm:spPr/>
    </dgm:pt>
    <dgm:pt modelId="{95E7D6F0-32A9-4AB9-8051-93F3945D429B}" type="pres">
      <dgm:prSet presAssocID="{464CADB2-5C0A-499E-880D-27B3B06B5A3D}" presName="childNode" presStyleLbl="node1" presStyleIdx="41" presStyleCnt="43">
        <dgm:presLayoutVars>
          <dgm:bulletEnabled val="1"/>
        </dgm:presLayoutVars>
      </dgm:prSet>
      <dgm:spPr/>
    </dgm:pt>
    <dgm:pt modelId="{A3398A3F-042E-4757-B783-3A417B74E948}" type="pres">
      <dgm:prSet presAssocID="{464CADB2-5C0A-499E-880D-27B3B06B5A3D}" presName="aSpace2" presStyleCnt="0"/>
      <dgm:spPr/>
    </dgm:pt>
    <dgm:pt modelId="{66D2E35F-6AA8-4674-9525-32D6D3B769C9}" type="pres">
      <dgm:prSet presAssocID="{A7DDA4F1-B40B-46B4-B746-EA89906A2FB4}" presName="childNode" presStyleLbl="node1" presStyleIdx="42" presStyleCnt="43">
        <dgm:presLayoutVars>
          <dgm:bulletEnabled val="1"/>
        </dgm:presLayoutVars>
      </dgm:prSet>
      <dgm:spPr/>
    </dgm:pt>
  </dgm:ptLst>
  <dgm:cxnLst>
    <dgm:cxn modelId="{B7C60202-F005-4BB4-8F12-B518D8ABBBEF}" type="presOf" srcId="{41DB7EAC-BDC5-40D6-99A8-D401555AD179}" destId="{C2D31149-D845-48F1-A98F-89A487B49698}" srcOrd="0" destOrd="0" presId="urn:microsoft.com/office/officeart/2005/8/layout/lProcess2"/>
    <dgm:cxn modelId="{9AA6C102-B33A-45C3-AE7D-4BCB09515111}" srcId="{7ED69BD0-5C46-430C-BD11-1675B78445AF}" destId="{2E51DF25-B7C0-43DA-ADCE-0B6DAA3E9F7B}" srcOrd="3" destOrd="0" parTransId="{060E53C2-706B-40E2-B6B1-DC5694082B1A}" sibTransId="{54C986C0-7254-4D77-8EF8-B2E27153E9C6}"/>
    <dgm:cxn modelId="{4E2A9A0C-ED2E-4573-9819-CDFE088087F9}" srcId="{71C93146-8DBD-47BA-9B89-8D2FF25B6FDE}" destId="{934ADA9C-D899-4C8D-9419-FEE89DA1604A}" srcOrd="3" destOrd="0" parTransId="{B1494962-AFEF-4D46-BF89-F2CBD1DCBE95}" sibTransId="{FFAB65ED-7D8E-48F5-9691-49D1851A0F09}"/>
    <dgm:cxn modelId="{FB9EEF0D-5226-4D9D-9497-B58B195C2EF0}" srcId="{CB339438-8F81-4836-B0D6-39E445779B2D}" destId="{8EA8A5B3-158A-46A2-BD3A-F3B57486ADAA}" srcOrd="4" destOrd="0" parTransId="{6540D407-4028-474E-9544-BDCD7B8CE6C5}" sibTransId="{058C431F-692E-413B-B576-35837BF524AA}"/>
    <dgm:cxn modelId="{D99B360E-0CD9-4872-8220-7B7AB6BFD839}" srcId="{3C8EFC9A-BDC9-4CB0-8DCF-FD6F89FD7C78}" destId="{35F91573-84CF-4D05-97CE-0E5A3583D4E6}" srcOrd="4" destOrd="0" parTransId="{C4B92D65-5D5B-4031-AC81-F50BE376D814}" sibTransId="{F141414D-6441-49BD-B8D1-7829EEA431E5}"/>
    <dgm:cxn modelId="{B60D540F-CFA6-412D-9DCA-BF4FB473BD58}" srcId="{7ED69BD0-5C46-430C-BD11-1675B78445AF}" destId="{C765EFE1-9587-4BD0-BA1D-81A6425C17DB}" srcOrd="4" destOrd="0" parTransId="{9666F175-7D96-457C-A175-023DEBE6F969}" sibTransId="{F6867B9E-C732-4845-A91D-352DB38C5B50}"/>
    <dgm:cxn modelId="{A2F41B12-ED5F-40BC-90C2-E6477BBF0D18}" type="presOf" srcId="{13A36F88-2485-42F6-A3FC-D739D794920C}" destId="{8C2946A0-576E-4808-9C92-02BFFF0C7D6F}" srcOrd="0" destOrd="0" presId="urn:microsoft.com/office/officeart/2005/8/layout/lProcess2"/>
    <dgm:cxn modelId="{87E5DC14-D8F4-4FF6-967E-E898B4A4AAFC}" type="presOf" srcId="{C134F88E-4C4C-4F83-B22D-C129B7E3477A}" destId="{7BE6FBB6-2C7F-4090-924E-AD3A157FFABE}" srcOrd="0" destOrd="0" presId="urn:microsoft.com/office/officeart/2005/8/layout/lProcess2"/>
    <dgm:cxn modelId="{3D5ED217-C440-4DAD-B796-925F57CAEF8C}" type="presOf" srcId="{2B8DCA65-5882-490B-B6E0-1244B42860BD}" destId="{0482D866-2B3F-412E-9D66-E84151969353}" srcOrd="0" destOrd="0" presId="urn:microsoft.com/office/officeart/2005/8/layout/lProcess2"/>
    <dgm:cxn modelId="{1A1ED718-5287-4C05-9F2C-9C591CDAFBB1}" srcId="{731B959C-F05A-4425-AA8A-A0CC576E0CD6}" destId="{A7DDA4F1-B40B-46B4-B746-EA89906A2FB4}" srcOrd="4" destOrd="0" parTransId="{27302846-3F4E-4890-8FD2-653D02ED08C4}" sibTransId="{BDDA1F47-37EC-4594-B19B-6BEADC130A10}"/>
    <dgm:cxn modelId="{3898561C-AE03-4718-AE3E-8110DF2975AE}" srcId="{3C8EFC9A-BDC9-4CB0-8DCF-FD6F89FD7C78}" destId="{731B959C-F05A-4425-AA8A-A0CC576E0CD6}" srcOrd="5" destOrd="0" parTransId="{4DAF3717-69D8-4024-BC2D-22D2476AC76E}" sibTransId="{4B9E5D53-0B42-48F6-AA2B-6F5F833B01D8}"/>
    <dgm:cxn modelId="{B6AAD51F-543F-4E8D-AAD7-E61B73866953}" type="presOf" srcId="{D38A169C-73FA-404F-BBC1-E58D54FDBE12}" destId="{A239EC8B-8508-4BCF-8FEB-C4B29C102781}" srcOrd="0" destOrd="0" presId="urn:microsoft.com/office/officeart/2005/8/layout/lProcess2"/>
    <dgm:cxn modelId="{501AF81F-EDA7-4634-BE2F-4461AC162427}" srcId="{731B959C-F05A-4425-AA8A-A0CC576E0CD6}" destId="{00C5AD74-BB5E-4C37-87ED-5C005FAF2322}" srcOrd="1" destOrd="0" parTransId="{404B7502-7D11-4D22-9D7C-06E3E9EF975E}" sibTransId="{3EDD23AB-CD9C-43D5-A813-69B24A88F265}"/>
    <dgm:cxn modelId="{9780FA21-45DF-4540-B5A2-9882D8B9DA62}" type="presOf" srcId="{CB339438-8F81-4836-B0D6-39E445779B2D}" destId="{6D56517E-766B-45C1-B3BA-03A92A9F1628}" srcOrd="0" destOrd="0" presId="urn:microsoft.com/office/officeart/2005/8/layout/lProcess2"/>
    <dgm:cxn modelId="{B513EC22-4735-44F9-AB8B-990B8C83BB17}" type="presOf" srcId="{086678A7-F493-4823-B3B6-57A9657951CF}" destId="{B92FF65D-7314-4281-8C61-D2E02ABB453E}" srcOrd="0" destOrd="0" presId="urn:microsoft.com/office/officeart/2005/8/layout/lProcess2"/>
    <dgm:cxn modelId="{85CA7328-C88E-4CCA-A503-4BBF9E60CB5E}" srcId="{3C8EFC9A-BDC9-4CB0-8DCF-FD6F89FD7C78}" destId="{71C93146-8DBD-47BA-9B89-8D2FF25B6FDE}" srcOrd="1" destOrd="0" parTransId="{A4EFA77B-9971-480B-8CDC-B60EE2909B0A}" sibTransId="{8213C114-C822-4D1A-8481-C09CD83DA145}"/>
    <dgm:cxn modelId="{6B8F1529-5560-4A85-8A74-0FDA48CD3851}" type="presOf" srcId="{E8B27D1E-1ED3-409D-AC4F-669F5B2CDC18}" destId="{14016185-EE9F-4C64-9998-4EC5312A4113}" srcOrd="0" destOrd="0" presId="urn:microsoft.com/office/officeart/2005/8/layout/lProcess2"/>
    <dgm:cxn modelId="{6317B032-9E2D-4C09-BFCB-DEE7F6FB19EC}" srcId="{39F506DE-50F1-49BE-9ED2-88EFDAE6F0E1}" destId="{C134F88E-4C4C-4F83-B22D-C129B7E3477A}" srcOrd="1" destOrd="0" parTransId="{3A9BCE9D-421C-4EAB-A25F-50ADA7668B4B}" sibTransId="{4236607B-8CE8-427B-A6C7-9C4FA5BC3E95}"/>
    <dgm:cxn modelId="{B3794135-D6F8-4259-9889-4CFE23B573EA}" type="presOf" srcId="{5689EC68-4989-4E1E-96FD-3A6DB0CAD78C}" destId="{5FFDAE0D-01DD-4F48-856B-01906FDFAC4D}" srcOrd="0" destOrd="0" presId="urn:microsoft.com/office/officeart/2005/8/layout/lProcess2"/>
    <dgm:cxn modelId="{30B7E838-9B7D-4D9C-AF84-FB3D80B5C2B5}" srcId="{731B959C-F05A-4425-AA8A-A0CC576E0CD6}" destId="{33D15CE1-2AE0-443F-9467-251AED4D49CA}" srcOrd="2" destOrd="0" parTransId="{8DBE2E30-A162-48E8-A94C-52C937E1A99A}" sibTransId="{4DADF293-3BD0-4310-9161-04488FADA7BD}"/>
    <dgm:cxn modelId="{F98CF539-18FD-4282-AB31-0B3F23368CC9}" type="presOf" srcId="{2A72ADA7-B59D-45EC-80FE-F3489AB58B53}" destId="{9CE9E257-D948-4ED8-B93B-3F31494CC27F}" srcOrd="0" destOrd="0" presId="urn:microsoft.com/office/officeart/2005/8/layout/lProcess2"/>
    <dgm:cxn modelId="{A91C153A-AAE1-478B-8F28-DD6597A354F0}" srcId="{39F506DE-50F1-49BE-9ED2-88EFDAE6F0E1}" destId="{451149D5-FEDA-4765-B600-5039ABB58E53}" srcOrd="3" destOrd="0" parTransId="{4E2281CA-A78E-45B2-B336-A5EC6E0D7E46}" sibTransId="{9902A7BB-1925-42EB-BB58-87F6AD6E80B5}"/>
    <dgm:cxn modelId="{13881F3D-6468-48C6-9228-A0738DB3F976}" srcId="{CB339438-8F81-4836-B0D6-39E445779B2D}" destId="{122C84AD-6224-411C-BE7E-74C2C2FD2E1A}" srcOrd="13" destOrd="0" parTransId="{102DA3CC-F117-4032-9ABC-F5264B7C2305}" sibTransId="{5C06CB73-1F46-486C-AA6A-5AB7F3CD2E3F}"/>
    <dgm:cxn modelId="{12BC693D-0B61-4DD5-9951-D069F37E2097}" type="presOf" srcId="{451149D5-FEDA-4765-B600-5039ABB58E53}" destId="{9821E4E8-E247-4525-A9DD-43D8B524714D}" srcOrd="0" destOrd="0" presId="urn:microsoft.com/office/officeart/2005/8/layout/lProcess2"/>
    <dgm:cxn modelId="{B9B84F3F-92DA-48E6-A3BB-B7C952E21BD3}" srcId="{7ED69BD0-5C46-430C-BD11-1675B78445AF}" destId="{E4B92491-EA9A-4D22-9CF8-82866D9BC210}" srcOrd="0" destOrd="0" parTransId="{AAD8A640-0904-42B2-8737-4F819FCC663F}" sibTransId="{6A795A40-8887-4AB1-8E50-2A17E97000C7}"/>
    <dgm:cxn modelId="{797C7740-3B4D-4E3F-93C7-6B97DEBA0EF6}" type="presOf" srcId="{00C5AD74-BB5E-4C37-87ED-5C005FAF2322}" destId="{2EA20561-6CFD-4954-A64B-AB91B0668E80}" srcOrd="0" destOrd="0" presId="urn:microsoft.com/office/officeart/2005/8/layout/lProcess2"/>
    <dgm:cxn modelId="{A6798840-C33B-42D5-B59E-12A36CD0D8C9}" type="presOf" srcId="{50343C18-7404-4E1E-A316-5D7BFDE3E852}" destId="{253B22F4-8A1D-4683-A75D-F533A591C1F5}" srcOrd="0" destOrd="0" presId="urn:microsoft.com/office/officeart/2005/8/layout/lProcess2"/>
    <dgm:cxn modelId="{8D1F1E5B-2BD4-4391-85BE-10890E9AAFD6}" type="presOf" srcId="{FED73D90-A231-45ED-9608-50DB3A310825}" destId="{57100ECE-9B3C-4CC3-A9C1-48AD6F34D07B}" srcOrd="0" destOrd="0" presId="urn:microsoft.com/office/officeart/2005/8/layout/lProcess2"/>
    <dgm:cxn modelId="{C29DF05B-63D1-42E6-B9B5-44A8CDB3529E}" type="presOf" srcId="{39F506DE-50F1-49BE-9ED2-88EFDAE6F0E1}" destId="{7B18AFFD-E121-412C-9D04-2A61C280EF92}" srcOrd="1" destOrd="0" presId="urn:microsoft.com/office/officeart/2005/8/layout/lProcess2"/>
    <dgm:cxn modelId="{DD5B6D5E-0C04-4034-8CAF-6472FC67D767}" srcId="{35F91573-84CF-4D05-97CE-0E5A3583D4E6}" destId="{9CC56A7C-11FF-4892-B122-891E65EB1004}" srcOrd="4" destOrd="0" parTransId="{F9FC4AA1-7DA9-455E-8AF2-773670B97011}" sibTransId="{D118C918-C2CF-42EA-A3C1-36E577D91416}"/>
    <dgm:cxn modelId="{5712085F-5B9C-44ED-88D8-AD409E3C3FE7}" type="presOf" srcId="{C73CB937-E35C-46A7-A528-03AE78F9430B}" destId="{6081A0E7-3270-44D0-B4CD-B69CEEB69F68}" srcOrd="0" destOrd="0" presId="urn:microsoft.com/office/officeart/2005/8/layout/lProcess2"/>
    <dgm:cxn modelId="{67C84A60-E026-4356-95F4-7C96EDBE6D0A}" srcId="{CB339438-8F81-4836-B0D6-39E445779B2D}" destId="{D411A1FC-339C-4AED-B06A-CCB1EF4A7CD3}" srcOrd="6" destOrd="0" parTransId="{AF1F3F01-116A-405F-8787-6DF48258E288}" sibTransId="{C0225810-0023-4BB2-84AF-BABEF44A48C0}"/>
    <dgm:cxn modelId="{ED7DF260-3958-4453-94DC-9FE9FCA20AB2}" type="presOf" srcId="{A7DDA4F1-B40B-46B4-B746-EA89906A2FB4}" destId="{66D2E35F-6AA8-4674-9525-32D6D3B769C9}" srcOrd="0" destOrd="0" presId="urn:microsoft.com/office/officeart/2005/8/layout/lProcess2"/>
    <dgm:cxn modelId="{BA6CDC42-F773-44A9-B03F-5C3594A014AB}" type="presOf" srcId="{934ADA9C-D899-4C8D-9419-FEE89DA1604A}" destId="{67114D93-E06F-4DAA-BCFB-6E5088AA4903}" srcOrd="0" destOrd="0" presId="urn:microsoft.com/office/officeart/2005/8/layout/lProcess2"/>
    <dgm:cxn modelId="{EB626043-37BD-4119-B46A-8BE38CCA94C5}" type="presOf" srcId="{8EA8A5B3-158A-46A2-BD3A-F3B57486ADAA}" destId="{3D1E60B4-E52B-42E4-8458-6ACEB0512CD6}" srcOrd="0" destOrd="0" presId="urn:microsoft.com/office/officeart/2005/8/layout/lProcess2"/>
    <dgm:cxn modelId="{8CEE0044-0E5D-4790-8FFA-1DD283F23C5B}" type="presOf" srcId="{D432DB11-412F-4D35-974F-D69F6D0B3FDA}" destId="{851ADC3A-49E7-4E47-85D5-1526996F9E82}" srcOrd="0" destOrd="0" presId="urn:microsoft.com/office/officeart/2005/8/layout/lProcess2"/>
    <dgm:cxn modelId="{3C0AD464-02F9-447E-A6D3-18CA9A9E3E97}" type="presOf" srcId="{E4B92491-EA9A-4D22-9CF8-82866D9BC210}" destId="{D9D4FC23-0730-4C6A-92D3-55905B566BDA}" srcOrd="0" destOrd="0" presId="urn:microsoft.com/office/officeart/2005/8/layout/lProcess2"/>
    <dgm:cxn modelId="{15339C65-5093-4E80-B789-8EB2F9942F10}" type="presOf" srcId="{B823F78E-EDE4-45FB-920D-11EA719224AF}" destId="{67271954-A6BD-40EC-BD45-3A2CBE7B6109}" srcOrd="0" destOrd="0" presId="urn:microsoft.com/office/officeart/2005/8/layout/lProcess2"/>
    <dgm:cxn modelId="{CD380867-B426-407E-9E42-1A42391F040A}" srcId="{CB339438-8F81-4836-B0D6-39E445779B2D}" destId="{13A36F88-2485-42F6-A3FC-D739D794920C}" srcOrd="5" destOrd="0" parTransId="{4EDEC716-C282-4191-AF55-CFCFB1F8E9A4}" sibTransId="{AB522DCA-C53B-4B60-ACD6-A1FAF6BACEEB}"/>
    <dgm:cxn modelId="{58C72467-DF9F-4CB4-858D-2E57F85622DE}" srcId="{7ED69BD0-5C46-430C-BD11-1675B78445AF}" destId="{086678A7-F493-4823-B3B6-57A9657951CF}" srcOrd="1" destOrd="0" parTransId="{D26FD918-8E0C-41E9-A734-59F853D9C88E}" sibTransId="{BEC88BC7-710D-498D-B073-44C36555D78A}"/>
    <dgm:cxn modelId="{E5F02B68-97E5-4639-8043-C8F4C8193752}" type="presOf" srcId="{C765EFE1-9587-4BD0-BA1D-81A6425C17DB}" destId="{4AA2C2D8-38AC-49A4-B325-32683F44EAF4}" srcOrd="0" destOrd="0" presId="urn:microsoft.com/office/officeart/2005/8/layout/lProcess2"/>
    <dgm:cxn modelId="{9969786C-264F-4F62-BB97-56DA74150D18}" type="presOf" srcId="{464CADB2-5C0A-499E-880D-27B3B06B5A3D}" destId="{95E7D6F0-32A9-4AB9-8051-93F3945D429B}" srcOrd="0" destOrd="0" presId="urn:microsoft.com/office/officeart/2005/8/layout/lProcess2"/>
    <dgm:cxn modelId="{4D3BDD4D-4325-42D8-8823-D4F547B79AB4}" srcId="{7ED69BD0-5C46-430C-BD11-1675B78445AF}" destId="{7C0E973C-743C-470A-8B02-0F4E3FD93FC5}" srcOrd="5" destOrd="0" parTransId="{6D16B90E-7EB1-4EB7-A35C-49E2D6F9539C}" sibTransId="{CC84AF64-DE57-4A04-8A0F-424FADB77927}"/>
    <dgm:cxn modelId="{C6CB4B4E-3CB8-4590-84FC-3F095DABDA92}" srcId="{35F91573-84CF-4D05-97CE-0E5A3583D4E6}" destId="{2B8DCA65-5882-490B-B6E0-1244B42860BD}" srcOrd="1" destOrd="0" parTransId="{AF4BB2B8-6F57-43A5-998F-8FEB6870A237}" sibTransId="{DCAF1C21-F262-4AFE-8421-2B398F24486E}"/>
    <dgm:cxn modelId="{76338E4E-34EF-47D7-B849-A5FAB39C6676}" srcId="{71C93146-8DBD-47BA-9B89-8D2FF25B6FDE}" destId="{AD36A718-93CE-430C-B388-A3C63521F773}" srcOrd="1" destOrd="0" parTransId="{A1F66019-4974-4AE2-B934-0E1CE10895E5}" sibTransId="{AEDFE799-82DC-4F0F-B95C-232938BB20DB}"/>
    <dgm:cxn modelId="{C85AE870-89A5-45D6-BCCF-A6E7693E5D9D}" srcId="{71C93146-8DBD-47BA-9B89-8D2FF25B6FDE}" destId="{2A72ADA7-B59D-45EC-80FE-F3489AB58B53}" srcOrd="2" destOrd="0" parTransId="{4336A49A-6BA6-4BE6-9DBD-2C0E49AEED4C}" sibTransId="{B2005B3D-BB0D-4ED3-9F75-F0181D3D938F}"/>
    <dgm:cxn modelId="{EA6FDD51-17DC-45DD-94EB-D04872699E7D}" type="presOf" srcId="{731B959C-F05A-4425-AA8A-A0CC576E0CD6}" destId="{788DE979-FF1A-4219-BF84-8A28593CCB94}" srcOrd="0" destOrd="0" presId="urn:microsoft.com/office/officeart/2005/8/layout/lProcess2"/>
    <dgm:cxn modelId="{16961D73-ACEE-46B1-941F-230149DA61A6}" srcId="{731B959C-F05A-4425-AA8A-A0CC576E0CD6}" destId="{464CADB2-5C0A-499E-880D-27B3B06B5A3D}" srcOrd="3" destOrd="0" parTransId="{8119D722-6BA9-4785-8A53-4105DEEDF657}" sibTransId="{B913E8EF-34C5-40F3-B6EB-CE64043368BA}"/>
    <dgm:cxn modelId="{BC0D9673-3077-4617-B59E-EC25082B159E}" srcId="{35F91573-84CF-4D05-97CE-0E5A3583D4E6}" destId="{23669D9C-1B83-4042-BBDD-E437161DD5D6}" srcOrd="3" destOrd="0" parTransId="{BC0690C2-1CFB-4558-98BE-D57A2ED56433}" sibTransId="{F788100D-E697-41D6-8F56-32F86DF6336D}"/>
    <dgm:cxn modelId="{BD605C74-7CF9-4E65-AD27-3000B21A608E}" srcId="{CB339438-8F81-4836-B0D6-39E445779B2D}" destId="{41DB7EAC-BDC5-40D6-99A8-D401555AD179}" srcOrd="2" destOrd="0" parTransId="{6DABEDB5-F660-448D-B3F0-BB8AAA9CDC58}" sibTransId="{3877FFD9-2918-4C76-AE3D-8409123FBDDD}"/>
    <dgm:cxn modelId="{3C39BA76-36BD-45C8-9B8C-C56D6FC2B6E2}" type="presOf" srcId="{23669D9C-1B83-4042-BBDD-E437161DD5D6}" destId="{DED3F222-26E6-4809-AA91-F07F244295C3}" srcOrd="0" destOrd="0" presId="urn:microsoft.com/office/officeart/2005/8/layout/lProcess2"/>
    <dgm:cxn modelId="{FF4B5158-2282-42EF-8818-48BE7EC54C4F}" type="presOf" srcId="{9CC56A7C-11FF-4892-B122-891E65EB1004}" destId="{AAF2ACE6-5E38-4636-B080-BC2D37E74DD8}" srcOrd="0" destOrd="0" presId="urn:microsoft.com/office/officeart/2005/8/layout/lProcess2"/>
    <dgm:cxn modelId="{8FE2367D-ADE8-4FEA-BE5D-EA5106E541C9}" type="presOf" srcId="{3C8EFC9A-BDC9-4CB0-8DCF-FD6F89FD7C78}" destId="{7D112E5F-5E8D-4BAC-B50E-86C24ABA9E6B}" srcOrd="0" destOrd="0" presId="urn:microsoft.com/office/officeart/2005/8/layout/lProcess2"/>
    <dgm:cxn modelId="{3EC95584-F64E-4F01-9306-D20FA216FBEC}" srcId="{7ED69BD0-5C46-430C-BD11-1675B78445AF}" destId="{1DCEF51C-F50A-4B0B-9902-33B322D5ADEF}" srcOrd="2" destOrd="0" parTransId="{2C60948B-205E-4F80-82A1-F8B8D3A331F9}" sibTransId="{54A7321B-FDE2-4C58-BFBF-737A8982D7C8}"/>
    <dgm:cxn modelId="{58469884-803F-439B-9785-08C6FAF8746C}" type="presOf" srcId="{731B959C-F05A-4425-AA8A-A0CC576E0CD6}" destId="{71B56B25-BAF1-420C-B037-BB4722F02D90}" srcOrd="1" destOrd="0" presId="urn:microsoft.com/office/officeart/2005/8/layout/lProcess2"/>
    <dgm:cxn modelId="{9E5B2586-4117-46D2-A77F-55BE96C0CD18}" srcId="{39F506DE-50F1-49BE-9ED2-88EFDAE6F0E1}" destId="{5689EC68-4989-4E1E-96FD-3A6DB0CAD78C}" srcOrd="0" destOrd="0" parTransId="{5E002F54-8A10-472E-96C2-6347E5C62ABE}" sibTransId="{A783D2D8-9AA5-4B37-B664-80F0625BDE23}"/>
    <dgm:cxn modelId="{28396088-9F13-41F4-B6CB-6A5C0B3DD9F0}" type="presOf" srcId="{35F91573-84CF-4D05-97CE-0E5A3583D4E6}" destId="{8387A50E-865C-4F7E-BAF7-78F89B5F3C88}" srcOrd="0" destOrd="0" presId="urn:microsoft.com/office/officeart/2005/8/layout/lProcess2"/>
    <dgm:cxn modelId="{FA676D8E-DD10-4206-946E-A18DBBC548C9}" srcId="{3C8EFC9A-BDC9-4CB0-8DCF-FD6F89FD7C78}" destId="{CB339438-8F81-4836-B0D6-39E445779B2D}" srcOrd="2" destOrd="0" parTransId="{81844B2A-8DE3-4EEB-9E0E-031ED26B43F7}" sibTransId="{217513DC-7E70-4D8D-9CA4-5D4693EB7292}"/>
    <dgm:cxn modelId="{CC0B9192-6ADB-42ED-A62D-0C2A56F3FA4F}" type="presOf" srcId="{71C93146-8DBD-47BA-9B89-8D2FF25B6FDE}" destId="{54671E33-5AC7-4CD0-91C9-A60A47022F3E}" srcOrd="0" destOrd="0" presId="urn:microsoft.com/office/officeart/2005/8/layout/lProcess2"/>
    <dgm:cxn modelId="{69457094-E3E0-4F50-8727-DA40A9509F4F}" type="presOf" srcId="{122C84AD-6224-411C-BE7E-74C2C2FD2E1A}" destId="{A0625715-5C06-476B-97BA-6A2EC0BDF26A}" srcOrd="0" destOrd="0" presId="urn:microsoft.com/office/officeart/2005/8/layout/lProcess2"/>
    <dgm:cxn modelId="{3FCEE895-271C-4136-B426-FE7F1582CEF1}" srcId="{CB339438-8F81-4836-B0D6-39E445779B2D}" destId="{D38A169C-73FA-404F-BBC1-E58D54FDBE12}" srcOrd="0" destOrd="0" parTransId="{972BF931-FB6A-47EF-8701-10AC9CDA14F0}" sibTransId="{A99A1C84-B8AD-4CE4-944A-AF6FBA84AD6E}"/>
    <dgm:cxn modelId="{CE0AFB95-B8CC-4AD5-A07D-E2A6265CA419}" srcId="{CB339438-8F81-4836-B0D6-39E445779B2D}" destId="{E8B27D1E-1ED3-409D-AC4F-669F5B2CDC18}" srcOrd="7" destOrd="0" parTransId="{46CB104B-55EF-4A51-AC64-68885FC63ABE}" sibTransId="{55567566-D993-4863-8837-85C10A4BCEA2}"/>
    <dgm:cxn modelId="{4C1CA796-F64D-4137-9DBB-FFE5FB99CBCB}" srcId="{71C93146-8DBD-47BA-9B89-8D2FF25B6FDE}" destId="{50343C18-7404-4E1E-A316-5D7BFDE3E852}" srcOrd="6" destOrd="0" parTransId="{A136BA88-9C81-4CB3-9DC2-1F60301DED38}" sibTransId="{DA4313F4-94D1-49D5-9385-ED67121043D0}"/>
    <dgm:cxn modelId="{1646CD98-FB6D-4976-8B21-A121456BD744}" type="presOf" srcId="{7ED69BD0-5C46-430C-BD11-1675B78445AF}" destId="{F05B5A65-AC5E-407E-B187-D515ADC27144}" srcOrd="1" destOrd="0" presId="urn:microsoft.com/office/officeart/2005/8/layout/lProcess2"/>
    <dgm:cxn modelId="{6E3EB49A-F9C7-49B8-A048-579421865614}" srcId="{3C8EFC9A-BDC9-4CB0-8DCF-FD6F89FD7C78}" destId="{7ED69BD0-5C46-430C-BD11-1675B78445AF}" srcOrd="0" destOrd="0" parTransId="{E750908F-6048-4121-9824-44DEE38A9550}" sibTransId="{218C9A6D-6F68-45C1-B697-BBF6B4D44B14}"/>
    <dgm:cxn modelId="{984BB49C-7C46-481D-9F89-17EB65E33682}" type="presOf" srcId="{AEA10931-67D5-417F-A76E-45AB9B1C6A81}" destId="{C50B8762-916F-458A-91A1-E49668139917}" srcOrd="0" destOrd="0" presId="urn:microsoft.com/office/officeart/2005/8/layout/lProcess2"/>
    <dgm:cxn modelId="{4EBFBE9F-C2CE-485E-A43D-3F16F305CAE4}" type="presOf" srcId="{AD36A718-93CE-430C-B388-A3C63521F773}" destId="{10F88D14-C566-4EFF-B18E-BA4F68CFFBB9}" srcOrd="0" destOrd="0" presId="urn:microsoft.com/office/officeart/2005/8/layout/lProcess2"/>
    <dgm:cxn modelId="{086606A1-EFCF-480C-BAE3-93E070795E3A}" type="presOf" srcId="{35F91573-84CF-4D05-97CE-0E5A3583D4E6}" destId="{639BD1C7-0242-4D12-913E-B2E949B465C2}" srcOrd="1" destOrd="0" presId="urn:microsoft.com/office/officeart/2005/8/layout/lProcess2"/>
    <dgm:cxn modelId="{D67B36A2-AF53-4234-BC4C-3A7AE32157F3}" type="presOf" srcId="{7ED69BD0-5C46-430C-BD11-1675B78445AF}" destId="{4470F352-0887-4B4E-81B9-385C6AD8A1EF}" srcOrd="0" destOrd="0" presId="urn:microsoft.com/office/officeart/2005/8/layout/lProcess2"/>
    <dgm:cxn modelId="{73E1E5A2-4260-4937-A5C7-669E2719F280}" srcId="{CB339438-8F81-4836-B0D6-39E445779B2D}" destId="{B823F78E-EDE4-45FB-920D-11EA719224AF}" srcOrd="12" destOrd="0" parTransId="{49B1493B-57D3-4661-B76D-0EBC6476610C}" sibTransId="{80A7048E-4626-4715-8FD7-B2B505C532BA}"/>
    <dgm:cxn modelId="{98C015A3-EDAC-4BDD-8149-7A8917740FB6}" srcId="{CB339438-8F81-4836-B0D6-39E445779B2D}" destId="{4432093D-A644-4827-AA6D-7067AC85A70A}" srcOrd="3" destOrd="0" parTransId="{A4F69265-93A9-4DC8-B476-3C54A78A0F87}" sibTransId="{29DE9C12-7530-46C0-A1D0-9B97206287A0}"/>
    <dgm:cxn modelId="{DFD1EAA7-E9B7-4782-A476-14CE33073947}" srcId="{39F506DE-50F1-49BE-9ED2-88EFDAE6F0E1}" destId="{5788F799-C613-40C5-8761-BEA82B1C90FC}" srcOrd="2" destOrd="0" parTransId="{B1600F06-2268-4E93-8025-6213C861BF03}" sibTransId="{34DDA67C-48F2-49AC-B592-522587E58066}"/>
    <dgm:cxn modelId="{3A21ABAA-1CD5-4E79-AB73-AEA4D0FEE6DB}" type="presOf" srcId="{3B574CCD-63EB-4E5C-A38D-7AA05C571F3B}" destId="{6E74EA93-ADBE-4F7A-B808-B9FC1E99F407}" srcOrd="0" destOrd="0" presId="urn:microsoft.com/office/officeart/2005/8/layout/lProcess2"/>
    <dgm:cxn modelId="{D091B5AA-06F2-4212-88E3-8A0B0FC112E2}" type="presOf" srcId="{15D775C9-9490-4A8C-8606-292DE6D1D53F}" destId="{07A918F0-62D9-46AE-9F9F-62DB5B328CB3}" srcOrd="0" destOrd="0" presId="urn:microsoft.com/office/officeart/2005/8/layout/lProcess2"/>
    <dgm:cxn modelId="{E920E3AA-97E6-4BAF-919F-76150C3B3DF5}" type="presOf" srcId="{71C93146-8DBD-47BA-9B89-8D2FF25B6FDE}" destId="{6480FF0A-C4CA-4878-B3DC-5C3D2BC5401E}" srcOrd="1" destOrd="0" presId="urn:microsoft.com/office/officeart/2005/8/layout/lProcess2"/>
    <dgm:cxn modelId="{42C66FAC-28BE-48D6-833E-24DFF3955FF6}" type="presOf" srcId="{4EB609EB-A256-4ADE-A223-B75FFCB88452}" destId="{C99F83CB-8249-4820-A5BE-6174F687C561}" srcOrd="0" destOrd="0" presId="urn:microsoft.com/office/officeart/2005/8/layout/lProcess2"/>
    <dgm:cxn modelId="{855F4EB3-AE39-4DA4-9B63-3F01194247B5}" type="presOf" srcId="{D411A1FC-339C-4AED-B06A-CCB1EF4A7CD3}" destId="{91059573-C0DD-4A23-8D59-F5A921FF13B2}" srcOrd="0" destOrd="0" presId="urn:microsoft.com/office/officeart/2005/8/layout/lProcess2"/>
    <dgm:cxn modelId="{816512B8-B791-4083-B49A-F17B35A4A282}" type="presOf" srcId="{33D15CE1-2AE0-443F-9467-251AED4D49CA}" destId="{23C873A2-9912-4FE4-BDE7-C88BA9B2ECB3}" srcOrd="0" destOrd="0" presId="urn:microsoft.com/office/officeart/2005/8/layout/lProcess2"/>
    <dgm:cxn modelId="{D2B31DBD-4E45-4328-BFD6-5BC8660D1074}" type="presOf" srcId="{1CC776DD-EEFA-4565-91BF-9B7AD9CBC17D}" destId="{38C7B200-636A-4821-8B86-81A7AD31BC87}" srcOrd="0" destOrd="0" presId="urn:microsoft.com/office/officeart/2005/8/layout/lProcess2"/>
    <dgm:cxn modelId="{70C240BD-A947-494F-854E-E0EA692EFD0B}" type="presOf" srcId="{CB339438-8F81-4836-B0D6-39E445779B2D}" destId="{3D88E221-0C0B-49C5-BB85-D37F5241594C}" srcOrd="1" destOrd="0" presId="urn:microsoft.com/office/officeart/2005/8/layout/lProcess2"/>
    <dgm:cxn modelId="{12D52EC1-9057-4336-9228-A28D8FE64A47}" type="presOf" srcId="{437562EF-45B9-4108-A430-E90D425350DB}" destId="{45ED17EB-782D-462A-9CC1-E53FA40A33C7}" srcOrd="0" destOrd="0" presId="urn:microsoft.com/office/officeart/2005/8/layout/lProcess2"/>
    <dgm:cxn modelId="{433CDCC2-514D-4568-8FDD-01E055559F50}" type="presOf" srcId="{2E51DF25-B7C0-43DA-ADCE-0B6DAA3E9F7B}" destId="{EE4F65C3-F61D-4F57-82E6-6248AF681702}" srcOrd="0" destOrd="0" presId="urn:microsoft.com/office/officeart/2005/8/layout/lProcess2"/>
    <dgm:cxn modelId="{00F92ACC-4823-4E0D-95F3-BEEFDC7629BC}" srcId="{CB339438-8F81-4836-B0D6-39E445779B2D}" destId="{1CC776DD-EEFA-4565-91BF-9B7AD9CBC17D}" srcOrd="9" destOrd="0" parTransId="{BC09C9FB-00F3-487A-A28F-C1126604E94C}" sibTransId="{B41CACD4-437F-4C9E-AAB3-5E4F11D822B9}"/>
    <dgm:cxn modelId="{1AC5E3CD-E4ED-48B1-BDF2-86C45D4FFF22}" type="presOf" srcId="{438D9939-C1F5-4FB8-A207-F0C7DE6CBA69}" destId="{3F43A9C7-A3FB-4D08-965C-D2FF2D56DEF9}" srcOrd="0" destOrd="0" presId="urn:microsoft.com/office/officeart/2005/8/layout/lProcess2"/>
    <dgm:cxn modelId="{3DE601D1-0C81-4723-843D-1DD0725735FE}" srcId="{35F91573-84CF-4D05-97CE-0E5A3583D4E6}" destId="{15D775C9-9490-4A8C-8606-292DE6D1D53F}" srcOrd="2" destOrd="0" parTransId="{F8978FD2-D021-43EA-A358-35B52665F96B}" sibTransId="{F54A7DEE-2768-4F69-97DE-957C9B2086DF}"/>
    <dgm:cxn modelId="{81471AD1-0069-4A55-AFA7-7230934509D8}" srcId="{3C8EFC9A-BDC9-4CB0-8DCF-FD6F89FD7C78}" destId="{39F506DE-50F1-49BE-9ED2-88EFDAE6F0E1}" srcOrd="3" destOrd="0" parTransId="{7F60D346-2BA8-4279-8596-2765F26B3192}" sibTransId="{7C66CED6-4EF2-4379-89C4-7E1B0D2D3641}"/>
    <dgm:cxn modelId="{8C5526D1-80ED-4CCE-9F0E-33839D9335FF}" srcId="{71C93146-8DBD-47BA-9B89-8D2FF25B6FDE}" destId="{4EB609EB-A256-4ADE-A223-B75FFCB88452}" srcOrd="7" destOrd="0" parTransId="{8234BA1C-2965-449D-9116-FFE33298955C}" sibTransId="{9DB76EBE-5004-4208-8114-E7D3B9E7904E}"/>
    <dgm:cxn modelId="{F9C958D2-61EB-49CA-86A9-748A93107089}" type="presOf" srcId="{4432093D-A644-4827-AA6D-7067AC85A70A}" destId="{307F1E4F-0554-4C37-A560-635EFC728D02}" srcOrd="0" destOrd="0" presId="urn:microsoft.com/office/officeart/2005/8/layout/lProcess2"/>
    <dgm:cxn modelId="{64DCCAD6-9212-4DFE-AB84-E4547408BBB6}" srcId="{CB339438-8F81-4836-B0D6-39E445779B2D}" destId="{438D9939-C1F5-4FB8-A207-F0C7DE6CBA69}" srcOrd="1" destOrd="0" parTransId="{A0A0EAD3-783C-4DF1-A92E-62289294F327}" sibTransId="{61BCE3C7-9560-4AEA-8DA8-239915B66C7E}"/>
    <dgm:cxn modelId="{F46BB1D8-B8A7-4372-B5E0-80B9E6AE26D8}" srcId="{CB339438-8F81-4836-B0D6-39E445779B2D}" destId="{FED73D90-A231-45ED-9608-50DB3A310825}" srcOrd="10" destOrd="0" parTransId="{9714E755-7258-49A9-86E0-2BB94B33C6A3}" sibTransId="{8459BC38-BE57-4A1F-8954-6DFDB6B43CE3}"/>
    <dgm:cxn modelId="{B9770FDA-37FF-43F8-A310-12FA30D16BC1}" srcId="{731B959C-F05A-4425-AA8A-A0CC576E0CD6}" destId="{E4529BFC-7FBA-401E-83DC-ED21706EC71E}" srcOrd="0" destOrd="0" parTransId="{75EC726F-0F1A-4A9A-AAA4-BA5A62E7EF13}" sibTransId="{2694060A-8504-46CC-B366-F826D32B0115}"/>
    <dgm:cxn modelId="{08E782DB-08EE-4B03-9729-6ED55AB6702C}" srcId="{71C93146-8DBD-47BA-9B89-8D2FF25B6FDE}" destId="{0C6DCA03-9E72-4D8D-8E20-6BB667ABB775}" srcOrd="5" destOrd="0" parTransId="{D3577232-1435-4B93-84AB-031FE67F897E}" sibTransId="{B45ABF13-D591-49E0-8D1F-A5BA7E1EEEA7}"/>
    <dgm:cxn modelId="{0C59FDDB-A7A2-439C-B82B-D292E1CE9119}" srcId="{71C93146-8DBD-47BA-9B89-8D2FF25B6FDE}" destId="{AEA10931-67D5-417F-A76E-45AB9B1C6A81}" srcOrd="4" destOrd="0" parTransId="{B0B738C3-BB85-4251-950F-D0DA9CF36DB7}" sibTransId="{65284B25-B563-441E-AA50-34820D568949}"/>
    <dgm:cxn modelId="{F308BAE7-1FBD-4455-84CE-6A223E953B08}" type="presOf" srcId="{7C0E973C-743C-470A-8B02-0F4E3FD93FC5}" destId="{211DDDCD-7378-4BEA-A98D-65ED33393EC4}" srcOrd="0" destOrd="0" presId="urn:microsoft.com/office/officeart/2005/8/layout/lProcess2"/>
    <dgm:cxn modelId="{98F8C8E7-1E09-4995-A193-68D1DB8F5229}" type="presOf" srcId="{1DCEF51C-F50A-4B0B-9902-33B322D5ADEF}" destId="{8BA67AC5-5D23-4E1E-BC34-5B51379E48E7}" srcOrd="0" destOrd="0" presId="urn:microsoft.com/office/officeart/2005/8/layout/lProcess2"/>
    <dgm:cxn modelId="{31858EE9-F261-41B5-A294-FE3B79DCA3B5}" type="presOf" srcId="{E4529BFC-7FBA-401E-83DC-ED21706EC71E}" destId="{F1F16BAE-86C3-4B1E-85EA-E74B55A21462}" srcOrd="0" destOrd="0" presId="urn:microsoft.com/office/officeart/2005/8/layout/lProcess2"/>
    <dgm:cxn modelId="{1EBBC1E9-9285-4F19-B422-0210E0C13317}" type="presOf" srcId="{0C6DCA03-9E72-4D8D-8E20-6BB667ABB775}" destId="{B80C5998-036C-422A-A67B-3EFA153DC555}" srcOrd="0" destOrd="0" presId="urn:microsoft.com/office/officeart/2005/8/layout/lProcess2"/>
    <dgm:cxn modelId="{D3A408EA-CE47-43F0-85B0-490CCD9D2957}" srcId="{CB339438-8F81-4836-B0D6-39E445779B2D}" destId="{4908B1CE-1E13-41F3-AC11-B5A77DB5626A}" srcOrd="8" destOrd="0" parTransId="{6BBCFD51-EEFF-4FC3-B808-F3D33D98FACC}" sibTransId="{90AAF411-650F-49AB-84C3-F88F32355E86}"/>
    <dgm:cxn modelId="{A2284DEA-3E3A-4830-89E4-1322DB7044F3}" type="presOf" srcId="{5788F799-C613-40C5-8761-BEA82B1C90FC}" destId="{1BF27B21-0FAC-4F32-B691-48071D34A960}" srcOrd="0" destOrd="0" presId="urn:microsoft.com/office/officeart/2005/8/layout/lProcess2"/>
    <dgm:cxn modelId="{31AD6CED-D4AF-43F4-824A-277B720C111A}" type="presOf" srcId="{39F506DE-50F1-49BE-9ED2-88EFDAE6F0E1}" destId="{D3D71071-A754-4C0E-9FFD-064FC19C1E19}" srcOrd="0" destOrd="0" presId="urn:microsoft.com/office/officeart/2005/8/layout/lProcess2"/>
    <dgm:cxn modelId="{DF4930EE-E080-4A33-A5A2-D0A164B70308}" srcId="{39F506DE-50F1-49BE-9ED2-88EFDAE6F0E1}" destId="{C73CB937-E35C-46A7-A528-03AE78F9430B}" srcOrd="4" destOrd="0" parTransId="{4C4481EF-620D-4181-8F00-31DC7C846A66}" sibTransId="{CF0C6F57-028A-4F8B-9B40-15B58322102D}"/>
    <dgm:cxn modelId="{55C2DFF2-EDBE-45FB-8FCB-121AEBAE19AA}" srcId="{35F91573-84CF-4D05-97CE-0E5A3583D4E6}" destId="{437562EF-45B9-4108-A430-E90D425350DB}" srcOrd="0" destOrd="0" parTransId="{5D122FFE-41EF-4D98-A656-471511B9F739}" sibTransId="{DA5646B2-415F-44CC-B454-6CDE34BFAF76}"/>
    <dgm:cxn modelId="{278649FD-1178-45A1-87B3-15E09DD30944}" srcId="{71C93146-8DBD-47BA-9B89-8D2FF25B6FDE}" destId="{D432DB11-412F-4D35-974F-D69F6D0B3FDA}" srcOrd="0" destOrd="0" parTransId="{18E4096D-0279-4B0D-9EA2-49664C0DCBCF}" sibTransId="{6A582335-4BD6-4203-A79B-1B668066A74A}"/>
    <dgm:cxn modelId="{5995BFFE-8AB2-43A6-86C3-1C23B66A9F14}" srcId="{CB339438-8F81-4836-B0D6-39E445779B2D}" destId="{3B574CCD-63EB-4E5C-A38D-7AA05C571F3B}" srcOrd="11" destOrd="0" parTransId="{E3D17962-1BB9-40BF-A36B-BEEBC3E1DE31}" sibTransId="{C02361AD-766D-4D85-8840-CEB6BDBD83F9}"/>
    <dgm:cxn modelId="{6E0B65FF-72C9-40FD-85BC-A5156040980D}" type="presOf" srcId="{4908B1CE-1E13-41F3-AC11-B5A77DB5626A}" destId="{8E2F0041-E7A9-4A20-910C-CBEDC8B777CC}" srcOrd="0" destOrd="0" presId="urn:microsoft.com/office/officeart/2005/8/layout/lProcess2"/>
    <dgm:cxn modelId="{A056049E-86FE-43ED-9099-2C4CAD749607}" type="presParOf" srcId="{7D112E5F-5E8D-4BAC-B50E-86C24ABA9E6B}" destId="{4301FABA-D3E5-4FCD-BE6A-B0CB16ED0DEF}" srcOrd="0" destOrd="0" presId="urn:microsoft.com/office/officeart/2005/8/layout/lProcess2"/>
    <dgm:cxn modelId="{9710DC8F-A5A1-4A41-93C5-EA85A8B4D188}" type="presParOf" srcId="{4301FABA-D3E5-4FCD-BE6A-B0CB16ED0DEF}" destId="{4470F352-0887-4B4E-81B9-385C6AD8A1EF}" srcOrd="0" destOrd="0" presId="urn:microsoft.com/office/officeart/2005/8/layout/lProcess2"/>
    <dgm:cxn modelId="{279D81FD-8D40-42F4-81DB-F1CF196C4F81}" type="presParOf" srcId="{4301FABA-D3E5-4FCD-BE6A-B0CB16ED0DEF}" destId="{F05B5A65-AC5E-407E-B187-D515ADC27144}" srcOrd="1" destOrd="0" presId="urn:microsoft.com/office/officeart/2005/8/layout/lProcess2"/>
    <dgm:cxn modelId="{E7D0C837-2334-4C52-8527-CB3D48AD8BDF}" type="presParOf" srcId="{4301FABA-D3E5-4FCD-BE6A-B0CB16ED0DEF}" destId="{A624F00D-DAF2-4670-AA4A-208C7DFEA3B7}" srcOrd="2" destOrd="0" presId="urn:microsoft.com/office/officeart/2005/8/layout/lProcess2"/>
    <dgm:cxn modelId="{9BD7A6B7-DE8C-4A03-B765-9729003F4BF2}" type="presParOf" srcId="{A624F00D-DAF2-4670-AA4A-208C7DFEA3B7}" destId="{533A268E-215C-474A-8A7A-CC045A7FFEC3}" srcOrd="0" destOrd="0" presId="urn:microsoft.com/office/officeart/2005/8/layout/lProcess2"/>
    <dgm:cxn modelId="{7324FF2D-26D8-4571-8B0E-ECB986A64C0C}" type="presParOf" srcId="{533A268E-215C-474A-8A7A-CC045A7FFEC3}" destId="{D9D4FC23-0730-4C6A-92D3-55905B566BDA}" srcOrd="0" destOrd="0" presId="urn:microsoft.com/office/officeart/2005/8/layout/lProcess2"/>
    <dgm:cxn modelId="{BA76495D-6FBA-4905-9F98-7DEDAC294293}" type="presParOf" srcId="{533A268E-215C-474A-8A7A-CC045A7FFEC3}" destId="{7CC912D5-C980-4E1E-9C52-57A9CBD43DD8}" srcOrd="1" destOrd="0" presId="urn:microsoft.com/office/officeart/2005/8/layout/lProcess2"/>
    <dgm:cxn modelId="{BAE869BE-CF87-4841-89B3-B743F6E26BFD}" type="presParOf" srcId="{533A268E-215C-474A-8A7A-CC045A7FFEC3}" destId="{B92FF65D-7314-4281-8C61-D2E02ABB453E}" srcOrd="2" destOrd="0" presId="urn:microsoft.com/office/officeart/2005/8/layout/lProcess2"/>
    <dgm:cxn modelId="{A4C56D76-F2CC-4AB3-A280-833535A82A01}" type="presParOf" srcId="{533A268E-215C-474A-8A7A-CC045A7FFEC3}" destId="{73953B14-DABE-4B45-B824-FBE124E351EA}" srcOrd="3" destOrd="0" presId="urn:microsoft.com/office/officeart/2005/8/layout/lProcess2"/>
    <dgm:cxn modelId="{FED760C4-E4C7-44F5-A29C-348CCD3D2269}" type="presParOf" srcId="{533A268E-215C-474A-8A7A-CC045A7FFEC3}" destId="{8BA67AC5-5D23-4E1E-BC34-5B51379E48E7}" srcOrd="4" destOrd="0" presId="urn:microsoft.com/office/officeart/2005/8/layout/lProcess2"/>
    <dgm:cxn modelId="{379D47EA-1A3E-483B-A77E-BF8632C09DDB}" type="presParOf" srcId="{533A268E-215C-474A-8A7A-CC045A7FFEC3}" destId="{90BBE37B-DDB2-4AAE-AB19-880B559F56DA}" srcOrd="5" destOrd="0" presId="urn:microsoft.com/office/officeart/2005/8/layout/lProcess2"/>
    <dgm:cxn modelId="{454A79F9-BB7B-4EFA-BF2D-5045174A9C19}" type="presParOf" srcId="{533A268E-215C-474A-8A7A-CC045A7FFEC3}" destId="{EE4F65C3-F61D-4F57-82E6-6248AF681702}" srcOrd="6" destOrd="0" presId="urn:microsoft.com/office/officeart/2005/8/layout/lProcess2"/>
    <dgm:cxn modelId="{3B719333-B040-4E1C-904F-1887631B316A}" type="presParOf" srcId="{533A268E-215C-474A-8A7A-CC045A7FFEC3}" destId="{59A96A6C-4DA1-40BF-BF04-0514F78121CF}" srcOrd="7" destOrd="0" presId="urn:microsoft.com/office/officeart/2005/8/layout/lProcess2"/>
    <dgm:cxn modelId="{79BAC0C6-5822-4545-A904-A28FE855EAA1}" type="presParOf" srcId="{533A268E-215C-474A-8A7A-CC045A7FFEC3}" destId="{4AA2C2D8-38AC-49A4-B325-32683F44EAF4}" srcOrd="8" destOrd="0" presId="urn:microsoft.com/office/officeart/2005/8/layout/lProcess2"/>
    <dgm:cxn modelId="{0AD70405-EF2F-4ABC-8222-4472616F97A7}" type="presParOf" srcId="{533A268E-215C-474A-8A7A-CC045A7FFEC3}" destId="{660A3C69-90FE-49F7-90AF-6D0370DB9A7D}" srcOrd="9" destOrd="0" presId="urn:microsoft.com/office/officeart/2005/8/layout/lProcess2"/>
    <dgm:cxn modelId="{D1558DD3-7A05-4534-8EE9-D9366F325865}" type="presParOf" srcId="{533A268E-215C-474A-8A7A-CC045A7FFEC3}" destId="{211DDDCD-7378-4BEA-A98D-65ED33393EC4}" srcOrd="10" destOrd="0" presId="urn:microsoft.com/office/officeart/2005/8/layout/lProcess2"/>
    <dgm:cxn modelId="{EC334A76-5583-4F2A-973A-E9AD86B4709D}" type="presParOf" srcId="{7D112E5F-5E8D-4BAC-B50E-86C24ABA9E6B}" destId="{C16AB182-874D-4807-9AFD-D4E1B87B6A38}" srcOrd="1" destOrd="0" presId="urn:microsoft.com/office/officeart/2005/8/layout/lProcess2"/>
    <dgm:cxn modelId="{74F1208B-3AF7-4357-B024-6D1FB2CECDE9}" type="presParOf" srcId="{7D112E5F-5E8D-4BAC-B50E-86C24ABA9E6B}" destId="{DDC1624A-B4AF-45C4-96AB-6684F5D040BE}" srcOrd="2" destOrd="0" presId="urn:microsoft.com/office/officeart/2005/8/layout/lProcess2"/>
    <dgm:cxn modelId="{727F27BE-AE0D-4B68-B42B-596CF09531AD}" type="presParOf" srcId="{DDC1624A-B4AF-45C4-96AB-6684F5D040BE}" destId="{54671E33-5AC7-4CD0-91C9-A60A47022F3E}" srcOrd="0" destOrd="0" presId="urn:microsoft.com/office/officeart/2005/8/layout/lProcess2"/>
    <dgm:cxn modelId="{793EEAE4-420B-4D3B-A88A-F2136FA1A235}" type="presParOf" srcId="{DDC1624A-B4AF-45C4-96AB-6684F5D040BE}" destId="{6480FF0A-C4CA-4878-B3DC-5C3D2BC5401E}" srcOrd="1" destOrd="0" presId="urn:microsoft.com/office/officeart/2005/8/layout/lProcess2"/>
    <dgm:cxn modelId="{94B84977-A4F6-4448-9D58-685A72097A15}" type="presParOf" srcId="{DDC1624A-B4AF-45C4-96AB-6684F5D040BE}" destId="{A367C46E-BD57-4EAA-AAC8-349DD5760DC9}" srcOrd="2" destOrd="0" presId="urn:microsoft.com/office/officeart/2005/8/layout/lProcess2"/>
    <dgm:cxn modelId="{9DE71FA0-C308-4A6D-A79A-627AB6B9ABD9}" type="presParOf" srcId="{A367C46E-BD57-4EAA-AAC8-349DD5760DC9}" destId="{10201B17-1614-4D45-8D1F-E89E82CE147B}" srcOrd="0" destOrd="0" presId="urn:microsoft.com/office/officeart/2005/8/layout/lProcess2"/>
    <dgm:cxn modelId="{D0FA15DF-8E4C-43E8-8963-439CDA7DA1A7}" type="presParOf" srcId="{10201B17-1614-4D45-8D1F-E89E82CE147B}" destId="{851ADC3A-49E7-4E47-85D5-1526996F9E82}" srcOrd="0" destOrd="0" presId="urn:microsoft.com/office/officeart/2005/8/layout/lProcess2"/>
    <dgm:cxn modelId="{3AA689DB-203D-4171-99FB-0BE87B9A0AE4}" type="presParOf" srcId="{10201B17-1614-4D45-8D1F-E89E82CE147B}" destId="{F642ADEF-7912-4FAB-96A5-F1EF877DDD81}" srcOrd="1" destOrd="0" presId="urn:microsoft.com/office/officeart/2005/8/layout/lProcess2"/>
    <dgm:cxn modelId="{3D13D91E-9EA8-4C9F-B096-CB8EC062E9D8}" type="presParOf" srcId="{10201B17-1614-4D45-8D1F-E89E82CE147B}" destId="{10F88D14-C566-4EFF-B18E-BA4F68CFFBB9}" srcOrd="2" destOrd="0" presId="urn:microsoft.com/office/officeart/2005/8/layout/lProcess2"/>
    <dgm:cxn modelId="{DA80948C-39DC-44AC-A62F-503BF31B0ACF}" type="presParOf" srcId="{10201B17-1614-4D45-8D1F-E89E82CE147B}" destId="{F801D632-B2AB-4C80-9B03-A252128DC279}" srcOrd="3" destOrd="0" presId="urn:microsoft.com/office/officeart/2005/8/layout/lProcess2"/>
    <dgm:cxn modelId="{9D0FDF80-A8F2-4B58-8C92-F2F1C6F57070}" type="presParOf" srcId="{10201B17-1614-4D45-8D1F-E89E82CE147B}" destId="{9CE9E257-D948-4ED8-B93B-3F31494CC27F}" srcOrd="4" destOrd="0" presId="urn:microsoft.com/office/officeart/2005/8/layout/lProcess2"/>
    <dgm:cxn modelId="{408BA29D-992F-4C12-8387-F03150893D24}" type="presParOf" srcId="{10201B17-1614-4D45-8D1F-E89E82CE147B}" destId="{8B2FBECB-0EDB-4509-946F-1DC0E9661980}" srcOrd="5" destOrd="0" presId="urn:microsoft.com/office/officeart/2005/8/layout/lProcess2"/>
    <dgm:cxn modelId="{F4507CA5-8454-489A-975E-CB0B84786B1A}" type="presParOf" srcId="{10201B17-1614-4D45-8D1F-E89E82CE147B}" destId="{67114D93-E06F-4DAA-BCFB-6E5088AA4903}" srcOrd="6" destOrd="0" presId="urn:microsoft.com/office/officeart/2005/8/layout/lProcess2"/>
    <dgm:cxn modelId="{9202E01E-D7AC-498F-A857-8D12D9EF9D90}" type="presParOf" srcId="{10201B17-1614-4D45-8D1F-E89E82CE147B}" destId="{EFE7404F-70C7-4633-9057-3F324B62F2F9}" srcOrd="7" destOrd="0" presId="urn:microsoft.com/office/officeart/2005/8/layout/lProcess2"/>
    <dgm:cxn modelId="{AF936653-23E5-466E-8FD8-2C29FB3FEF14}" type="presParOf" srcId="{10201B17-1614-4D45-8D1F-E89E82CE147B}" destId="{C50B8762-916F-458A-91A1-E49668139917}" srcOrd="8" destOrd="0" presId="urn:microsoft.com/office/officeart/2005/8/layout/lProcess2"/>
    <dgm:cxn modelId="{74A19387-49A4-4830-B6E6-CEB011F3864D}" type="presParOf" srcId="{10201B17-1614-4D45-8D1F-E89E82CE147B}" destId="{D04DAC56-5217-4255-B900-13027F3F77E4}" srcOrd="9" destOrd="0" presId="urn:microsoft.com/office/officeart/2005/8/layout/lProcess2"/>
    <dgm:cxn modelId="{291F7F6B-AA86-4025-AC3E-703F13C5E721}" type="presParOf" srcId="{10201B17-1614-4D45-8D1F-E89E82CE147B}" destId="{B80C5998-036C-422A-A67B-3EFA153DC555}" srcOrd="10" destOrd="0" presId="urn:microsoft.com/office/officeart/2005/8/layout/lProcess2"/>
    <dgm:cxn modelId="{46448646-0888-4EC0-9809-A70FB19E08FB}" type="presParOf" srcId="{10201B17-1614-4D45-8D1F-E89E82CE147B}" destId="{3B3F4C04-5C10-43C4-A818-4800CC678596}" srcOrd="11" destOrd="0" presId="urn:microsoft.com/office/officeart/2005/8/layout/lProcess2"/>
    <dgm:cxn modelId="{A195BBA6-9F9A-4AD1-BD73-E275DF328B8C}" type="presParOf" srcId="{10201B17-1614-4D45-8D1F-E89E82CE147B}" destId="{253B22F4-8A1D-4683-A75D-F533A591C1F5}" srcOrd="12" destOrd="0" presId="urn:microsoft.com/office/officeart/2005/8/layout/lProcess2"/>
    <dgm:cxn modelId="{11CA5AAE-D157-47BD-BB2E-B350930ABA13}" type="presParOf" srcId="{10201B17-1614-4D45-8D1F-E89E82CE147B}" destId="{498BE8EE-D893-4411-B2FB-2F730B789131}" srcOrd="13" destOrd="0" presId="urn:microsoft.com/office/officeart/2005/8/layout/lProcess2"/>
    <dgm:cxn modelId="{2719B3B2-8DE5-4B14-9D45-455D9E6904B7}" type="presParOf" srcId="{10201B17-1614-4D45-8D1F-E89E82CE147B}" destId="{C99F83CB-8249-4820-A5BE-6174F687C561}" srcOrd="14" destOrd="0" presId="urn:microsoft.com/office/officeart/2005/8/layout/lProcess2"/>
    <dgm:cxn modelId="{19FA7A70-1A7B-405C-8C9F-A0EB42071384}" type="presParOf" srcId="{7D112E5F-5E8D-4BAC-B50E-86C24ABA9E6B}" destId="{E1E0E8BA-EBC3-4F70-B3ED-DB8A17482F28}" srcOrd="3" destOrd="0" presId="urn:microsoft.com/office/officeart/2005/8/layout/lProcess2"/>
    <dgm:cxn modelId="{29349B50-153A-43D1-AA95-E2633D2BAA0F}" type="presParOf" srcId="{7D112E5F-5E8D-4BAC-B50E-86C24ABA9E6B}" destId="{402D373B-B130-4BCE-B754-88E874A8BA2F}" srcOrd="4" destOrd="0" presId="urn:microsoft.com/office/officeart/2005/8/layout/lProcess2"/>
    <dgm:cxn modelId="{4C4DF165-B39C-42F3-BF0D-8F2721C8088F}" type="presParOf" srcId="{402D373B-B130-4BCE-B754-88E874A8BA2F}" destId="{6D56517E-766B-45C1-B3BA-03A92A9F1628}" srcOrd="0" destOrd="0" presId="urn:microsoft.com/office/officeart/2005/8/layout/lProcess2"/>
    <dgm:cxn modelId="{B6F48FD7-59C7-4558-A446-40E4A21E2FE9}" type="presParOf" srcId="{402D373B-B130-4BCE-B754-88E874A8BA2F}" destId="{3D88E221-0C0B-49C5-BB85-D37F5241594C}" srcOrd="1" destOrd="0" presId="urn:microsoft.com/office/officeart/2005/8/layout/lProcess2"/>
    <dgm:cxn modelId="{B2540334-EEF1-4C03-A15D-E38BC4D2BFDE}" type="presParOf" srcId="{402D373B-B130-4BCE-B754-88E874A8BA2F}" destId="{FC127A81-509B-4C31-A143-B820FFD61064}" srcOrd="2" destOrd="0" presId="urn:microsoft.com/office/officeart/2005/8/layout/lProcess2"/>
    <dgm:cxn modelId="{30B8A702-3504-4149-B1D6-B5E2C309E86A}" type="presParOf" srcId="{FC127A81-509B-4C31-A143-B820FFD61064}" destId="{E3A1EC06-F8F1-47EA-A4C0-7BCCDF995841}" srcOrd="0" destOrd="0" presId="urn:microsoft.com/office/officeart/2005/8/layout/lProcess2"/>
    <dgm:cxn modelId="{1F598639-395E-4A74-8D46-D6194C90E113}" type="presParOf" srcId="{E3A1EC06-F8F1-47EA-A4C0-7BCCDF995841}" destId="{A239EC8B-8508-4BCF-8FEB-C4B29C102781}" srcOrd="0" destOrd="0" presId="urn:microsoft.com/office/officeart/2005/8/layout/lProcess2"/>
    <dgm:cxn modelId="{B73DD717-E1F0-4B43-9420-2009A3ED0853}" type="presParOf" srcId="{E3A1EC06-F8F1-47EA-A4C0-7BCCDF995841}" destId="{DF1C0E16-9921-47F0-A6F2-1E91F143E5F6}" srcOrd="1" destOrd="0" presId="urn:microsoft.com/office/officeart/2005/8/layout/lProcess2"/>
    <dgm:cxn modelId="{E94FDE2E-2F72-40E9-9188-E0A71326CA95}" type="presParOf" srcId="{E3A1EC06-F8F1-47EA-A4C0-7BCCDF995841}" destId="{3F43A9C7-A3FB-4D08-965C-D2FF2D56DEF9}" srcOrd="2" destOrd="0" presId="urn:microsoft.com/office/officeart/2005/8/layout/lProcess2"/>
    <dgm:cxn modelId="{3483A06C-98B9-4A27-AEC1-404555C50563}" type="presParOf" srcId="{E3A1EC06-F8F1-47EA-A4C0-7BCCDF995841}" destId="{990D9734-B5DC-4C37-8167-62C50ED668C3}" srcOrd="3" destOrd="0" presId="urn:microsoft.com/office/officeart/2005/8/layout/lProcess2"/>
    <dgm:cxn modelId="{97DDADE8-34DD-4A70-ACC9-B0CB0C999F80}" type="presParOf" srcId="{E3A1EC06-F8F1-47EA-A4C0-7BCCDF995841}" destId="{C2D31149-D845-48F1-A98F-89A487B49698}" srcOrd="4" destOrd="0" presId="urn:microsoft.com/office/officeart/2005/8/layout/lProcess2"/>
    <dgm:cxn modelId="{CEDF59A9-AF94-4584-BEE0-55747538992D}" type="presParOf" srcId="{E3A1EC06-F8F1-47EA-A4C0-7BCCDF995841}" destId="{50D82E75-2A28-45B1-AC5E-406ED42D34DA}" srcOrd="5" destOrd="0" presId="urn:microsoft.com/office/officeart/2005/8/layout/lProcess2"/>
    <dgm:cxn modelId="{036E69B9-5A11-485A-9126-070D0FE17D59}" type="presParOf" srcId="{E3A1EC06-F8F1-47EA-A4C0-7BCCDF995841}" destId="{307F1E4F-0554-4C37-A560-635EFC728D02}" srcOrd="6" destOrd="0" presId="urn:microsoft.com/office/officeart/2005/8/layout/lProcess2"/>
    <dgm:cxn modelId="{2EB411DA-5868-4B38-932A-5E89B22537DD}" type="presParOf" srcId="{E3A1EC06-F8F1-47EA-A4C0-7BCCDF995841}" destId="{01098CA1-3D93-4027-BB8F-2F32626E5743}" srcOrd="7" destOrd="0" presId="urn:microsoft.com/office/officeart/2005/8/layout/lProcess2"/>
    <dgm:cxn modelId="{DC1B3A25-561E-4A9C-A07E-D51AABB2C459}" type="presParOf" srcId="{E3A1EC06-F8F1-47EA-A4C0-7BCCDF995841}" destId="{3D1E60B4-E52B-42E4-8458-6ACEB0512CD6}" srcOrd="8" destOrd="0" presId="urn:microsoft.com/office/officeart/2005/8/layout/lProcess2"/>
    <dgm:cxn modelId="{1D3F7231-AA30-4ADC-8CAD-782A0FF2002D}" type="presParOf" srcId="{E3A1EC06-F8F1-47EA-A4C0-7BCCDF995841}" destId="{7CD52AD0-9ED4-48C8-8278-5C1DFF87B8B2}" srcOrd="9" destOrd="0" presId="urn:microsoft.com/office/officeart/2005/8/layout/lProcess2"/>
    <dgm:cxn modelId="{2573789E-74DE-4EAB-BB80-617A2AE80485}" type="presParOf" srcId="{E3A1EC06-F8F1-47EA-A4C0-7BCCDF995841}" destId="{8C2946A0-576E-4808-9C92-02BFFF0C7D6F}" srcOrd="10" destOrd="0" presId="urn:microsoft.com/office/officeart/2005/8/layout/lProcess2"/>
    <dgm:cxn modelId="{708AA570-C284-4773-A6C3-01C0108D0E5A}" type="presParOf" srcId="{E3A1EC06-F8F1-47EA-A4C0-7BCCDF995841}" destId="{A4848201-0A73-4ACD-8887-C345506F6A64}" srcOrd="11" destOrd="0" presId="urn:microsoft.com/office/officeart/2005/8/layout/lProcess2"/>
    <dgm:cxn modelId="{D664BD6C-0DCB-4D0B-8F64-4B11157CAA9D}" type="presParOf" srcId="{E3A1EC06-F8F1-47EA-A4C0-7BCCDF995841}" destId="{91059573-C0DD-4A23-8D59-F5A921FF13B2}" srcOrd="12" destOrd="0" presId="urn:microsoft.com/office/officeart/2005/8/layout/lProcess2"/>
    <dgm:cxn modelId="{4DEF6D3E-D3C4-4989-8432-725A8FA2F5AB}" type="presParOf" srcId="{E3A1EC06-F8F1-47EA-A4C0-7BCCDF995841}" destId="{5404AF4D-4CB9-4A16-BECC-35CCBB601BBF}" srcOrd="13" destOrd="0" presId="urn:microsoft.com/office/officeart/2005/8/layout/lProcess2"/>
    <dgm:cxn modelId="{6612C839-C6EC-4196-9EE7-D83332F66C7B}" type="presParOf" srcId="{E3A1EC06-F8F1-47EA-A4C0-7BCCDF995841}" destId="{14016185-EE9F-4C64-9998-4EC5312A4113}" srcOrd="14" destOrd="0" presId="urn:microsoft.com/office/officeart/2005/8/layout/lProcess2"/>
    <dgm:cxn modelId="{45D7BFE9-51F6-442A-8BC7-B9FDC13A991A}" type="presParOf" srcId="{E3A1EC06-F8F1-47EA-A4C0-7BCCDF995841}" destId="{1C840F3E-50CB-45CC-9E9F-1E96428A0ACE}" srcOrd="15" destOrd="0" presId="urn:microsoft.com/office/officeart/2005/8/layout/lProcess2"/>
    <dgm:cxn modelId="{4EA2DF3C-6EDE-4D72-AEA2-197A9E86A9DF}" type="presParOf" srcId="{E3A1EC06-F8F1-47EA-A4C0-7BCCDF995841}" destId="{8E2F0041-E7A9-4A20-910C-CBEDC8B777CC}" srcOrd="16" destOrd="0" presId="urn:microsoft.com/office/officeart/2005/8/layout/lProcess2"/>
    <dgm:cxn modelId="{A5932158-9CDB-4417-9B9C-A5EDAB034C07}" type="presParOf" srcId="{E3A1EC06-F8F1-47EA-A4C0-7BCCDF995841}" destId="{50312EBE-AD4B-48DB-852A-66670AB2A445}" srcOrd="17" destOrd="0" presId="urn:microsoft.com/office/officeart/2005/8/layout/lProcess2"/>
    <dgm:cxn modelId="{6D03D927-D21C-4B1C-937F-345C6F3C87E6}" type="presParOf" srcId="{E3A1EC06-F8F1-47EA-A4C0-7BCCDF995841}" destId="{38C7B200-636A-4821-8B86-81A7AD31BC87}" srcOrd="18" destOrd="0" presId="urn:microsoft.com/office/officeart/2005/8/layout/lProcess2"/>
    <dgm:cxn modelId="{59210D55-A50A-44EC-89A8-BD1109F1021B}" type="presParOf" srcId="{E3A1EC06-F8F1-47EA-A4C0-7BCCDF995841}" destId="{AF7C44FF-884C-4817-BFAA-185074F6D3C4}" srcOrd="19" destOrd="0" presId="urn:microsoft.com/office/officeart/2005/8/layout/lProcess2"/>
    <dgm:cxn modelId="{77E1BB66-C623-458C-A232-1D6D72884DFE}" type="presParOf" srcId="{E3A1EC06-F8F1-47EA-A4C0-7BCCDF995841}" destId="{57100ECE-9B3C-4CC3-A9C1-48AD6F34D07B}" srcOrd="20" destOrd="0" presId="urn:microsoft.com/office/officeart/2005/8/layout/lProcess2"/>
    <dgm:cxn modelId="{5649FC69-DBAF-43D9-8042-2C00E11011B2}" type="presParOf" srcId="{E3A1EC06-F8F1-47EA-A4C0-7BCCDF995841}" destId="{163D4008-88A0-4245-8B4E-E4DCAA81960D}" srcOrd="21" destOrd="0" presId="urn:microsoft.com/office/officeart/2005/8/layout/lProcess2"/>
    <dgm:cxn modelId="{B58F6FD2-FC41-466F-BDE8-2C172323E7A4}" type="presParOf" srcId="{E3A1EC06-F8F1-47EA-A4C0-7BCCDF995841}" destId="{6E74EA93-ADBE-4F7A-B808-B9FC1E99F407}" srcOrd="22" destOrd="0" presId="urn:microsoft.com/office/officeart/2005/8/layout/lProcess2"/>
    <dgm:cxn modelId="{C86D483B-96A4-40B4-907D-6EAC7E4CD481}" type="presParOf" srcId="{E3A1EC06-F8F1-47EA-A4C0-7BCCDF995841}" destId="{05C635B4-C903-4E65-AA2C-F4B1BC918E30}" srcOrd="23" destOrd="0" presId="urn:microsoft.com/office/officeart/2005/8/layout/lProcess2"/>
    <dgm:cxn modelId="{475C23E5-CD3E-4815-8585-F66063666A2C}" type="presParOf" srcId="{E3A1EC06-F8F1-47EA-A4C0-7BCCDF995841}" destId="{67271954-A6BD-40EC-BD45-3A2CBE7B6109}" srcOrd="24" destOrd="0" presId="urn:microsoft.com/office/officeart/2005/8/layout/lProcess2"/>
    <dgm:cxn modelId="{308373E9-75DB-4E51-9A14-F526CECC9310}" type="presParOf" srcId="{E3A1EC06-F8F1-47EA-A4C0-7BCCDF995841}" destId="{B6CC2937-D91B-4C70-AEA4-BB410A6F4608}" srcOrd="25" destOrd="0" presId="urn:microsoft.com/office/officeart/2005/8/layout/lProcess2"/>
    <dgm:cxn modelId="{BBE17C53-CE25-47E1-B4D1-74D83E7745BF}" type="presParOf" srcId="{E3A1EC06-F8F1-47EA-A4C0-7BCCDF995841}" destId="{A0625715-5C06-476B-97BA-6A2EC0BDF26A}" srcOrd="26" destOrd="0" presId="urn:microsoft.com/office/officeart/2005/8/layout/lProcess2"/>
    <dgm:cxn modelId="{0AC80DD8-3BEC-4952-B6DE-AF90259CE7B2}" type="presParOf" srcId="{7D112E5F-5E8D-4BAC-B50E-86C24ABA9E6B}" destId="{3E1558C7-1B44-4DF1-9150-BC01D24B90ED}" srcOrd="5" destOrd="0" presId="urn:microsoft.com/office/officeart/2005/8/layout/lProcess2"/>
    <dgm:cxn modelId="{3C952C8B-3A52-403F-A6F3-5561A9C3464D}" type="presParOf" srcId="{7D112E5F-5E8D-4BAC-B50E-86C24ABA9E6B}" destId="{8A5ABB40-4AF3-4F54-8A23-25AF2440FB8F}" srcOrd="6" destOrd="0" presId="urn:microsoft.com/office/officeart/2005/8/layout/lProcess2"/>
    <dgm:cxn modelId="{EFFFF2BB-0F41-494E-ADC2-859E75BC9C74}" type="presParOf" srcId="{8A5ABB40-4AF3-4F54-8A23-25AF2440FB8F}" destId="{D3D71071-A754-4C0E-9FFD-064FC19C1E19}" srcOrd="0" destOrd="0" presId="urn:microsoft.com/office/officeart/2005/8/layout/lProcess2"/>
    <dgm:cxn modelId="{C80A7A74-C622-42E3-86FF-235E26E77346}" type="presParOf" srcId="{8A5ABB40-4AF3-4F54-8A23-25AF2440FB8F}" destId="{7B18AFFD-E121-412C-9D04-2A61C280EF92}" srcOrd="1" destOrd="0" presId="urn:microsoft.com/office/officeart/2005/8/layout/lProcess2"/>
    <dgm:cxn modelId="{6EDD2137-29B6-432F-8A7C-C8E99A15BBF3}" type="presParOf" srcId="{8A5ABB40-4AF3-4F54-8A23-25AF2440FB8F}" destId="{6464E99A-573D-4147-88DF-98BE15D9D1B3}" srcOrd="2" destOrd="0" presId="urn:microsoft.com/office/officeart/2005/8/layout/lProcess2"/>
    <dgm:cxn modelId="{3971B6C4-FAF4-4BBD-85C1-C230D1137D55}" type="presParOf" srcId="{6464E99A-573D-4147-88DF-98BE15D9D1B3}" destId="{9429677E-75CB-407F-90AA-2397BCA125A9}" srcOrd="0" destOrd="0" presId="urn:microsoft.com/office/officeart/2005/8/layout/lProcess2"/>
    <dgm:cxn modelId="{339FB0A5-324F-40B8-8252-74F01619B08E}" type="presParOf" srcId="{9429677E-75CB-407F-90AA-2397BCA125A9}" destId="{5FFDAE0D-01DD-4F48-856B-01906FDFAC4D}" srcOrd="0" destOrd="0" presId="urn:microsoft.com/office/officeart/2005/8/layout/lProcess2"/>
    <dgm:cxn modelId="{4EFDAB99-74E6-497F-B539-B12513908C99}" type="presParOf" srcId="{9429677E-75CB-407F-90AA-2397BCA125A9}" destId="{60D1828E-3849-4FD2-B0B7-E09590FEA5A9}" srcOrd="1" destOrd="0" presId="urn:microsoft.com/office/officeart/2005/8/layout/lProcess2"/>
    <dgm:cxn modelId="{7DFFD8BC-4D0D-4055-92DF-64AED45DB561}" type="presParOf" srcId="{9429677E-75CB-407F-90AA-2397BCA125A9}" destId="{7BE6FBB6-2C7F-4090-924E-AD3A157FFABE}" srcOrd="2" destOrd="0" presId="urn:microsoft.com/office/officeart/2005/8/layout/lProcess2"/>
    <dgm:cxn modelId="{476A1405-CCDB-4DEA-94B4-04705F09949A}" type="presParOf" srcId="{9429677E-75CB-407F-90AA-2397BCA125A9}" destId="{EB50AF21-1867-4AFD-9D93-5104C82232E5}" srcOrd="3" destOrd="0" presId="urn:microsoft.com/office/officeart/2005/8/layout/lProcess2"/>
    <dgm:cxn modelId="{1AA3931C-C6CA-4123-8B71-201AC9573086}" type="presParOf" srcId="{9429677E-75CB-407F-90AA-2397BCA125A9}" destId="{1BF27B21-0FAC-4F32-B691-48071D34A960}" srcOrd="4" destOrd="0" presId="urn:microsoft.com/office/officeart/2005/8/layout/lProcess2"/>
    <dgm:cxn modelId="{48F04CA5-9E03-463D-914D-04A3FB584A8B}" type="presParOf" srcId="{9429677E-75CB-407F-90AA-2397BCA125A9}" destId="{E10D0A9F-4D55-40F0-920D-07936253DA14}" srcOrd="5" destOrd="0" presId="urn:microsoft.com/office/officeart/2005/8/layout/lProcess2"/>
    <dgm:cxn modelId="{1390E960-1F36-451B-A5E2-D73DDABA1B25}" type="presParOf" srcId="{9429677E-75CB-407F-90AA-2397BCA125A9}" destId="{9821E4E8-E247-4525-A9DD-43D8B524714D}" srcOrd="6" destOrd="0" presId="urn:microsoft.com/office/officeart/2005/8/layout/lProcess2"/>
    <dgm:cxn modelId="{E74D2205-B9B3-4F3A-9F3E-EADDDDCE4864}" type="presParOf" srcId="{9429677E-75CB-407F-90AA-2397BCA125A9}" destId="{01482FE3-B603-4D03-A6E2-136BA9F2BD0C}" srcOrd="7" destOrd="0" presId="urn:microsoft.com/office/officeart/2005/8/layout/lProcess2"/>
    <dgm:cxn modelId="{6098A5D6-09B8-4439-B5F7-B9F97617A3B4}" type="presParOf" srcId="{9429677E-75CB-407F-90AA-2397BCA125A9}" destId="{6081A0E7-3270-44D0-B4CD-B69CEEB69F68}" srcOrd="8" destOrd="0" presId="urn:microsoft.com/office/officeart/2005/8/layout/lProcess2"/>
    <dgm:cxn modelId="{B58F1AC7-5271-4B2D-86CE-2CEA1F7582C7}" type="presParOf" srcId="{7D112E5F-5E8D-4BAC-B50E-86C24ABA9E6B}" destId="{2F25DA26-E475-4DCC-81D7-E51A03860FE1}" srcOrd="7" destOrd="0" presId="urn:microsoft.com/office/officeart/2005/8/layout/lProcess2"/>
    <dgm:cxn modelId="{92572A93-D97B-428F-B729-08CA10B5C713}" type="presParOf" srcId="{7D112E5F-5E8D-4BAC-B50E-86C24ABA9E6B}" destId="{7945454D-625D-4AB2-B97D-5B3833EB7F93}" srcOrd="8" destOrd="0" presId="urn:microsoft.com/office/officeart/2005/8/layout/lProcess2"/>
    <dgm:cxn modelId="{E8011017-626A-476A-9012-08B6A5593BBC}" type="presParOf" srcId="{7945454D-625D-4AB2-B97D-5B3833EB7F93}" destId="{8387A50E-865C-4F7E-BAF7-78F89B5F3C88}" srcOrd="0" destOrd="0" presId="urn:microsoft.com/office/officeart/2005/8/layout/lProcess2"/>
    <dgm:cxn modelId="{F88250FA-C354-46E5-BFB3-7652F26A4928}" type="presParOf" srcId="{7945454D-625D-4AB2-B97D-5B3833EB7F93}" destId="{639BD1C7-0242-4D12-913E-B2E949B465C2}" srcOrd="1" destOrd="0" presId="urn:microsoft.com/office/officeart/2005/8/layout/lProcess2"/>
    <dgm:cxn modelId="{E90E3D55-052A-4957-83C5-A692D1735657}" type="presParOf" srcId="{7945454D-625D-4AB2-B97D-5B3833EB7F93}" destId="{CEC341EC-BD97-4257-ACDD-A06B55818C2D}" srcOrd="2" destOrd="0" presId="urn:microsoft.com/office/officeart/2005/8/layout/lProcess2"/>
    <dgm:cxn modelId="{D7913AEA-BDEB-48B0-A9DD-A233B47DFEDE}" type="presParOf" srcId="{CEC341EC-BD97-4257-ACDD-A06B55818C2D}" destId="{AEC892E2-6604-443A-A67F-53AE05637B15}" srcOrd="0" destOrd="0" presId="urn:microsoft.com/office/officeart/2005/8/layout/lProcess2"/>
    <dgm:cxn modelId="{6EAAA6FF-DF37-4587-9849-AB37A71481B1}" type="presParOf" srcId="{AEC892E2-6604-443A-A67F-53AE05637B15}" destId="{45ED17EB-782D-462A-9CC1-E53FA40A33C7}" srcOrd="0" destOrd="0" presId="urn:microsoft.com/office/officeart/2005/8/layout/lProcess2"/>
    <dgm:cxn modelId="{7FFBA2FF-DC70-4E95-BC8E-D238EC5E2114}" type="presParOf" srcId="{AEC892E2-6604-443A-A67F-53AE05637B15}" destId="{16E19EC9-ED01-4DAC-B0F1-F8A96C2B51C5}" srcOrd="1" destOrd="0" presId="urn:microsoft.com/office/officeart/2005/8/layout/lProcess2"/>
    <dgm:cxn modelId="{60EA8CE6-DBA3-46DD-95DB-AB304FA16B39}" type="presParOf" srcId="{AEC892E2-6604-443A-A67F-53AE05637B15}" destId="{0482D866-2B3F-412E-9D66-E84151969353}" srcOrd="2" destOrd="0" presId="urn:microsoft.com/office/officeart/2005/8/layout/lProcess2"/>
    <dgm:cxn modelId="{03A85D16-8B75-4E16-A986-451F9C971CCF}" type="presParOf" srcId="{AEC892E2-6604-443A-A67F-53AE05637B15}" destId="{7093F947-1EB5-42F2-8171-F0AB740A3D09}" srcOrd="3" destOrd="0" presId="urn:microsoft.com/office/officeart/2005/8/layout/lProcess2"/>
    <dgm:cxn modelId="{0A1F46A3-3195-4A2D-91B8-237F45AA3E69}" type="presParOf" srcId="{AEC892E2-6604-443A-A67F-53AE05637B15}" destId="{07A918F0-62D9-46AE-9F9F-62DB5B328CB3}" srcOrd="4" destOrd="0" presId="urn:microsoft.com/office/officeart/2005/8/layout/lProcess2"/>
    <dgm:cxn modelId="{175EDDAC-611C-49B5-8934-EE6B8A97170B}" type="presParOf" srcId="{AEC892E2-6604-443A-A67F-53AE05637B15}" destId="{D02C7D20-3486-4424-8131-95B71FAD3264}" srcOrd="5" destOrd="0" presId="urn:microsoft.com/office/officeart/2005/8/layout/lProcess2"/>
    <dgm:cxn modelId="{35285825-F0D3-4204-8E24-C435CFCE23D4}" type="presParOf" srcId="{AEC892E2-6604-443A-A67F-53AE05637B15}" destId="{DED3F222-26E6-4809-AA91-F07F244295C3}" srcOrd="6" destOrd="0" presId="urn:microsoft.com/office/officeart/2005/8/layout/lProcess2"/>
    <dgm:cxn modelId="{E3BA7ABB-5306-455F-8300-DD676516D827}" type="presParOf" srcId="{AEC892E2-6604-443A-A67F-53AE05637B15}" destId="{6CA8B92D-366A-4BEA-A92A-6679C45DAB15}" srcOrd="7" destOrd="0" presId="urn:microsoft.com/office/officeart/2005/8/layout/lProcess2"/>
    <dgm:cxn modelId="{5F53D0CB-9DF7-4043-AB2B-594E1E68A130}" type="presParOf" srcId="{AEC892E2-6604-443A-A67F-53AE05637B15}" destId="{AAF2ACE6-5E38-4636-B080-BC2D37E74DD8}" srcOrd="8" destOrd="0" presId="urn:microsoft.com/office/officeart/2005/8/layout/lProcess2"/>
    <dgm:cxn modelId="{8C1E96BA-18C3-44A7-B448-22C4B68F8889}" type="presParOf" srcId="{7D112E5F-5E8D-4BAC-B50E-86C24ABA9E6B}" destId="{0CBD8366-63C9-47EF-B087-7561B6477CB6}" srcOrd="9" destOrd="0" presId="urn:microsoft.com/office/officeart/2005/8/layout/lProcess2"/>
    <dgm:cxn modelId="{6184E2D8-F98E-47BE-B96E-42B3DF6B9D2A}" type="presParOf" srcId="{7D112E5F-5E8D-4BAC-B50E-86C24ABA9E6B}" destId="{C76F0AA8-C3B8-424D-828B-9F3AEB3DDD02}" srcOrd="10" destOrd="0" presId="urn:microsoft.com/office/officeart/2005/8/layout/lProcess2"/>
    <dgm:cxn modelId="{9E1DC7B1-EA05-4AF1-BE47-559D583CB911}" type="presParOf" srcId="{C76F0AA8-C3B8-424D-828B-9F3AEB3DDD02}" destId="{788DE979-FF1A-4219-BF84-8A28593CCB94}" srcOrd="0" destOrd="0" presId="urn:microsoft.com/office/officeart/2005/8/layout/lProcess2"/>
    <dgm:cxn modelId="{246380CE-FBE9-477C-B217-EC5BB476AFD0}" type="presParOf" srcId="{C76F0AA8-C3B8-424D-828B-9F3AEB3DDD02}" destId="{71B56B25-BAF1-420C-B037-BB4722F02D90}" srcOrd="1" destOrd="0" presId="urn:microsoft.com/office/officeart/2005/8/layout/lProcess2"/>
    <dgm:cxn modelId="{C9638C92-1290-4616-AAF0-4F00A6203D52}" type="presParOf" srcId="{C76F0AA8-C3B8-424D-828B-9F3AEB3DDD02}" destId="{3F1D360B-481D-4C5E-90CF-3EAB36CBAFB2}" srcOrd="2" destOrd="0" presId="urn:microsoft.com/office/officeart/2005/8/layout/lProcess2"/>
    <dgm:cxn modelId="{44F227BE-82A8-4959-AF1C-19BB2D299232}" type="presParOf" srcId="{3F1D360B-481D-4C5E-90CF-3EAB36CBAFB2}" destId="{E1A254AC-78C7-4655-ACAE-FADF2CEC1676}" srcOrd="0" destOrd="0" presId="urn:microsoft.com/office/officeart/2005/8/layout/lProcess2"/>
    <dgm:cxn modelId="{728948CE-5026-4D66-8C75-A858F05555C3}" type="presParOf" srcId="{E1A254AC-78C7-4655-ACAE-FADF2CEC1676}" destId="{F1F16BAE-86C3-4B1E-85EA-E74B55A21462}" srcOrd="0" destOrd="0" presId="urn:microsoft.com/office/officeart/2005/8/layout/lProcess2"/>
    <dgm:cxn modelId="{8D7B1AC6-942A-4DF2-B181-FCB78F24DD4C}" type="presParOf" srcId="{E1A254AC-78C7-4655-ACAE-FADF2CEC1676}" destId="{C398DBA4-3F4A-45C5-A3D1-F3F64D633C42}" srcOrd="1" destOrd="0" presId="urn:microsoft.com/office/officeart/2005/8/layout/lProcess2"/>
    <dgm:cxn modelId="{DBF8A06D-FE53-43B0-B09F-70E62EE8312D}" type="presParOf" srcId="{E1A254AC-78C7-4655-ACAE-FADF2CEC1676}" destId="{2EA20561-6CFD-4954-A64B-AB91B0668E80}" srcOrd="2" destOrd="0" presId="urn:microsoft.com/office/officeart/2005/8/layout/lProcess2"/>
    <dgm:cxn modelId="{382AFC1B-8E1A-4750-8EAB-5F29799134D0}" type="presParOf" srcId="{E1A254AC-78C7-4655-ACAE-FADF2CEC1676}" destId="{D0826BCA-BC11-48B7-B01F-89A295A6B808}" srcOrd="3" destOrd="0" presId="urn:microsoft.com/office/officeart/2005/8/layout/lProcess2"/>
    <dgm:cxn modelId="{9016D371-354C-4A65-B282-DCC1751E81EA}" type="presParOf" srcId="{E1A254AC-78C7-4655-ACAE-FADF2CEC1676}" destId="{23C873A2-9912-4FE4-BDE7-C88BA9B2ECB3}" srcOrd="4" destOrd="0" presId="urn:microsoft.com/office/officeart/2005/8/layout/lProcess2"/>
    <dgm:cxn modelId="{231E8D50-C85E-44F7-B53B-CFA644377AAD}" type="presParOf" srcId="{E1A254AC-78C7-4655-ACAE-FADF2CEC1676}" destId="{ED34EE53-D035-4AEC-9CC5-068CFCF668D1}" srcOrd="5" destOrd="0" presId="urn:microsoft.com/office/officeart/2005/8/layout/lProcess2"/>
    <dgm:cxn modelId="{B233CE19-05A3-48B0-AFBC-03B43F5280C3}" type="presParOf" srcId="{E1A254AC-78C7-4655-ACAE-FADF2CEC1676}" destId="{95E7D6F0-32A9-4AB9-8051-93F3945D429B}" srcOrd="6" destOrd="0" presId="urn:microsoft.com/office/officeart/2005/8/layout/lProcess2"/>
    <dgm:cxn modelId="{431E756B-41B3-47C8-B891-1EEDF42A3349}" type="presParOf" srcId="{E1A254AC-78C7-4655-ACAE-FADF2CEC1676}" destId="{A3398A3F-042E-4757-B783-3A417B74E948}" srcOrd="7" destOrd="0" presId="urn:microsoft.com/office/officeart/2005/8/layout/lProcess2"/>
    <dgm:cxn modelId="{44F7E31F-A761-4336-A460-112F8BA476CB}" type="presParOf" srcId="{E1A254AC-78C7-4655-ACAE-FADF2CEC1676}" destId="{66D2E35F-6AA8-4674-9525-32D6D3B769C9}" srcOrd="8" destOrd="0" presId="urn:microsoft.com/office/officeart/2005/8/layout/lProcess2"/>
  </dgm:cxnLst>
  <dgm:bg/>
  <dgm:whole/>
  <dgm:extLst>
    <a:ext uri="http://schemas.microsoft.com/office/drawing/2008/diagram">
      <dsp:dataModelExt xmlns:dsp="http://schemas.microsoft.com/office/drawing/2008/diagram" relId="rId6"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 modelId="{4470F352-0887-4B4E-81B9-385C6AD8A1EF}">
      <dsp:nvSpPr>
        <dsp:cNvPr id="0" name=""/>
        <dsp:cNvSpPr/>
      </dsp:nvSpPr>
      <dsp:spPr>
        <a:xfrm>
          <a:off x="0"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Digital Power Basic Skills</a:t>
          </a:r>
        </a:p>
      </dsp:txBody>
      <dsp:txXfrm>
        <a:off x="0" y="0"/>
        <a:ext cx="1853823" cy="1208722"/>
      </dsp:txXfrm>
    </dsp:sp>
    <dsp:sp modelId="{D9D4FC23-0730-4C6A-92D3-55905B566BDA}">
      <dsp:nvSpPr>
        <dsp:cNvPr id="0" name=""/>
        <dsp:cNvSpPr/>
      </dsp:nvSpPr>
      <dsp:spPr>
        <a:xfrm>
          <a:off x="190074" y="1208918"/>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Leren &amp; reflecteren</a:t>
          </a:r>
        </a:p>
      </dsp:txBody>
      <dsp:txXfrm>
        <a:off x="201404" y="1220248"/>
        <a:ext cx="1460398" cy="364164"/>
      </dsp:txXfrm>
    </dsp:sp>
    <dsp:sp modelId="{B92FF65D-7314-4281-8C61-D2E02ABB453E}">
      <dsp:nvSpPr>
        <dsp:cNvPr id="0" name=""/>
        <dsp:cNvSpPr/>
      </dsp:nvSpPr>
      <dsp:spPr>
        <a:xfrm>
          <a:off x="190074" y="1655254"/>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Ondersteunen &amp; samenwerken</a:t>
          </a:r>
        </a:p>
      </dsp:txBody>
      <dsp:txXfrm>
        <a:off x="201404" y="1666584"/>
        <a:ext cx="1460398" cy="364164"/>
      </dsp:txXfrm>
    </dsp:sp>
    <dsp:sp modelId="{8BA67AC5-5D23-4E1E-BC34-5B51379E48E7}">
      <dsp:nvSpPr>
        <dsp:cNvPr id="0" name=""/>
        <dsp:cNvSpPr/>
      </dsp:nvSpPr>
      <dsp:spPr>
        <a:xfrm>
          <a:off x="190074" y="2101590"/>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Ondernemen &amp; resultaatgericht</a:t>
          </a:r>
        </a:p>
      </dsp:txBody>
      <dsp:txXfrm>
        <a:off x="201404" y="2112920"/>
        <a:ext cx="1460398" cy="364164"/>
      </dsp:txXfrm>
    </dsp:sp>
    <dsp:sp modelId="{EE4F65C3-F61D-4F57-82E6-6248AF681702}">
      <dsp:nvSpPr>
        <dsp:cNvPr id="0" name=""/>
        <dsp:cNvSpPr/>
      </dsp:nvSpPr>
      <dsp:spPr>
        <a:xfrm>
          <a:off x="190074" y="2547926"/>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Klantgericht</a:t>
          </a:r>
        </a:p>
      </dsp:txBody>
      <dsp:txXfrm>
        <a:off x="201404" y="2559256"/>
        <a:ext cx="1460398" cy="364164"/>
      </dsp:txXfrm>
    </dsp:sp>
    <dsp:sp modelId="{4AA2C2D8-38AC-49A4-B325-32683F44EAF4}">
      <dsp:nvSpPr>
        <dsp:cNvPr id="0" name=""/>
        <dsp:cNvSpPr/>
      </dsp:nvSpPr>
      <dsp:spPr>
        <a:xfrm>
          <a:off x="190074" y="2994263"/>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Kennisdeling</a:t>
          </a:r>
        </a:p>
      </dsp:txBody>
      <dsp:txXfrm>
        <a:off x="201404" y="3005593"/>
        <a:ext cx="1460398" cy="364164"/>
      </dsp:txXfrm>
    </dsp:sp>
    <dsp:sp modelId="{211DDDCD-7378-4BEA-A98D-65ED33393EC4}">
      <dsp:nvSpPr>
        <dsp:cNvPr id="0" name=""/>
        <dsp:cNvSpPr/>
      </dsp:nvSpPr>
      <dsp:spPr>
        <a:xfrm>
          <a:off x="190074" y="3440599"/>
          <a:ext cx="1483058" cy="386824"/>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Coaching &amp; begeleiding</a:t>
          </a:r>
        </a:p>
      </dsp:txBody>
      <dsp:txXfrm>
        <a:off x="201404" y="3451929"/>
        <a:ext cx="1460398" cy="364164"/>
      </dsp:txXfrm>
    </dsp:sp>
    <dsp:sp modelId="{54671E33-5AC7-4CD0-91C9-A60A47022F3E}">
      <dsp:nvSpPr>
        <dsp:cNvPr id="0" name=""/>
        <dsp:cNvSpPr/>
      </dsp:nvSpPr>
      <dsp:spPr>
        <a:xfrm>
          <a:off x="1997552"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Domein skills</a:t>
          </a:r>
        </a:p>
      </dsp:txBody>
      <dsp:txXfrm>
        <a:off x="1997552" y="0"/>
        <a:ext cx="1853823" cy="1208722"/>
      </dsp:txXfrm>
    </dsp:sp>
    <dsp:sp modelId="{851ADC3A-49E7-4E47-85D5-1526996F9E82}">
      <dsp:nvSpPr>
        <dsp:cNvPr id="0" name=""/>
        <dsp:cNvSpPr/>
      </dsp:nvSpPr>
      <dsp:spPr>
        <a:xfrm>
          <a:off x="2182935" y="120945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Ethiek en professionaliteit</a:t>
          </a:r>
        </a:p>
      </dsp:txBody>
      <dsp:txXfrm>
        <a:off x="2191381" y="1217905"/>
        <a:ext cx="1466166" cy="271468"/>
      </dsp:txXfrm>
    </dsp:sp>
    <dsp:sp modelId="{10F88D14-C566-4EFF-B18E-BA4F68CFFBB9}">
      <dsp:nvSpPr>
        <dsp:cNvPr id="0" name=""/>
        <dsp:cNvSpPr/>
      </dsp:nvSpPr>
      <dsp:spPr>
        <a:xfrm>
          <a:off x="2182935" y="1542183"/>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Basis data vaardigheden</a:t>
          </a:r>
        </a:p>
      </dsp:txBody>
      <dsp:txXfrm>
        <a:off x="2191381" y="1550629"/>
        <a:ext cx="1466166" cy="271468"/>
      </dsp:txXfrm>
    </dsp:sp>
    <dsp:sp modelId="{9CE9E257-D948-4ED8-B93B-3F31494CC27F}">
      <dsp:nvSpPr>
        <dsp:cNvPr id="0" name=""/>
        <dsp:cNvSpPr/>
      </dsp:nvSpPr>
      <dsp:spPr>
        <a:xfrm>
          <a:off x="2182935" y="1874906"/>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Statistiek</a:t>
          </a:r>
        </a:p>
      </dsp:txBody>
      <dsp:txXfrm>
        <a:off x="2191381" y="1883352"/>
        <a:ext cx="1466166" cy="271468"/>
      </dsp:txXfrm>
    </dsp:sp>
    <dsp:sp modelId="{67114D93-E06F-4DAA-BCFB-6E5088AA4903}">
      <dsp:nvSpPr>
        <dsp:cNvPr id="0" name=""/>
        <dsp:cNvSpPr/>
      </dsp:nvSpPr>
      <dsp:spPr>
        <a:xfrm>
          <a:off x="2182935" y="220762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Kwalitatieve analyse en onderzoeksvaardigheden</a:t>
          </a:r>
        </a:p>
      </dsp:txBody>
      <dsp:txXfrm>
        <a:off x="2191381" y="2216075"/>
        <a:ext cx="1466166" cy="271468"/>
      </dsp:txXfrm>
    </dsp:sp>
    <dsp:sp modelId="{C50B8762-916F-458A-91A1-E49668139917}">
      <dsp:nvSpPr>
        <dsp:cNvPr id="0" name=""/>
        <dsp:cNvSpPr/>
      </dsp:nvSpPr>
      <dsp:spPr>
        <a:xfrm>
          <a:off x="2182935" y="2540352"/>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Metrics en doelen</a:t>
          </a:r>
        </a:p>
      </dsp:txBody>
      <dsp:txXfrm>
        <a:off x="2191381" y="2548798"/>
        <a:ext cx="1466166" cy="271468"/>
      </dsp:txXfrm>
    </dsp:sp>
    <dsp:sp modelId="{B80C5998-036C-422A-A67B-3EFA153DC555}">
      <dsp:nvSpPr>
        <dsp:cNvPr id="0" name=""/>
        <dsp:cNvSpPr/>
      </dsp:nvSpPr>
      <dsp:spPr>
        <a:xfrm>
          <a:off x="2182935" y="2873076"/>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CX theorie</a:t>
          </a:r>
        </a:p>
      </dsp:txBody>
      <dsp:txXfrm>
        <a:off x="2191381" y="2881522"/>
        <a:ext cx="1466166" cy="271468"/>
      </dsp:txXfrm>
    </dsp:sp>
    <dsp:sp modelId="{253B22F4-8A1D-4683-A75D-F533A591C1F5}">
      <dsp:nvSpPr>
        <dsp:cNvPr id="0" name=""/>
        <dsp:cNvSpPr/>
      </dsp:nvSpPr>
      <dsp:spPr>
        <a:xfrm>
          <a:off x="2182935" y="3205799"/>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CX toepassingsdomein</a:t>
          </a:r>
        </a:p>
      </dsp:txBody>
      <dsp:txXfrm>
        <a:off x="2191381" y="3214245"/>
        <a:ext cx="1466166" cy="271468"/>
      </dsp:txXfrm>
    </dsp:sp>
    <dsp:sp modelId="{C99F83CB-8249-4820-A5BE-6174F687C561}">
      <dsp:nvSpPr>
        <dsp:cNvPr id="0" name=""/>
        <dsp:cNvSpPr/>
      </dsp:nvSpPr>
      <dsp:spPr>
        <a:xfrm>
          <a:off x="2182935" y="3538522"/>
          <a:ext cx="1483058" cy="288360"/>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Bonusskills</a:t>
          </a:r>
        </a:p>
      </dsp:txBody>
      <dsp:txXfrm>
        <a:off x="2191381" y="3546968"/>
        <a:ext cx="1466166" cy="271468"/>
      </dsp:txXfrm>
    </dsp:sp>
    <dsp:sp modelId="{6D56517E-766B-45C1-B3BA-03A92A9F1628}">
      <dsp:nvSpPr>
        <dsp:cNvPr id="0" name=""/>
        <dsp:cNvSpPr/>
      </dsp:nvSpPr>
      <dsp:spPr>
        <a:xfrm>
          <a:off x="4014179"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Hardskills</a:t>
          </a:r>
        </a:p>
      </dsp:txBody>
      <dsp:txXfrm>
        <a:off x="4014179" y="0"/>
        <a:ext cx="1853823" cy="1208722"/>
      </dsp:txXfrm>
    </dsp:sp>
    <dsp:sp modelId="{A239EC8B-8508-4BCF-8FEB-C4B29C102781}">
      <dsp:nvSpPr>
        <dsp:cNvPr id="0" name=""/>
        <dsp:cNvSpPr/>
      </dsp:nvSpPr>
      <dsp:spPr>
        <a:xfrm>
          <a:off x="4175795" y="1208722"/>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Customer Journey Mapping</a:t>
          </a:r>
        </a:p>
      </dsp:txBody>
      <dsp:txXfrm>
        <a:off x="4180589" y="1213516"/>
        <a:ext cx="1473470" cy="154093"/>
      </dsp:txXfrm>
    </dsp:sp>
    <dsp:sp modelId="{3F43A9C7-A3FB-4D08-965C-D2FF2D56DEF9}">
      <dsp:nvSpPr>
        <dsp:cNvPr id="0" name=""/>
        <dsp:cNvSpPr/>
      </dsp:nvSpPr>
      <dsp:spPr>
        <a:xfrm>
          <a:off x="4175795" y="1397585"/>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Usability testen</a:t>
          </a:r>
        </a:p>
      </dsp:txBody>
      <dsp:txXfrm>
        <a:off x="4180589" y="1402379"/>
        <a:ext cx="1473470" cy="154093"/>
      </dsp:txXfrm>
    </dsp:sp>
    <dsp:sp modelId="{C2D31149-D845-48F1-A98F-89A487B49698}">
      <dsp:nvSpPr>
        <dsp:cNvPr id="0" name=""/>
        <dsp:cNvSpPr/>
      </dsp:nvSpPr>
      <dsp:spPr>
        <a:xfrm>
          <a:off x="4175795" y="1586447"/>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AB testen</a:t>
          </a:r>
        </a:p>
      </dsp:txBody>
      <dsp:txXfrm>
        <a:off x="4180589" y="1591241"/>
        <a:ext cx="1473470" cy="154093"/>
      </dsp:txXfrm>
    </dsp:sp>
    <dsp:sp modelId="{307F1E4F-0554-4C37-A560-635EFC728D02}">
      <dsp:nvSpPr>
        <dsp:cNvPr id="0" name=""/>
        <dsp:cNvSpPr/>
      </dsp:nvSpPr>
      <dsp:spPr>
        <a:xfrm>
          <a:off x="4175795" y="1775310"/>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Behavioral analytics</a:t>
          </a:r>
        </a:p>
      </dsp:txBody>
      <dsp:txXfrm>
        <a:off x="4180589" y="1780104"/>
        <a:ext cx="1473470" cy="154093"/>
      </dsp:txXfrm>
    </dsp:sp>
    <dsp:sp modelId="{3D1E60B4-E52B-42E4-8458-6ACEB0512CD6}">
      <dsp:nvSpPr>
        <dsp:cNvPr id="0" name=""/>
        <dsp:cNvSpPr/>
      </dsp:nvSpPr>
      <dsp:spPr>
        <a:xfrm>
          <a:off x="4175795" y="1964173"/>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Marketing analytics</a:t>
          </a:r>
        </a:p>
      </dsp:txBody>
      <dsp:txXfrm>
        <a:off x="4180589" y="1968967"/>
        <a:ext cx="1473470" cy="154093"/>
      </dsp:txXfrm>
    </dsp:sp>
    <dsp:sp modelId="{8C2946A0-576E-4808-9C92-02BFFF0C7D6F}">
      <dsp:nvSpPr>
        <dsp:cNvPr id="0" name=""/>
        <dsp:cNvSpPr/>
      </dsp:nvSpPr>
      <dsp:spPr>
        <a:xfrm>
          <a:off x="4175795" y="2153036"/>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Session recordings</a:t>
          </a:r>
        </a:p>
      </dsp:txBody>
      <dsp:txXfrm>
        <a:off x="4180589" y="2157830"/>
        <a:ext cx="1473470" cy="154093"/>
      </dsp:txXfrm>
    </dsp:sp>
    <dsp:sp modelId="{91059573-C0DD-4A23-8D59-F5A921FF13B2}">
      <dsp:nvSpPr>
        <dsp:cNvPr id="0" name=""/>
        <dsp:cNvSpPr/>
      </dsp:nvSpPr>
      <dsp:spPr>
        <a:xfrm>
          <a:off x="4175795" y="2341899"/>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Heatmaps &amp; scrollmaps</a:t>
          </a:r>
        </a:p>
      </dsp:txBody>
      <dsp:txXfrm>
        <a:off x="4180589" y="2346693"/>
        <a:ext cx="1473470" cy="154093"/>
      </dsp:txXfrm>
    </dsp:sp>
    <dsp:sp modelId="{14016185-EE9F-4C64-9998-4EC5312A4113}">
      <dsp:nvSpPr>
        <dsp:cNvPr id="0" name=""/>
        <dsp:cNvSpPr/>
      </dsp:nvSpPr>
      <dsp:spPr>
        <a:xfrm>
          <a:off x="4175795" y="2530762"/>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Interviewen</a:t>
          </a:r>
        </a:p>
      </dsp:txBody>
      <dsp:txXfrm>
        <a:off x="4180589" y="2535556"/>
        <a:ext cx="1473470" cy="154093"/>
      </dsp:txXfrm>
    </dsp:sp>
    <dsp:sp modelId="{8E2F0041-E7A9-4A20-910C-CBEDC8B777CC}">
      <dsp:nvSpPr>
        <dsp:cNvPr id="0" name=""/>
        <dsp:cNvSpPr/>
      </dsp:nvSpPr>
      <dsp:spPr>
        <a:xfrm>
          <a:off x="4175795" y="2719624"/>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Survey design</a:t>
          </a:r>
        </a:p>
      </dsp:txBody>
      <dsp:txXfrm>
        <a:off x="4180589" y="2724418"/>
        <a:ext cx="1473470" cy="154093"/>
      </dsp:txXfrm>
    </dsp:sp>
    <dsp:sp modelId="{38C7B200-636A-4821-8B86-81A7AD31BC87}">
      <dsp:nvSpPr>
        <dsp:cNvPr id="0" name=""/>
        <dsp:cNvSpPr/>
      </dsp:nvSpPr>
      <dsp:spPr>
        <a:xfrm>
          <a:off x="4175795" y="2908487"/>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SQL</a:t>
          </a:r>
        </a:p>
      </dsp:txBody>
      <dsp:txXfrm>
        <a:off x="4180589" y="2913281"/>
        <a:ext cx="1473470" cy="154093"/>
      </dsp:txXfrm>
    </dsp:sp>
    <dsp:sp modelId="{57100ECE-9B3C-4CC3-A9C1-48AD6F34D07B}">
      <dsp:nvSpPr>
        <dsp:cNvPr id="0" name=""/>
        <dsp:cNvSpPr/>
      </dsp:nvSpPr>
      <dsp:spPr>
        <a:xfrm>
          <a:off x="4175795" y="3097350"/>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Python</a:t>
          </a:r>
        </a:p>
      </dsp:txBody>
      <dsp:txXfrm>
        <a:off x="4180589" y="3102144"/>
        <a:ext cx="1473470" cy="154093"/>
      </dsp:txXfrm>
    </dsp:sp>
    <dsp:sp modelId="{6E74EA93-ADBE-4F7A-B808-B9FC1E99F407}">
      <dsp:nvSpPr>
        <dsp:cNvPr id="0" name=""/>
        <dsp:cNvSpPr/>
      </dsp:nvSpPr>
      <dsp:spPr>
        <a:xfrm>
          <a:off x="4175795" y="3286213"/>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Javascript</a:t>
          </a:r>
        </a:p>
      </dsp:txBody>
      <dsp:txXfrm>
        <a:off x="4180589" y="3291007"/>
        <a:ext cx="1473470" cy="154093"/>
      </dsp:txXfrm>
    </dsp:sp>
    <dsp:sp modelId="{67271954-A6BD-40EC-BD45-3A2CBE7B6109}">
      <dsp:nvSpPr>
        <dsp:cNvPr id="0" name=""/>
        <dsp:cNvSpPr/>
      </dsp:nvSpPr>
      <dsp:spPr>
        <a:xfrm>
          <a:off x="4175795" y="3475076"/>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R</a:t>
          </a:r>
        </a:p>
      </dsp:txBody>
      <dsp:txXfrm>
        <a:off x="4180589" y="3479870"/>
        <a:ext cx="1473470" cy="154093"/>
      </dsp:txXfrm>
    </dsp:sp>
    <dsp:sp modelId="{A0625715-5C06-476B-97BA-6A2EC0BDF26A}">
      <dsp:nvSpPr>
        <dsp:cNvPr id="0" name=""/>
        <dsp:cNvSpPr/>
      </dsp:nvSpPr>
      <dsp:spPr>
        <a:xfrm>
          <a:off x="4175795" y="3663939"/>
          <a:ext cx="1483058" cy="163681"/>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HTML/ CSS</a:t>
          </a:r>
        </a:p>
      </dsp:txBody>
      <dsp:txXfrm>
        <a:off x="4180589" y="3668733"/>
        <a:ext cx="1473470" cy="154093"/>
      </dsp:txXfrm>
    </dsp:sp>
    <dsp:sp modelId="{D3D71071-A754-4C0E-9FFD-064FC19C1E19}">
      <dsp:nvSpPr>
        <dsp:cNvPr id="0" name=""/>
        <dsp:cNvSpPr/>
      </dsp:nvSpPr>
      <dsp:spPr>
        <a:xfrm>
          <a:off x="5983273"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Basic Consultancy Skills</a:t>
          </a:r>
        </a:p>
      </dsp:txBody>
      <dsp:txXfrm>
        <a:off x="5983273" y="0"/>
        <a:ext cx="1853823" cy="1208722"/>
      </dsp:txXfrm>
    </dsp:sp>
    <dsp:sp modelId="{5FFDAE0D-01DD-4F48-856B-01906FDFAC4D}">
      <dsp:nvSpPr>
        <dsp:cNvPr id="0" name=""/>
        <dsp:cNvSpPr/>
      </dsp:nvSpPr>
      <dsp:spPr>
        <a:xfrm>
          <a:off x="6168656"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Adviseren</a:t>
          </a:r>
        </a:p>
      </dsp:txBody>
      <dsp:txXfrm>
        <a:off x="6182308" y="1223136"/>
        <a:ext cx="1455754" cy="438803"/>
      </dsp:txXfrm>
    </dsp:sp>
    <dsp:sp modelId="{7BE6FBB6-2C7F-4090-924E-AD3A157FFABE}">
      <dsp:nvSpPr>
        <dsp:cNvPr id="0" name=""/>
        <dsp:cNvSpPr/>
      </dsp:nvSpPr>
      <dsp:spPr>
        <a:xfrm>
          <a:off x="6168656"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Doortastend &amp; probleemoplossend</a:t>
          </a:r>
        </a:p>
      </dsp:txBody>
      <dsp:txXfrm>
        <a:off x="6182308" y="1760952"/>
        <a:ext cx="1455754" cy="438803"/>
      </dsp:txXfrm>
    </dsp:sp>
    <dsp:sp modelId="{1BF27B21-0FAC-4F32-B691-48071D34A960}">
      <dsp:nvSpPr>
        <dsp:cNvPr id="0" name=""/>
        <dsp:cNvSpPr/>
      </dsp:nvSpPr>
      <dsp:spPr>
        <a:xfrm>
          <a:off x="6168656"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Interpersoonlijke communicatie</a:t>
          </a:r>
        </a:p>
      </dsp:txBody>
      <dsp:txXfrm>
        <a:off x="6182308" y="2298769"/>
        <a:ext cx="1455754" cy="438803"/>
      </dsp:txXfrm>
    </dsp:sp>
    <dsp:sp modelId="{9821E4E8-E247-4525-A9DD-43D8B524714D}">
      <dsp:nvSpPr>
        <dsp:cNvPr id="0" name=""/>
        <dsp:cNvSpPr/>
      </dsp:nvSpPr>
      <dsp:spPr>
        <a:xfrm>
          <a:off x="6168656"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Verwachtings-management</a:t>
          </a:r>
        </a:p>
      </dsp:txBody>
      <dsp:txXfrm>
        <a:off x="6182308" y="2836585"/>
        <a:ext cx="1455754" cy="438803"/>
      </dsp:txXfrm>
    </dsp:sp>
    <dsp:sp modelId="{6081A0E7-3270-44D0-B4CD-B69CEEB69F68}">
      <dsp:nvSpPr>
        <dsp:cNvPr id="0" name=""/>
        <dsp:cNvSpPr/>
      </dsp:nvSpPr>
      <dsp:spPr>
        <a:xfrm>
          <a:off x="6168656"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Schriftelijke en mondelinge communicatie</a:t>
          </a:r>
        </a:p>
      </dsp:txBody>
      <dsp:txXfrm>
        <a:off x="6182308" y="3374402"/>
        <a:ext cx="1455754" cy="438803"/>
      </dsp:txXfrm>
    </dsp:sp>
    <dsp:sp modelId="{8387A50E-865C-4F7E-BAF7-78F89B5F3C88}">
      <dsp:nvSpPr>
        <dsp:cNvPr id="0" name=""/>
        <dsp:cNvSpPr/>
      </dsp:nvSpPr>
      <dsp:spPr>
        <a:xfrm>
          <a:off x="7976134"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Business Skills</a:t>
          </a:r>
        </a:p>
      </dsp:txBody>
      <dsp:txXfrm>
        <a:off x="7976134" y="0"/>
        <a:ext cx="1853823" cy="1208722"/>
      </dsp:txXfrm>
    </dsp:sp>
    <dsp:sp modelId="{45ED17EB-782D-462A-9CC1-E53FA40A33C7}">
      <dsp:nvSpPr>
        <dsp:cNvPr id="0" name=""/>
        <dsp:cNvSpPr/>
      </dsp:nvSpPr>
      <dsp:spPr>
        <a:xfrm>
          <a:off x="8161516"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Organisatie- en management identificatie</a:t>
          </a:r>
        </a:p>
      </dsp:txBody>
      <dsp:txXfrm>
        <a:off x="8175168" y="1223136"/>
        <a:ext cx="1455754" cy="438803"/>
      </dsp:txXfrm>
    </dsp:sp>
    <dsp:sp modelId="{0482D866-2B3F-412E-9D66-E84151969353}">
      <dsp:nvSpPr>
        <dsp:cNvPr id="0" name=""/>
        <dsp:cNvSpPr/>
      </dsp:nvSpPr>
      <dsp:spPr>
        <a:xfrm>
          <a:off x="8161516"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Strategische conceptualisatie</a:t>
          </a:r>
        </a:p>
      </dsp:txBody>
      <dsp:txXfrm>
        <a:off x="8175168" y="1760952"/>
        <a:ext cx="1455754" cy="438803"/>
      </dsp:txXfrm>
    </dsp:sp>
    <dsp:sp modelId="{07A918F0-62D9-46AE-9F9F-62DB5B328CB3}">
      <dsp:nvSpPr>
        <dsp:cNvPr id="0" name=""/>
        <dsp:cNvSpPr/>
      </dsp:nvSpPr>
      <dsp:spPr>
        <a:xfrm>
          <a:off x="8161516"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Projectmanagement</a:t>
          </a:r>
        </a:p>
      </dsp:txBody>
      <dsp:txXfrm>
        <a:off x="8175168" y="2298769"/>
        <a:ext cx="1455754" cy="438803"/>
      </dsp:txXfrm>
    </dsp:sp>
    <dsp:sp modelId="{DED3F222-26E6-4809-AA91-F07F244295C3}">
      <dsp:nvSpPr>
        <dsp:cNvPr id="0" name=""/>
        <dsp:cNvSpPr/>
      </dsp:nvSpPr>
      <dsp:spPr>
        <a:xfrm>
          <a:off x="8161516"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Verander-management</a:t>
          </a:r>
        </a:p>
      </dsp:txBody>
      <dsp:txXfrm>
        <a:off x="8175168" y="2836585"/>
        <a:ext cx="1455754" cy="438803"/>
      </dsp:txXfrm>
    </dsp:sp>
    <dsp:sp modelId="{AAF2ACE6-5E38-4636-B080-BC2D37E74DD8}">
      <dsp:nvSpPr>
        <dsp:cNvPr id="0" name=""/>
        <dsp:cNvSpPr/>
      </dsp:nvSpPr>
      <dsp:spPr>
        <a:xfrm>
          <a:off x="8161516"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Leidinggeven</a:t>
          </a:r>
        </a:p>
      </dsp:txBody>
      <dsp:txXfrm>
        <a:off x="8175168" y="3374402"/>
        <a:ext cx="1455754" cy="438803"/>
      </dsp:txXfrm>
    </dsp:sp>
    <dsp:sp modelId="{788DE979-FF1A-4219-BF84-8A28593CCB94}">
      <dsp:nvSpPr>
        <dsp:cNvPr id="0" name=""/>
        <dsp:cNvSpPr/>
      </dsp:nvSpPr>
      <dsp:spPr>
        <a:xfrm>
          <a:off x="9968994" y="0"/>
          <a:ext cx="1853823" cy="4029074"/>
        </a:xfrm>
        <a:prstGeom prst="roundRect">
          <a:avLst>
            <a:gd name="adj" fmla="val 10000"/>
          </a:avLst>
        </a:prstGeom>
        <a:solidFill>
          <a:schemeClr val="accent6">
            <a:tint val="40000"/>
            <a:hueOff val="0"/>
            <a:satOff val="0"/>
            <a:lumOff val="0"/>
            <a:alphaOff val="0"/>
          </a:schemeClr>
        </a:solidFill>
        <a:ln>
          <a:noFill/>
        </a:ln>
        <a:effectLst/>
      </dsp:spPr>
      <dsp:style>
        <a:lnRef idx="0">
          <a:scrgbClr r="0" g="0" b="0"/>
        </a:lnRef>
        <a:fillRef idx="1">
          <a:scrgbClr r="0" g="0" b="0"/>
        </a:fillRef>
        <a:effectRef idx="0">
          <a:scrgbClr r="0" g="0" b="0"/>
        </a:effectRef>
        <a:fontRef idx="minor"/>
      </dsp:style>
      <dsp:txBody>
        <a:bodyPr spcFirstLastPara="0" vert="horz" wrap="square" lIns="68580" tIns="68580" rIns="68580" bIns="68580" numCol="1" spcCol="1270" anchor="ctr" anchorCtr="0">
          <a:noAutofit/>
        </a:bodyPr>
        <a:lstStyle/>
        <a:p>
          <a:pPr marL="0" lvl="0" indent="0" algn="ctr" defTabSz="800100">
            <a:lnSpc>
              <a:spcPct val="90000"/>
            </a:lnSpc>
            <a:spcBef>
              <a:spcPct val="0"/>
            </a:spcBef>
            <a:spcAft>
              <a:spcPct val="35000"/>
            </a:spcAft>
            <a:buNone/>
          </a:pPr>
          <a:r>
            <a:rPr lang="nl-NL" sz="1800" b="1" kern="1200"/>
            <a:t>Expert Consultancy Skills</a:t>
          </a:r>
        </a:p>
      </dsp:txBody>
      <dsp:txXfrm>
        <a:off x="9968994" y="0"/>
        <a:ext cx="1853823" cy="1208722"/>
      </dsp:txXfrm>
    </dsp:sp>
    <dsp:sp modelId="{F1F16BAE-86C3-4B1E-85EA-E74B55A21462}">
      <dsp:nvSpPr>
        <dsp:cNvPr id="0" name=""/>
        <dsp:cNvSpPr/>
      </dsp:nvSpPr>
      <dsp:spPr>
        <a:xfrm>
          <a:off x="10154377" y="1209484"/>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Situationele communicatie</a:t>
          </a:r>
        </a:p>
      </dsp:txBody>
      <dsp:txXfrm>
        <a:off x="10168029" y="1223136"/>
        <a:ext cx="1455754" cy="438803"/>
      </dsp:txXfrm>
    </dsp:sp>
    <dsp:sp modelId="{2EA20561-6CFD-4954-A64B-AB91B0668E80}">
      <dsp:nvSpPr>
        <dsp:cNvPr id="0" name=""/>
        <dsp:cNvSpPr/>
      </dsp:nvSpPr>
      <dsp:spPr>
        <a:xfrm>
          <a:off x="10154377" y="174730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Doelgerichte &amp; effectieve communicatie</a:t>
          </a:r>
        </a:p>
      </dsp:txBody>
      <dsp:txXfrm>
        <a:off x="10168029" y="1760952"/>
        <a:ext cx="1455754" cy="438803"/>
      </dsp:txXfrm>
    </dsp:sp>
    <dsp:sp modelId="{23C873A2-9912-4FE4-BDE7-C88BA9B2ECB3}">
      <dsp:nvSpPr>
        <dsp:cNvPr id="0" name=""/>
        <dsp:cNvSpPr/>
      </dsp:nvSpPr>
      <dsp:spPr>
        <a:xfrm>
          <a:off x="10154377" y="2285117"/>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Besluitvaardigheid</a:t>
          </a:r>
        </a:p>
      </dsp:txBody>
      <dsp:txXfrm>
        <a:off x="10168029" y="2298769"/>
        <a:ext cx="1455754" cy="438803"/>
      </dsp:txXfrm>
    </dsp:sp>
    <dsp:sp modelId="{95E7D6F0-32A9-4AB9-8051-93F3945D429B}">
      <dsp:nvSpPr>
        <dsp:cNvPr id="0" name=""/>
        <dsp:cNvSpPr/>
      </dsp:nvSpPr>
      <dsp:spPr>
        <a:xfrm>
          <a:off x="10154377" y="2822933"/>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Overtuigen &amp; beinvloeden</a:t>
          </a:r>
        </a:p>
      </dsp:txBody>
      <dsp:txXfrm>
        <a:off x="10168029" y="2836585"/>
        <a:ext cx="1455754" cy="438803"/>
      </dsp:txXfrm>
    </dsp:sp>
    <dsp:sp modelId="{66D2E35F-6AA8-4674-9525-32D6D3B769C9}">
      <dsp:nvSpPr>
        <dsp:cNvPr id="0" name=""/>
        <dsp:cNvSpPr/>
      </dsp:nvSpPr>
      <dsp:spPr>
        <a:xfrm>
          <a:off x="10154377" y="3360750"/>
          <a:ext cx="1483058" cy="466107"/>
        </a:xfrm>
        <a:prstGeom prst="roundRect">
          <a:avLst>
            <a:gd name="adj" fmla="val 10000"/>
          </a:avLst>
        </a:prstGeom>
        <a:solidFill>
          <a:schemeClr val="lt1">
            <a:hueOff val="0"/>
            <a:satOff val="0"/>
            <a:lumOff val="0"/>
            <a:alphaOff val="0"/>
          </a:schemeClr>
        </a:solidFill>
        <a:ln w="12700" cap="flat" cmpd="sng" algn="ctr">
          <a:solidFill>
            <a:schemeClr val="accent6">
              <a:shade val="80000"/>
              <a:hueOff val="0"/>
              <a:satOff val="0"/>
              <a:lumOff val="0"/>
              <a:alphaOff val="0"/>
            </a:schemeClr>
          </a:solidFill>
          <a:prstDash val="solid"/>
          <a:miter lim="800000"/>
        </a:ln>
        <a:effectLst/>
      </dsp:spPr>
      <dsp:style>
        <a:lnRef idx="2">
          <a:scrgbClr r="0" g="0" b="0"/>
        </a:lnRef>
        <a:fillRef idx="1">
          <a:scrgbClr r="0" g="0" b="0"/>
        </a:fillRef>
        <a:effectRef idx="0">
          <a:scrgbClr r="0" g="0" b="0"/>
        </a:effectRef>
        <a:fontRef idx="minor">
          <a:schemeClr val="lt1"/>
        </a:fontRef>
      </dsp:style>
      <dsp:txBody>
        <a:bodyPr spcFirstLastPara="0" vert="horz" wrap="square" lIns="22860" tIns="17145" rIns="22860" bIns="17145" numCol="1" spcCol="1270" anchor="ctr" anchorCtr="0">
          <a:noAutofit/>
        </a:bodyPr>
        <a:lstStyle/>
        <a:p>
          <a:pPr marL="0" lvl="0" indent="0" algn="ctr" defTabSz="400050">
            <a:lnSpc>
              <a:spcPct val="90000"/>
            </a:lnSpc>
            <a:spcBef>
              <a:spcPct val="0"/>
            </a:spcBef>
            <a:spcAft>
              <a:spcPct val="35000"/>
            </a:spcAft>
            <a:buNone/>
          </a:pPr>
          <a:r>
            <a:rPr lang="nl-NL" sz="900" kern="1200"/>
            <a:t>Opbouwende feedback &amp; slecht nieuws gesprekken</a:t>
          </a:r>
        </a:p>
      </dsp:txBody>
      <dsp:txXfrm>
        <a:off x="10168029" y="3374402"/>
        <a:ext cx="1455754" cy="438803"/>
      </dsp:txXfrm>
    </dsp:sp>
  </dsp:spTree>
</dsp:drawing>
</file>

<file path=xl/diagrams/layout1.xml><?xml version="1.0" encoding="utf-8"?>
<dgm:layoutDef xmlns:dgm="http://schemas.openxmlformats.org/drawingml/2006/diagram" xmlns:a="http://schemas.openxmlformats.org/drawingml/2006/main" uniqueId="urn:microsoft.com/office/officeart/2005/8/layout/lProcess2">
  <dgm:title val=""/>
  <dgm:desc val=""/>
  <dgm:catLst>
    <dgm:cat type="list" pri="10000"/>
    <dgm:cat type="relationship" pri="13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13" srcId="1" destId="11" srcOrd="0" destOrd="0"/>
        <dgm:cxn modelId="14" srcId="1" destId="12" srcOrd="0" destOrd="0"/>
        <dgm:cxn modelId="23" srcId="2" destId="21" srcOrd="0" destOrd="0"/>
        <dgm:cxn modelId="24" srcId="2" destId="22" srcOrd="0" destOrd="0"/>
        <dgm:cxn modelId="33" srcId="3" destId="31" srcOrd="0" destOrd="0"/>
        <dgm:cxn modelId="34" srcId="3" destId="32" srcOrd="0" destOrd="0"/>
      </dgm:cxnLst>
      <dgm:bg/>
      <dgm:whole/>
    </dgm:dataModel>
  </dgm:sampData>
  <dgm:styleData useDef="1">
    <dgm:dataModel>
      <dgm:ptLst/>
      <dgm:bg/>
      <dgm:whole/>
    </dgm:dataModel>
  </dgm:styleData>
  <dgm:clrData useDef="1">
    <dgm:dataModel>
      <dgm:ptLst/>
      <dgm:bg/>
      <dgm:whole/>
    </dgm:dataModel>
  </dgm:clrData>
  <dgm:layoutNode name="theList">
    <dgm:varLst>
      <dgm:dir/>
      <dgm:animLvl val="lvl"/>
      <dgm:resizeHandles val="exact"/>
    </dgm:varLst>
    <dgm:choose name="Name0">
      <dgm:if name="Name1" func="var" arg="dir" op="equ" val="norm">
        <dgm:alg type="lin"/>
      </dgm:if>
      <dgm:else name="Name2">
        <dgm:alg type="lin">
          <dgm:param type="linDir" val="fromR"/>
        </dgm:alg>
      </dgm:else>
    </dgm:choose>
    <dgm:shape xmlns:r="http://schemas.openxmlformats.org/officeDocument/2006/relationships" r:blip="">
      <dgm:adjLst/>
    </dgm:shape>
    <dgm:presOf/>
    <dgm:constrLst>
      <dgm:constr type="w" for="ch" forName="compNode" refType="w"/>
      <dgm:constr type="h" for="ch" forName="compNode" refType="h"/>
      <dgm:constr type="w" for="ch" forName="aSpace" refType="w" fact="0.075"/>
      <dgm:constr type="h" for="des" forName="aSpace2" refType="h" fact="0.1"/>
      <dgm:constr type="primFontSz" for="des" forName="textNode" op="equ"/>
      <dgm:constr type="primFontSz" for="des" forName="childNode" op="equ"/>
    </dgm:constrLst>
    <dgm:ruleLst/>
    <dgm:forEach name="aNodeForEach" axis="ch" ptType="node">
      <dgm:layoutNode name="compNode">
        <dgm:alg type="composite"/>
        <dgm:shape xmlns:r="http://schemas.openxmlformats.org/officeDocument/2006/relationships" r:blip="">
          <dgm:adjLst/>
        </dgm:shape>
        <dgm:presOf/>
        <dgm:constrLst>
          <dgm:constr type="w" for="ch" forName="aNode" refType="w"/>
          <dgm:constr type="h" for="ch" forName="aNode" refType="h"/>
          <dgm:constr type="w" for="ch" forName="textNode" refType="w"/>
          <dgm:constr type="h" for="ch" forName="textNode" refType="h" fact="0.3"/>
          <dgm:constr type="ctrX" for="ch" forName="textNode" refType="w" fact="0.5"/>
          <dgm:constr type="w" for="ch" forName="compChildNode" refType="w" fact="0.8"/>
          <dgm:constr type="h" for="ch" forName="compChildNode" refType="h" fact="0.65"/>
          <dgm:constr type="t" for="ch" forName="compChildNode" refType="h" fact="0.3"/>
          <dgm:constr type="ctrX" for="ch" forName="compChildNode" refType="w" fact="0.5"/>
        </dgm:constrLst>
        <dgm:ruleLst/>
        <dgm:layoutNode name="aNode" styleLbl="bgShp">
          <dgm:alg type="sp"/>
          <dgm:shape xmlns:r="http://schemas.openxmlformats.org/officeDocument/2006/relationships" type="roundRect" r:blip="">
            <dgm:adjLst>
              <dgm:adj idx="1" val="0.1"/>
            </dgm:adjLst>
          </dgm:shape>
          <dgm:presOf axis="self"/>
          <dgm:constrLst/>
          <dgm:ruleLst/>
        </dgm:layoutNode>
        <dgm:layoutNode name="textNode" styleLbl="bgShp">
          <dgm:alg type="tx"/>
          <dgm:shape xmlns:r="http://schemas.openxmlformats.org/officeDocument/2006/relationships" type="rect" r:blip="" hideGeom="1">
            <dgm:adjLst>
              <dgm:adj idx="1" val="0.1"/>
            </dgm:adjLst>
          </dgm:shape>
          <dgm:presOf axis="self"/>
          <dgm:constrLst>
            <dgm:constr type="primFontSz" val="65"/>
            <dgm:constr type="lMarg" refType="primFontSz" fact="0.3"/>
            <dgm:constr type="rMarg" refType="primFontSz" fact="0.3"/>
            <dgm:constr type="tMarg" refType="primFontSz" fact="0.3"/>
            <dgm:constr type="bMarg" refType="primFontSz" fact="0.3"/>
          </dgm:constrLst>
          <dgm:ruleLst>
            <dgm:rule type="primFontSz" val="5" fact="NaN" max="NaN"/>
          </dgm:ruleLst>
        </dgm:layoutNode>
        <dgm:layoutNode name="compChildNode">
          <dgm:alg type="composite"/>
          <dgm:shape xmlns:r="http://schemas.openxmlformats.org/officeDocument/2006/relationships" r:blip="">
            <dgm:adjLst/>
          </dgm:shape>
          <dgm:presOf/>
          <dgm:constrLst>
            <dgm:constr type="w" for="des" forName="childNode" refType="w"/>
            <dgm:constr type="h" for="des" forName="childNode" refType="h"/>
          </dgm:constrLst>
          <dgm:ruleLst/>
          <dgm:layoutNode name="theInnerList">
            <dgm:alg type="lin">
              <dgm:param type="linDir" val="fromT"/>
            </dgm:alg>
            <dgm:shape xmlns:r="http://schemas.openxmlformats.org/officeDocument/2006/relationships" r:blip="">
              <dgm:adjLst/>
            </dgm:shape>
            <dgm:presOf/>
            <dgm:constrLst/>
            <dgm:ruleLst/>
            <dgm:forEach name="childNodeForEach" axis="ch" ptType="node">
              <dgm:layoutNode name="childNode" styleLbl="node1">
                <dgm:varLst>
                  <dgm:bulletEnabled val="1"/>
                </dgm:varLst>
                <dgm:alg type="tx"/>
                <dgm:shape xmlns:r="http://schemas.openxmlformats.org/officeDocument/2006/relationships" type="roundRect" r:blip="">
                  <dgm:adjLst>
                    <dgm:adj idx="1" val="0.1"/>
                  </dgm:adjLst>
                </dgm:shape>
                <dgm:presOf axis="desOrSelf" ptType="node"/>
                <dgm:constrLst>
                  <dgm:constr type="primFontSz" val="65"/>
                  <dgm:constr type="tMarg" refType="primFontSz" fact="0.15"/>
                  <dgm:constr type="bMarg" refType="primFontSz" fact="0.15"/>
                  <dgm:constr type="lMarg" refType="primFontSz" fact="0.2"/>
                  <dgm:constr type="rMarg" refType="primFontSz" fact="0.2"/>
                </dgm:constrLst>
                <dgm:ruleLst>
                  <dgm:rule type="primFontSz" val="5" fact="NaN" max="NaN"/>
                </dgm:ruleLst>
              </dgm:layoutNode>
              <dgm:choose name="Name3">
                <dgm:if name="Name4" axis="self" ptType="node" func="revPos" op="equ" val="1"/>
                <dgm:else name="Name5">
                  <dgm:layoutNode name="aSpace2">
                    <dgm:alg type="sp"/>
                    <dgm:shape xmlns:r="http://schemas.openxmlformats.org/officeDocument/2006/relationships" r:blip="">
                      <dgm:adjLst/>
                    </dgm:shape>
                    <dgm:presOf/>
                    <dgm:constrLst/>
                    <dgm:ruleLst/>
                  </dgm:layoutNode>
                </dgm:else>
              </dgm:choose>
            </dgm:forEach>
          </dgm:layoutNode>
        </dgm:layoutNode>
      </dgm:layoutNode>
      <dgm:choose name="Name6">
        <dgm:if name="Name7" axis="self" ptType="node" func="revPos" op="equ" val="1"/>
        <dgm:else name="Name8">
          <dgm:layoutNode name="aSpace">
            <dgm:alg type="sp"/>
            <dgm:shape xmlns:r="http://schemas.openxmlformats.org/officeDocument/2006/relationships" r:blip="">
              <dgm:adjLst/>
            </dgm:shape>
            <dgm:presOf/>
            <dgm:constrLst/>
            <dgm:ruleLst/>
          </dgm:layoutNode>
        </dgm:else>
      </dgm:choose>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Layout" Target="../diagrams/layout1.xml"/><Relationship Id="rId7" Type="http://schemas.openxmlformats.org/officeDocument/2006/relationships/image" Target="../media/image1.png"/><Relationship Id="rId2" Type="http://schemas.openxmlformats.org/officeDocument/2006/relationships/diagramData" Target="../diagrams/data1.xml"/><Relationship Id="rId6" Type="http://schemas.microsoft.com/office/2007/relationships/diagramDrawing" Target="../diagrams/drawing1.xml"/><Relationship Id="rId5" Type="http://schemas.openxmlformats.org/officeDocument/2006/relationships/diagramColors" Target="../diagrams/colors1.xml"/><Relationship Id="rId4" Type="http://schemas.openxmlformats.org/officeDocument/2006/relationships/diagramQuickStyle" Target="../diagrams/quickStyle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7</xdr:col>
      <xdr:colOff>335679</xdr:colOff>
      <xdr:row>23</xdr:row>
      <xdr:rowOff>60610</xdr:rowOff>
    </xdr:to>
    <xdr:pic>
      <xdr:nvPicPr>
        <xdr:cNvPr id="23" name="Afbeelding 22">
          <a:extLst>
            <a:ext uri="{FF2B5EF4-FFF2-40B4-BE49-F238E27FC236}">
              <a16:creationId xmlns:a16="http://schemas.microsoft.com/office/drawing/2014/main" id="{FFBA8916-7AB3-45D4-AB3F-C1B4FEEED8F8}"/>
            </a:ext>
          </a:extLst>
        </xdr:cNvPr>
        <xdr:cNvPicPr>
          <a:picLocks noChangeAspect="1"/>
        </xdr:cNvPicPr>
      </xdr:nvPicPr>
      <xdr:blipFill>
        <a:blip xmlns:r="http://schemas.openxmlformats.org/officeDocument/2006/relationships" r:embed="rId7"/>
        <a:stretch>
          <a:fillRect/>
        </a:stretch>
      </xdr:blipFill>
      <xdr:spPr>
        <a:xfrm>
          <a:off x="0" y="815340"/>
          <a:ext cx="4496199" cy="3718210"/>
        </a:xfrm>
        <a:prstGeom prst="rect">
          <a:avLst/>
        </a:prstGeom>
      </xdr:spPr>
    </xdr:pic>
    <xdr:clientData/>
  </xdr:twoCellAnchor>
  <xdr:twoCellAnchor>
    <xdr:from>
      <xdr:col>9</xdr:col>
      <xdr:colOff>1269</xdr:colOff>
      <xdr:row>3</xdr:row>
      <xdr:rowOff>2</xdr:rowOff>
    </xdr:from>
    <xdr:to>
      <xdr:col>20</xdr:col>
      <xdr:colOff>132080</xdr:colOff>
      <xdr:row>25</xdr:row>
      <xdr:rowOff>47626</xdr:rowOff>
    </xdr:to>
    <xdr:graphicFrame macro="">
      <xdr:nvGraphicFramePr>
        <xdr:cNvPr id="4" name="Diagram 3">
          <a:extLst>
            <a:ext uri="{FF2B5EF4-FFF2-40B4-BE49-F238E27FC236}">
              <a16:creationId xmlns:a16="http://schemas.microsoft.com/office/drawing/2014/main" id="{2184C21C-2349-467C-B9AB-812D5EC831C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2" r:lo="rId3" r:qs="rId4" r:cs="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13122</xdr:colOff>
      <xdr:row>17</xdr:row>
      <xdr:rowOff>6745</xdr:rowOff>
    </xdr:from>
    <xdr:to>
      <xdr:col>14</xdr:col>
      <xdr:colOff>0</xdr:colOff>
      <xdr:row>31</xdr:row>
      <xdr:rowOff>82945</xdr:rowOff>
    </xdr:to>
    <xdr:graphicFrame macro="">
      <xdr:nvGraphicFramePr>
        <xdr:cNvPr id="2" name="Grafiek 1">
          <a:extLst>
            <a:ext uri="{FF2B5EF4-FFF2-40B4-BE49-F238E27FC236}">
              <a16:creationId xmlns:a16="http://schemas.microsoft.com/office/drawing/2014/main" id="{8BC94068-89F0-422E-A08D-0D55168B5A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35</xdr:row>
      <xdr:rowOff>690</xdr:rowOff>
    </xdr:from>
    <xdr:to>
      <xdr:col>15</xdr:col>
      <xdr:colOff>311882</xdr:colOff>
      <xdr:row>49</xdr:row>
      <xdr:rowOff>71447</xdr:rowOff>
    </xdr:to>
    <xdr:graphicFrame macro="">
      <xdr:nvGraphicFramePr>
        <xdr:cNvPr id="8" name="Grafiek 7">
          <a:extLst>
            <a:ext uri="{FF2B5EF4-FFF2-40B4-BE49-F238E27FC236}">
              <a16:creationId xmlns:a16="http://schemas.microsoft.com/office/drawing/2014/main" id="{2C06592C-C7FE-4F7F-A7CC-5864C8CD5CF7}"/>
            </a:ext>
            <a:ext uri="{147F2762-F138-4A5C-976F-8EAC2B608ADB}">
              <a16:predDERef xmlns:a16="http://schemas.microsoft.com/office/drawing/2014/main" pred="{8BC94068-89F0-422E-A08D-0D55168B5A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121</xdr:col>
      <xdr:colOff>16577</xdr:colOff>
      <xdr:row>37</xdr:row>
      <xdr:rowOff>23811</xdr:rowOff>
    </xdr:from>
    <xdr:to>
      <xdr:col>131</xdr:col>
      <xdr:colOff>345191</xdr:colOff>
      <xdr:row>79</xdr:row>
      <xdr:rowOff>9524</xdr:rowOff>
    </xdr:to>
    <xdr:graphicFrame macro="">
      <xdr:nvGraphicFramePr>
        <xdr:cNvPr id="9" name="Grafiek 8">
          <a:extLst>
            <a:ext uri="{FF2B5EF4-FFF2-40B4-BE49-F238E27FC236}">
              <a16:creationId xmlns:a16="http://schemas.microsoft.com/office/drawing/2014/main" id="{F3FC2585-D2A6-46CB-A1D2-356F154BB21A}"/>
            </a:ext>
            <a:ext uri="{147F2762-F138-4A5C-976F-8EAC2B608ADB}">
              <a16:predDERef xmlns:a16="http://schemas.microsoft.com/office/drawing/2014/main" pred="{2C06592C-C7FE-4F7F-A7CC-5864C8CD5C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0</xdr:colOff>
      <xdr:row>67</xdr:row>
      <xdr:rowOff>152076</xdr:rowOff>
    </xdr:from>
    <xdr:to>
      <xdr:col>13</xdr:col>
      <xdr:colOff>35319</xdr:colOff>
      <xdr:row>86</xdr:row>
      <xdr:rowOff>27576</xdr:rowOff>
    </xdr:to>
    <xdr:graphicFrame macro="">
      <xdr:nvGraphicFramePr>
        <xdr:cNvPr id="10" name="Grafiek 9">
          <a:extLst>
            <a:ext uri="{FF2B5EF4-FFF2-40B4-BE49-F238E27FC236}">
              <a16:creationId xmlns:a16="http://schemas.microsoft.com/office/drawing/2014/main" id="{B5CA9B28-7B21-4472-BFF3-0B5CF3E4FAD7}"/>
            </a:ext>
            <a:ext uri="{147F2762-F138-4A5C-976F-8EAC2B608ADB}">
              <a16:predDERef xmlns:a16="http://schemas.microsoft.com/office/drawing/2014/main" pred="{F3FC2585-D2A6-46CB-A1D2-356F154BB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0</xdr:colOff>
      <xdr:row>49</xdr:row>
      <xdr:rowOff>180127</xdr:rowOff>
    </xdr:from>
    <xdr:to>
      <xdr:col>15</xdr:col>
      <xdr:colOff>313459</xdr:colOff>
      <xdr:row>64</xdr:row>
      <xdr:rowOff>65827</xdr:rowOff>
    </xdr:to>
    <xdr:graphicFrame macro="">
      <xdr:nvGraphicFramePr>
        <xdr:cNvPr id="11" name="Grafiek 10">
          <a:extLst>
            <a:ext uri="{FF2B5EF4-FFF2-40B4-BE49-F238E27FC236}">
              <a16:creationId xmlns:a16="http://schemas.microsoft.com/office/drawing/2014/main" id="{60441FA0-E444-4A52-AA01-716A96B586CB}"/>
            </a:ext>
            <a:ext uri="{147F2762-F138-4A5C-976F-8EAC2B608ADB}">
              <a16:predDERef xmlns:a16="http://schemas.microsoft.com/office/drawing/2014/main" pred="{B5CA9B28-7B21-4472-BFF3-0B5CF3E4FA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109</xdr:col>
      <xdr:colOff>473776</xdr:colOff>
      <xdr:row>37</xdr:row>
      <xdr:rowOff>92869</xdr:rowOff>
    </xdr:from>
    <xdr:to>
      <xdr:col>117</xdr:col>
      <xdr:colOff>345189</xdr:colOff>
      <xdr:row>79</xdr:row>
      <xdr:rowOff>92869</xdr:rowOff>
    </xdr:to>
    <xdr:graphicFrame macro="">
      <xdr:nvGraphicFramePr>
        <xdr:cNvPr id="13" name="Grafiek 12">
          <a:extLst>
            <a:ext uri="{FF2B5EF4-FFF2-40B4-BE49-F238E27FC236}">
              <a16:creationId xmlns:a16="http://schemas.microsoft.com/office/drawing/2014/main" id="{6D5DAD57-B223-4292-9225-77E20D3E8D61}"/>
            </a:ext>
            <a:ext uri="{147F2762-F138-4A5C-976F-8EAC2B608ADB}">
              <a16:predDERef xmlns:a16="http://schemas.microsoft.com/office/drawing/2014/main" pred="{60441FA0-E444-4A52-AA01-716A96B586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147931</xdr:colOff>
      <xdr:row>49</xdr:row>
      <xdr:rowOff>179597</xdr:rowOff>
    </xdr:from>
    <xdr:to>
      <xdr:col>31</xdr:col>
      <xdr:colOff>348342</xdr:colOff>
      <xdr:row>64</xdr:row>
      <xdr:rowOff>65297</xdr:rowOff>
    </xdr:to>
    <xdr:graphicFrame macro="">
      <xdr:nvGraphicFramePr>
        <xdr:cNvPr id="14" name="Grafiek 13">
          <a:extLst>
            <a:ext uri="{FF2B5EF4-FFF2-40B4-BE49-F238E27FC236}">
              <a16:creationId xmlns:a16="http://schemas.microsoft.com/office/drawing/2014/main" id="{411B7777-4200-495E-AA19-8871A37BD29C}"/>
            </a:ext>
            <a:ext uri="{147F2762-F138-4A5C-976F-8EAC2B608ADB}">
              <a16:predDERef xmlns:a16="http://schemas.microsoft.com/office/drawing/2014/main" pred="{6D5DAD57-B223-4292-9225-77E20D3E8D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32</xdr:col>
      <xdr:colOff>568996</xdr:colOff>
      <xdr:row>50</xdr:row>
      <xdr:rowOff>97</xdr:rowOff>
    </xdr:from>
    <xdr:to>
      <xdr:col>44</xdr:col>
      <xdr:colOff>497976</xdr:colOff>
      <xdr:row>64</xdr:row>
      <xdr:rowOff>70854</xdr:rowOff>
    </xdr:to>
    <xdr:graphicFrame macro="">
      <xdr:nvGraphicFramePr>
        <xdr:cNvPr id="12" name="Grafiek 11">
          <a:extLst>
            <a:ext uri="{FF2B5EF4-FFF2-40B4-BE49-F238E27FC236}">
              <a16:creationId xmlns:a16="http://schemas.microsoft.com/office/drawing/2014/main" id="{4BBE5C71-09B1-486E-A48A-92659182056A}"/>
            </a:ext>
            <a:ext uri="{147F2762-F138-4A5C-976F-8EAC2B608ADB}">
              <a16:predDERef xmlns:a16="http://schemas.microsoft.com/office/drawing/2014/main" pred="{411B7777-4200-495E-AA19-8871A37BD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569789</xdr:colOff>
      <xdr:row>34</xdr:row>
      <xdr:rowOff>180212</xdr:rowOff>
    </xdr:from>
    <xdr:to>
      <xdr:col>44</xdr:col>
      <xdr:colOff>508476</xdr:colOff>
      <xdr:row>49</xdr:row>
      <xdr:rowOff>73532</xdr:rowOff>
    </xdr:to>
    <xdr:graphicFrame macro="">
      <xdr:nvGraphicFramePr>
        <xdr:cNvPr id="16" name="Grafiek 15">
          <a:extLst>
            <a:ext uri="{FF2B5EF4-FFF2-40B4-BE49-F238E27FC236}">
              <a16:creationId xmlns:a16="http://schemas.microsoft.com/office/drawing/2014/main" id="{2F444C72-7EB6-4369-9FD8-9DBE8A33C327}"/>
            </a:ext>
            <a:ext uri="{147F2762-F138-4A5C-976F-8EAC2B608ADB}">
              <a16:predDERef xmlns:a16="http://schemas.microsoft.com/office/drawing/2014/main" pred="{4BBE5C71-09B1-486E-A48A-9265918205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xdr:col>
      <xdr:colOff>124733</xdr:colOff>
      <xdr:row>67</xdr:row>
      <xdr:rowOff>149687</xdr:rowOff>
    </xdr:from>
    <xdr:to>
      <xdr:col>26</xdr:col>
      <xdr:colOff>201400</xdr:colOff>
      <xdr:row>86</xdr:row>
      <xdr:rowOff>25183</xdr:rowOff>
    </xdr:to>
    <xdr:graphicFrame macro="">
      <xdr:nvGraphicFramePr>
        <xdr:cNvPr id="17" name="Grafiek 16">
          <a:extLst>
            <a:ext uri="{FF2B5EF4-FFF2-40B4-BE49-F238E27FC236}">
              <a16:creationId xmlns:a16="http://schemas.microsoft.com/office/drawing/2014/main" id="{5FC04844-5179-4A40-90BB-3855CCE3A6B7}"/>
            </a:ext>
            <a:ext uri="{147F2762-F138-4A5C-976F-8EAC2B608ADB}">
              <a16:predDERef xmlns:a16="http://schemas.microsoft.com/office/drawing/2014/main" pred="{2F444C72-7EB6-4369-9FD8-9DBE8A33C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26</xdr:col>
      <xdr:colOff>292553</xdr:colOff>
      <xdr:row>67</xdr:row>
      <xdr:rowOff>149687</xdr:rowOff>
    </xdr:from>
    <xdr:to>
      <xdr:col>36</xdr:col>
      <xdr:colOff>51719</xdr:colOff>
      <xdr:row>86</xdr:row>
      <xdr:rowOff>25187</xdr:rowOff>
    </xdr:to>
    <xdr:graphicFrame macro="">
      <xdr:nvGraphicFramePr>
        <xdr:cNvPr id="18" name="Grafiek 17">
          <a:extLst>
            <a:ext uri="{FF2B5EF4-FFF2-40B4-BE49-F238E27FC236}">
              <a16:creationId xmlns:a16="http://schemas.microsoft.com/office/drawing/2014/main" id="{1FA916A2-9CD2-417D-A2CF-5CFB98F23978}"/>
            </a:ext>
            <a:ext uri="{147F2762-F138-4A5C-976F-8EAC2B608ADB}">
              <a16:predDERef xmlns:a16="http://schemas.microsoft.com/office/drawing/2014/main" pred="{5FC04844-5179-4A40-90BB-3855CCE3A6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36</xdr:col>
      <xdr:colOff>149675</xdr:colOff>
      <xdr:row>67</xdr:row>
      <xdr:rowOff>149698</xdr:rowOff>
    </xdr:from>
    <xdr:to>
      <xdr:col>45</xdr:col>
      <xdr:colOff>490925</xdr:colOff>
      <xdr:row>86</xdr:row>
      <xdr:rowOff>25198</xdr:rowOff>
    </xdr:to>
    <xdr:graphicFrame macro="">
      <xdr:nvGraphicFramePr>
        <xdr:cNvPr id="19" name="Grafiek 18">
          <a:extLst>
            <a:ext uri="{FF2B5EF4-FFF2-40B4-BE49-F238E27FC236}">
              <a16:creationId xmlns:a16="http://schemas.microsoft.com/office/drawing/2014/main" id="{108A0FE1-E01D-488E-914B-C7B39E743B0E}"/>
            </a:ext>
            <a:ext uri="{147F2762-F138-4A5C-976F-8EAC2B608ADB}">
              <a16:predDERef xmlns:a16="http://schemas.microsoft.com/office/drawing/2014/main" pred="{1FA916A2-9CD2-417D-A2CF-5CFB98F23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0</xdr:colOff>
      <xdr:row>86</xdr:row>
      <xdr:rowOff>128507</xdr:rowOff>
    </xdr:from>
    <xdr:to>
      <xdr:col>13</xdr:col>
      <xdr:colOff>30551</xdr:colOff>
      <xdr:row>105</xdr:row>
      <xdr:rowOff>4007</xdr:rowOff>
    </xdr:to>
    <xdr:graphicFrame macro="">
      <xdr:nvGraphicFramePr>
        <xdr:cNvPr id="20" name="Grafiek 19">
          <a:extLst>
            <a:ext uri="{FF2B5EF4-FFF2-40B4-BE49-F238E27FC236}">
              <a16:creationId xmlns:a16="http://schemas.microsoft.com/office/drawing/2014/main" id="{597FEB8F-3C65-4667-B017-128B2F908018}"/>
            </a:ext>
            <a:ext uri="{147F2762-F138-4A5C-976F-8EAC2B608ADB}">
              <a16:predDERef xmlns:a16="http://schemas.microsoft.com/office/drawing/2014/main" pred="{108A0FE1-E01D-488E-914B-C7B39E743B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130550</xdr:colOff>
      <xdr:row>86</xdr:row>
      <xdr:rowOff>126117</xdr:rowOff>
    </xdr:from>
    <xdr:to>
      <xdr:col>26</xdr:col>
      <xdr:colOff>207217</xdr:colOff>
      <xdr:row>105</xdr:row>
      <xdr:rowOff>1617</xdr:rowOff>
    </xdr:to>
    <xdr:graphicFrame macro="">
      <xdr:nvGraphicFramePr>
        <xdr:cNvPr id="21" name="Grafiek 20">
          <a:extLst>
            <a:ext uri="{FF2B5EF4-FFF2-40B4-BE49-F238E27FC236}">
              <a16:creationId xmlns:a16="http://schemas.microsoft.com/office/drawing/2014/main" id="{1E500EF4-5341-4EED-A562-CCCB8FE9ED3F}"/>
            </a:ext>
            <a:ext uri="{147F2762-F138-4A5C-976F-8EAC2B608ADB}">
              <a16:predDERef xmlns:a16="http://schemas.microsoft.com/office/drawing/2014/main" pred="{597FEB8F-3C65-4667-B017-128B2F908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26</xdr:col>
      <xdr:colOff>308953</xdr:colOff>
      <xdr:row>86</xdr:row>
      <xdr:rowOff>126118</xdr:rowOff>
    </xdr:from>
    <xdr:to>
      <xdr:col>36</xdr:col>
      <xdr:colOff>68119</xdr:colOff>
      <xdr:row>105</xdr:row>
      <xdr:rowOff>1618</xdr:rowOff>
    </xdr:to>
    <xdr:graphicFrame macro="">
      <xdr:nvGraphicFramePr>
        <xdr:cNvPr id="22" name="Grafiek 21">
          <a:extLst>
            <a:ext uri="{FF2B5EF4-FFF2-40B4-BE49-F238E27FC236}">
              <a16:creationId xmlns:a16="http://schemas.microsoft.com/office/drawing/2014/main" id="{2C25D6EB-8358-40F5-977C-11042E3E7B80}"/>
            </a:ext>
            <a:ext uri="{147F2762-F138-4A5C-976F-8EAC2B608ADB}">
              <a16:predDERef xmlns:a16="http://schemas.microsoft.com/office/drawing/2014/main" pred="{1E500EF4-5341-4EED-A562-CCCB8FE9ED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36</xdr:col>
      <xdr:colOff>155496</xdr:colOff>
      <xdr:row>86</xdr:row>
      <xdr:rowOff>126128</xdr:rowOff>
    </xdr:from>
    <xdr:to>
      <xdr:col>45</xdr:col>
      <xdr:colOff>496746</xdr:colOff>
      <xdr:row>105</xdr:row>
      <xdr:rowOff>1628</xdr:rowOff>
    </xdr:to>
    <xdr:graphicFrame macro="">
      <xdr:nvGraphicFramePr>
        <xdr:cNvPr id="23" name="Grafiek 22">
          <a:extLst>
            <a:ext uri="{FF2B5EF4-FFF2-40B4-BE49-F238E27FC236}">
              <a16:creationId xmlns:a16="http://schemas.microsoft.com/office/drawing/2014/main" id="{2E013790-D2C4-46F8-97FA-6BCE9879F018}"/>
            </a:ext>
            <a:ext uri="{147F2762-F138-4A5C-976F-8EAC2B608ADB}">
              <a16:predDERef xmlns:a16="http://schemas.microsoft.com/office/drawing/2014/main" pred="{2C25D6EB-8358-40F5-977C-11042E3E7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17</xdr:col>
      <xdr:colOff>143186</xdr:colOff>
      <xdr:row>35</xdr:row>
      <xdr:rowOff>0</xdr:rowOff>
    </xdr:from>
    <xdr:to>
      <xdr:col>31</xdr:col>
      <xdr:colOff>343597</xdr:colOff>
      <xdr:row>49</xdr:row>
      <xdr:rowOff>76200</xdr:rowOff>
    </xdr:to>
    <xdr:graphicFrame macro="">
      <xdr:nvGraphicFramePr>
        <xdr:cNvPr id="24" name="Grafiek 23">
          <a:extLst>
            <a:ext uri="{FF2B5EF4-FFF2-40B4-BE49-F238E27FC236}">
              <a16:creationId xmlns:a16="http://schemas.microsoft.com/office/drawing/2014/main" id="{08A73EF3-A050-4D2E-845A-2BDC47B81E6F}"/>
            </a:ext>
            <a:ext uri="{147F2762-F138-4A5C-976F-8EAC2B608ADB}">
              <a16:predDERef xmlns:a16="http://schemas.microsoft.com/office/drawing/2014/main" pred="{2E013790-D2C4-46F8-97FA-6BCE9879F0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AE7C02-900F-4AD3-8FC2-27B5DAC4D4E3}">
  <dimension ref="A2:P3"/>
  <sheetViews>
    <sheetView tabSelected="1" zoomScale="80" zoomScaleNormal="80" workbookViewId="0">
      <selection activeCell="H3" sqref="H3"/>
    </sheetView>
  </sheetViews>
  <sheetFormatPr defaultColWidth="8.7109375" defaultRowHeight="14.45"/>
  <cols>
    <col min="1" max="9" width="8.7109375" style="46"/>
    <col min="10" max="16" width="19.42578125" style="47" customWidth="1"/>
    <col min="17" max="16384" width="8.7109375" style="46"/>
  </cols>
  <sheetData>
    <row r="2" spans="1:10" ht="21">
      <c r="A2" s="45" t="s">
        <v>0</v>
      </c>
      <c r="J2" s="45" t="s">
        <v>1</v>
      </c>
    </row>
    <row r="3" spans="1:10">
      <c r="H3" s="46" t="s">
        <v>2</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89429-DB0B-4382-A6DD-ABAFA63F9653}">
  <sheetPr>
    <pageSetUpPr fitToPage="1"/>
  </sheetPr>
  <dimension ref="A1:U128"/>
  <sheetViews>
    <sheetView showGridLines="0" topLeftCell="A113" zoomScaleNormal="100" workbookViewId="0">
      <selection activeCell="E120" sqref="E120"/>
    </sheetView>
  </sheetViews>
  <sheetFormatPr defaultColWidth="8.7109375" defaultRowHeight="14.45"/>
  <cols>
    <col min="1" max="1" width="3.5703125" style="62" bestFit="1" customWidth="1"/>
    <col min="2" max="2" width="91.7109375" style="63" customWidth="1"/>
    <col min="3" max="4" width="18.5703125" style="60" customWidth="1"/>
    <col min="5" max="9" width="33.85546875" style="61" customWidth="1"/>
    <col min="10" max="20" width="13.85546875" style="61" customWidth="1"/>
    <col min="21" max="16384" width="8.7109375" style="62"/>
  </cols>
  <sheetData>
    <row r="1" spans="2:9" ht="26.1">
      <c r="B1" s="126" t="s">
        <v>3</v>
      </c>
    </row>
    <row r="2" spans="2:9" ht="26.1">
      <c r="B2" s="126"/>
    </row>
    <row r="3" spans="2:9" ht="23.25">
      <c r="B3" s="185" t="s">
        <v>4</v>
      </c>
      <c r="C3" s="186"/>
      <c r="D3" s="187"/>
      <c r="E3" s="60"/>
      <c r="F3" s="60"/>
      <c r="G3" s="60"/>
      <c r="H3" s="60"/>
    </row>
    <row r="4" spans="2:9" ht="15">
      <c r="B4" s="176" t="s">
        <v>5</v>
      </c>
      <c r="C4" s="177"/>
      <c r="D4" s="178"/>
      <c r="E4" s="60"/>
      <c r="F4" s="60"/>
      <c r="G4" s="60"/>
      <c r="H4" s="60"/>
      <c r="I4" s="106"/>
    </row>
    <row r="5" spans="2:9" ht="15">
      <c r="B5" s="179"/>
      <c r="C5" s="180"/>
      <c r="D5" s="181"/>
      <c r="E5" s="60"/>
      <c r="F5" s="60"/>
      <c r="G5" s="60"/>
      <c r="H5" s="60"/>
      <c r="I5" s="106"/>
    </row>
    <row r="6" spans="2:9" ht="15">
      <c r="B6" s="179"/>
      <c r="C6" s="180"/>
      <c r="D6" s="181"/>
      <c r="E6" s="60"/>
      <c r="F6" s="60"/>
      <c r="G6" s="60"/>
      <c r="H6" s="60"/>
      <c r="I6" s="106"/>
    </row>
    <row r="7" spans="2:9" ht="15">
      <c r="B7" s="179"/>
      <c r="C7" s="180"/>
      <c r="D7" s="181"/>
      <c r="E7" s="60"/>
      <c r="F7" s="60"/>
      <c r="G7" s="60"/>
      <c r="H7" s="60"/>
      <c r="I7" s="106"/>
    </row>
    <row r="8" spans="2:9" ht="15">
      <c r="B8" s="179"/>
      <c r="C8" s="180"/>
      <c r="D8" s="181"/>
      <c r="E8" s="60"/>
      <c r="F8" s="60"/>
      <c r="G8" s="60"/>
      <c r="H8" s="60"/>
      <c r="I8" s="106"/>
    </row>
    <row r="9" spans="2:9" ht="15">
      <c r="B9" s="179"/>
      <c r="C9" s="180"/>
      <c r="D9" s="181"/>
      <c r="E9" s="60"/>
      <c r="F9" s="60"/>
      <c r="G9" s="60"/>
      <c r="H9" s="60"/>
      <c r="I9" s="106"/>
    </row>
    <row r="10" spans="2:9" ht="15">
      <c r="B10" s="179"/>
      <c r="C10" s="180"/>
      <c r="D10" s="181"/>
      <c r="E10" s="60"/>
      <c r="F10" s="60"/>
      <c r="G10" s="60"/>
      <c r="H10" s="60"/>
      <c r="I10" s="106"/>
    </row>
    <row r="11" spans="2:9" ht="15">
      <c r="B11" s="179"/>
      <c r="C11" s="180"/>
      <c r="D11" s="181"/>
      <c r="E11" s="60"/>
      <c r="F11" s="60"/>
      <c r="G11" s="60"/>
      <c r="H11" s="60"/>
      <c r="I11" s="106"/>
    </row>
    <row r="12" spans="2:9" ht="15">
      <c r="B12" s="179"/>
      <c r="C12" s="180"/>
      <c r="D12" s="181"/>
      <c r="E12" s="60"/>
      <c r="F12" s="60"/>
      <c r="G12" s="60"/>
      <c r="H12" s="60"/>
      <c r="I12" s="106"/>
    </row>
    <row r="13" spans="2:9" ht="15">
      <c r="B13" s="179"/>
      <c r="C13" s="180"/>
      <c r="D13" s="181"/>
      <c r="E13" s="60"/>
      <c r="F13" s="60"/>
      <c r="G13" s="60"/>
      <c r="H13" s="60"/>
      <c r="I13" s="106"/>
    </row>
    <row r="14" spans="2:9" ht="15">
      <c r="B14" s="179"/>
      <c r="C14" s="180"/>
      <c r="D14" s="181"/>
      <c r="E14" s="60"/>
      <c r="F14" s="60"/>
      <c r="G14" s="60"/>
      <c r="H14" s="60"/>
      <c r="I14" s="106"/>
    </row>
    <row r="15" spans="2:9" ht="15">
      <c r="B15" s="179"/>
      <c r="C15" s="180"/>
      <c r="D15" s="181"/>
      <c r="E15" s="60"/>
      <c r="F15" s="60"/>
      <c r="G15" s="60"/>
      <c r="H15" s="60"/>
      <c r="I15" s="106"/>
    </row>
    <row r="16" spans="2:9" ht="15">
      <c r="B16" s="179"/>
      <c r="C16" s="180"/>
      <c r="D16" s="181"/>
      <c r="E16" s="60"/>
      <c r="F16" s="60"/>
      <c r="G16" s="60"/>
      <c r="H16" s="60"/>
      <c r="I16" s="106"/>
    </row>
    <row r="17" spans="1:21" ht="15">
      <c r="B17" s="179"/>
      <c r="C17" s="180"/>
      <c r="D17" s="181"/>
      <c r="E17" s="60"/>
      <c r="F17" s="60"/>
      <c r="G17" s="60"/>
      <c r="H17" s="60"/>
      <c r="I17" s="106"/>
    </row>
    <row r="18" spans="1:21" ht="15">
      <c r="B18" s="179"/>
      <c r="C18" s="180"/>
      <c r="D18" s="181"/>
      <c r="E18" s="60"/>
      <c r="F18" s="60"/>
      <c r="G18" s="60"/>
      <c r="H18" s="60"/>
      <c r="I18" s="106"/>
    </row>
    <row r="19" spans="1:21" ht="15">
      <c r="B19" s="179"/>
      <c r="C19" s="180"/>
      <c r="D19" s="181"/>
      <c r="E19" s="60"/>
      <c r="F19" s="60"/>
      <c r="G19" s="60"/>
      <c r="H19" s="60"/>
      <c r="I19" s="106"/>
    </row>
    <row r="20" spans="1:21" ht="15">
      <c r="B20" s="179"/>
      <c r="C20" s="180"/>
      <c r="D20" s="181"/>
      <c r="E20" s="60"/>
      <c r="F20" s="60"/>
      <c r="G20" s="60"/>
      <c r="H20" s="60"/>
      <c r="I20" s="106"/>
    </row>
    <row r="21" spans="1:21" ht="15">
      <c r="B21" s="179"/>
      <c r="C21" s="180"/>
      <c r="D21" s="181"/>
      <c r="E21" s="60"/>
      <c r="F21" s="60"/>
      <c r="G21" s="60"/>
      <c r="H21" s="60"/>
      <c r="I21" s="106"/>
    </row>
    <row r="22" spans="1:21" ht="15">
      <c r="B22" s="182"/>
      <c r="C22" s="183"/>
      <c r="D22" s="184"/>
      <c r="E22" s="60"/>
      <c r="F22" s="60"/>
      <c r="G22" s="60"/>
      <c r="H22" s="60"/>
      <c r="I22" s="106"/>
    </row>
    <row r="23" spans="1:21">
      <c r="B23" s="127" t="s">
        <v>6</v>
      </c>
    </row>
    <row r="24" spans="1:21" ht="44.1" customHeight="1">
      <c r="B24" s="140"/>
      <c r="C24" s="188" t="s">
        <v>7</v>
      </c>
      <c r="D24" s="189"/>
      <c r="E24" s="188" t="s">
        <v>8</v>
      </c>
      <c r="F24" s="190"/>
      <c r="G24" s="190"/>
      <c r="H24" s="190"/>
      <c r="I24" s="189"/>
      <c r="L24" s="62"/>
      <c r="M24" s="62"/>
      <c r="N24" s="62"/>
      <c r="O24" s="62"/>
      <c r="P24" s="62"/>
      <c r="Q24" s="62"/>
      <c r="R24" s="62"/>
      <c r="S24" s="62"/>
      <c r="T24" s="62"/>
    </row>
    <row r="25" spans="1:21" s="57" customFormat="1" ht="30.75">
      <c r="B25" s="156" t="s">
        <v>9</v>
      </c>
      <c r="C25" s="159" t="s">
        <v>10</v>
      </c>
      <c r="D25" s="159" t="s">
        <v>11</v>
      </c>
      <c r="E25" s="159">
        <v>1</v>
      </c>
      <c r="F25" s="159">
        <v>2</v>
      </c>
      <c r="G25" s="159">
        <v>3</v>
      </c>
      <c r="H25" s="159">
        <v>4</v>
      </c>
      <c r="I25" s="159">
        <v>5</v>
      </c>
      <c r="J25" s="59"/>
      <c r="K25" s="59"/>
    </row>
    <row r="26" spans="1:21" ht="57.95">
      <c r="B26" s="157" t="s">
        <v>12</v>
      </c>
      <c r="C26" s="160">
        <v>2</v>
      </c>
      <c r="D26" s="160">
        <v>3</v>
      </c>
      <c r="E26" s="158" t="s">
        <v>13</v>
      </c>
      <c r="F26" s="158" t="s">
        <v>14</v>
      </c>
      <c r="G26" s="158" t="s">
        <v>15</v>
      </c>
      <c r="H26" s="158" t="s">
        <v>16</v>
      </c>
      <c r="I26" s="158" t="s">
        <v>17</v>
      </c>
      <c r="L26" s="62"/>
      <c r="M26" s="62"/>
      <c r="N26" s="62"/>
      <c r="O26" s="62"/>
      <c r="P26" s="62"/>
      <c r="Q26" s="62"/>
      <c r="R26" s="62"/>
      <c r="S26" s="62"/>
      <c r="T26" s="62"/>
    </row>
    <row r="27" spans="1:21">
      <c r="B27" s="128"/>
      <c r="U27" s="58"/>
    </row>
    <row r="28" spans="1:21" s="57" customFormat="1" ht="43.5" customHeight="1">
      <c r="A28" s="108"/>
      <c r="B28" s="131" t="s">
        <v>18</v>
      </c>
      <c r="C28" s="161" t="s">
        <v>10</v>
      </c>
      <c r="D28" s="163" t="s">
        <v>11</v>
      </c>
      <c r="E28" s="173">
        <v>1</v>
      </c>
      <c r="F28" s="174">
        <v>2</v>
      </c>
      <c r="G28" s="174">
        <v>3</v>
      </c>
      <c r="H28" s="174">
        <v>4</v>
      </c>
      <c r="I28" s="175">
        <v>5</v>
      </c>
      <c r="J28" s="59"/>
      <c r="K28" s="59"/>
      <c r="L28" s="59"/>
      <c r="M28" s="59"/>
      <c r="N28" s="59"/>
      <c r="O28" s="59"/>
      <c r="P28" s="59"/>
      <c r="Q28" s="59"/>
      <c r="R28" s="59"/>
      <c r="S28" s="59"/>
      <c r="T28" s="59"/>
      <c r="U28" s="64"/>
    </row>
    <row r="29" spans="1:21" ht="106.5">
      <c r="A29" s="109"/>
      <c r="B29" s="134" t="s">
        <v>19</v>
      </c>
      <c r="C29" s="139"/>
      <c r="D29" s="172"/>
      <c r="E29" s="170" t="s">
        <v>20</v>
      </c>
      <c r="F29" s="170" t="s">
        <v>21</v>
      </c>
      <c r="G29" s="170" t="s">
        <v>22</v>
      </c>
      <c r="H29" s="170" t="s">
        <v>23</v>
      </c>
      <c r="I29" s="170" t="s">
        <v>24</v>
      </c>
      <c r="U29" s="58"/>
    </row>
    <row r="30" spans="1:21" ht="76.5">
      <c r="A30" s="109"/>
      <c r="B30" s="134" t="s">
        <v>25</v>
      </c>
      <c r="C30" s="139"/>
      <c r="D30" s="172"/>
      <c r="E30" s="171" t="s">
        <v>26</v>
      </c>
      <c r="F30" s="171" t="s">
        <v>27</v>
      </c>
      <c r="G30" s="171" t="s">
        <v>28</v>
      </c>
      <c r="H30" s="171" t="s">
        <v>29</v>
      </c>
      <c r="I30" s="171" t="s">
        <v>30</v>
      </c>
    </row>
    <row r="31" spans="1:21" ht="121.5">
      <c r="A31" s="109"/>
      <c r="B31" s="134" t="s">
        <v>31</v>
      </c>
      <c r="C31" s="139"/>
      <c r="D31" s="172"/>
      <c r="E31" s="171" t="s">
        <v>32</v>
      </c>
      <c r="F31" s="171" t="s">
        <v>33</v>
      </c>
      <c r="G31" s="170" t="s">
        <v>34</v>
      </c>
      <c r="H31" s="171" t="s">
        <v>35</v>
      </c>
      <c r="I31" s="171" t="s">
        <v>36</v>
      </c>
    </row>
    <row r="32" spans="1:21" ht="121.5">
      <c r="A32" s="109"/>
      <c r="B32" s="134" t="s">
        <v>37</v>
      </c>
      <c r="C32" s="139"/>
      <c r="D32" s="172"/>
      <c r="E32" s="171" t="s">
        <v>38</v>
      </c>
      <c r="F32" s="171" t="s">
        <v>39</v>
      </c>
      <c r="G32" s="171" t="s">
        <v>40</v>
      </c>
      <c r="H32" s="171" t="s">
        <v>41</v>
      </c>
      <c r="I32" s="171" t="s">
        <v>42</v>
      </c>
    </row>
    <row r="33" spans="1:9" ht="121.5">
      <c r="A33" s="109"/>
      <c r="B33" s="134" t="s">
        <v>43</v>
      </c>
      <c r="C33" s="139"/>
      <c r="D33" s="172"/>
      <c r="E33" s="171" t="s">
        <v>44</v>
      </c>
      <c r="F33" s="171" t="s">
        <v>45</v>
      </c>
      <c r="G33" s="171" t="s">
        <v>46</v>
      </c>
      <c r="H33" s="171" t="s">
        <v>47</v>
      </c>
      <c r="I33" s="171" t="s">
        <v>48</v>
      </c>
    </row>
    <row r="34" spans="1:9" ht="60.75">
      <c r="A34" s="109"/>
      <c r="B34" s="134" t="s">
        <v>49</v>
      </c>
      <c r="C34" s="139"/>
      <c r="D34" s="172"/>
      <c r="E34" s="171" t="s">
        <v>50</v>
      </c>
      <c r="F34" s="171" t="s">
        <v>51</v>
      </c>
      <c r="G34" s="171" t="s">
        <v>52</v>
      </c>
      <c r="H34" s="171" t="s">
        <v>53</v>
      </c>
      <c r="I34" s="171" t="s">
        <v>54</v>
      </c>
    </row>
    <row r="35" spans="1:9">
      <c r="B35" s="127"/>
    </row>
    <row r="36" spans="1:9" ht="49.5" customHeight="1">
      <c r="A36" s="110"/>
      <c r="B36" s="131" t="s">
        <v>55</v>
      </c>
      <c r="C36" s="161" t="s">
        <v>10</v>
      </c>
      <c r="D36" s="163" t="s">
        <v>11</v>
      </c>
      <c r="E36" s="191" t="s">
        <v>56</v>
      </c>
      <c r="F36" s="192"/>
      <c r="G36" s="192"/>
      <c r="H36" s="192"/>
      <c r="I36" s="193"/>
    </row>
    <row r="37" spans="1:9">
      <c r="A37" s="111"/>
      <c r="B37" s="134" t="s">
        <v>57</v>
      </c>
      <c r="C37" s="139"/>
      <c r="D37" s="164"/>
      <c r="E37" s="194"/>
      <c r="F37" s="195"/>
      <c r="G37" s="195"/>
      <c r="H37" s="195"/>
      <c r="I37" s="196"/>
    </row>
    <row r="38" spans="1:9" ht="29.1">
      <c r="A38" s="111"/>
      <c r="B38" s="134" t="s">
        <v>58</v>
      </c>
      <c r="C38" s="139"/>
      <c r="D38" s="164"/>
      <c r="E38" s="194"/>
      <c r="F38" s="195"/>
      <c r="G38" s="195"/>
      <c r="H38" s="195"/>
      <c r="I38" s="196"/>
    </row>
    <row r="39" spans="1:9">
      <c r="A39" s="111"/>
      <c r="B39" s="134" t="s">
        <v>59</v>
      </c>
      <c r="C39" s="139"/>
      <c r="D39" s="164"/>
      <c r="E39" s="194"/>
      <c r="F39" s="195"/>
      <c r="G39" s="195"/>
      <c r="H39" s="195"/>
      <c r="I39" s="196"/>
    </row>
    <row r="40" spans="1:9" ht="29.1">
      <c r="A40" s="111"/>
      <c r="B40" s="134" t="s">
        <v>60</v>
      </c>
      <c r="C40" s="139"/>
      <c r="D40" s="164"/>
      <c r="E40" s="194"/>
      <c r="F40" s="195"/>
      <c r="G40" s="195"/>
      <c r="H40" s="195"/>
      <c r="I40" s="196"/>
    </row>
    <row r="41" spans="1:9" ht="26.45" customHeight="1">
      <c r="A41" s="111"/>
      <c r="B41" s="134" t="s">
        <v>61</v>
      </c>
      <c r="C41" s="139"/>
      <c r="D41" s="164"/>
      <c r="E41" s="197"/>
      <c r="F41" s="198"/>
      <c r="G41" s="198"/>
      <c r="H41" s="198"/>
      <c r="I41" s="199"/>
    </row>
    <row r="42" spans="1:9">
      <c r="A42" s="1"/>
      <c r="B42" s="129"/>
      <c r="C42" s="107"/>
      <c r="D42" s="107"/>
      <c r="E42" s="62"/>
      <c r="F42" s="62"/>
      <c r="G42" s="62"/>
      <c r="H42" s="62"/>
      <c r="I42" s="62"/>
    </row>
    <row r="43" spans="1:9" ht="44.1" customHeight="1">
      <c r="A43" s="112"/>
      <c r="B43" s="131" t="s">
        <v>62</v>
      </c>
      <c r="C43" s="161" t="s">
        <v>10</v>
      </c>
      <c r="D43" s="163" t="s">
        <v>11</v>
      </c>
      <c r="E43" s="200" t="s">
        <v>56</v>
      </c>
      <c r="F43" s="201"/>
      <c r="G43" s="201"/>
      <c r="H43" s="201"/>
      <c r="I43" s="202"/>
    </row>
    <row r="44" spans="1:9" ht="30.75">
      <c r="A44" s="113"/>
      <c r="B44" s="165" t="s">
        <v>63</v>
      </c>
      <c r="C44" s="139"/>
      <c r="D44" s="164"/>
      <c r="E44" s="203"/>
      <c r="F44" s="204"/>
      <c r="G44" s="204"/>
      <c r="H44" s="204"/>
      <c r="I44" s="205"/>
    </row>
    <row r="45" spans="1:9" ht="29.1">
      <c r="A45" s="113"/>
      <c r="B45" s="165" t="s">
        <v>64</v>
      </c>
      <c r="C45" s="139"/>
      <c r="D45" s="164"/>
      <c r="E45" s="203"/>
      <c r="F45" s="204"/>
      <c r="G45" s="204"/>
      <c r="H45" s="204"/>
      <c r="I45" s="205"/>
    </row>
    <row r="46" spans="1:9" ht="29.1">
      <c r="A46" s="113"/>
      <c r="B46" s="165" t="s">
        <v>65</v>
      </c>
      <c r="C46" s="139"/>
      <c r="D46" s="164"/>
      <c r="E46" s="203"/>
      <c r="F46" s="204"/>
      <c r="G46" s="204"/>
      <c r="H46" s="204"/>
      <c r="I46" s="205"/>
    </row>
    <row r="47" spans="1:9" ht="29.1">
      <c r="A47" s="113"/>
      <c r="B47" s="165" t="s">
        <v>66</v>
      </c>
      <c r="C47" s="139"/>
      <c r="D47" s="164"/>
      <c r="E47" s="206"/>
      <c r="F47" s="207"/>
      <c r="G47" s="207"/>
      <c r="H47" s="207"/>
      <c r="I47" s="208"/>
    </row>
    <row r="48" spans="1:9">
      <c r="A48"/>
      <c r="B48" s="130"/>
      <c r="C48"/>
      <c r="D48"/>
      <c r="E48"/>
      <c r="F48"/>
      <c r="G48"/>
      <c r="H48"/>
      <c r="I48"/>
    </row>
    <row r="49" spans="1:9" ht="45" customHeight="1">
      <c r="A49" s="110"/>
      <c r="B49" s="131" t="s">
        <v>67</v>
      </c>
      <c r="C49" s="161" t="s">
        <v>10</v>
      </c>
      <c r="D49" s="163" t="s">
        <v>11</v>
      </c>
      <c r="E49" s="191" t="s">
        <v>56</v>
      </c>
      <c r="F49" s="192"/>
      <c r="G49" s="192"/>
      <c r="H49" s="192"/>
      <c r="I49" s="193"/>
    </row>
    <row r="50" spans="1:9" ht="43.5">
      <c r="A50" s="111"/>
      <c r="B50" s="165" t="s">
        <v>68</v>
      </c>
      <c r="C50" s="139"/>
      <c r="D50" s="162"/>
      <c r="E50" s="194"/>
      <c r="F50" s="195"/>
      <c r="G50" s="195"/>
      <c r="H50" s="195"/>
      <c r="I50" s="196"/>
    </row>
    <row r="51" spans="1:9" ht="36" customHeight="1">
      <c r="A51" s="111"/>
      <c r="B51" s="165" t="s">
        <v>69</v>
      </c>
      <c r="C51" s="139"/>
      <c r="D51" s="162"/>
      <c r="E51" s="194"/>
      <c r="F51" s="195"/>
      <c r="G51" s="195"/>
      <c r="H51" s="195"/>
      <c r="I51" s="196"/>
    </row>
    <row r="52" spans="1:9" ht="47.1" customHeight="1">
      <c r="A52" s="111"/>
      <c r="B52" s="165" t="s">
        <v>70</v>
      </c>
      <c r="C52" s="139"/>
      <c r="D52" s="162"/>
      <c r="E52" s="194"/>
      <c r="F52" s="195"/>
      <c r="G52" s="195"/>
      <c r="H52" s="195"/>
      <c r="I52" s="196"/>
    </row>
    <row r="53" spans="1:9" ht="29.1">
      <c r="A53" s="111"/>
      <c r="B53" s="165" t="s">
        <v>71</v>
      </c>
      <c r="C53" s="139"/>
      <c r="D53" s="162"/>
      <c r="E53" s="194"/>
      <c r="F53" s="195"/>
      <c r="G53" s="195"/>
      <c r="H53" s="195"/>
      <c r="I53" s="196"/>
    </row>
    <row r="54" spans="1:9" ht="29.1">
      <c r="A54" s="111"/>
      <c r="B54" s="165" t="s">
        <v>72</v>
      </c>
      <c r="C54" s="139"/>
      <c r="D54" s="162"/>
      <c r="E54" s="197"/>
      <c r="F54" s="198"/>
      <c r="G54" s="198"/>
      <c r="H54" s="198"/>
      <c r="I54" s="199"/>
    </row>
    <row r="55" spans="1:9">
      <c r="A55" s="1"/>
      <c r="C55" s="107"/>
      <c r="D55" s="107"/>
      <c r="E55" s="62"/>
      <c r="F55" s="62"/>
      <c r="G55" s="62"/>
      <c r="H55" s="62"/>
      <c r="I55" s="62"/>
    </row>
    <row r="56" spans="1:9" ht="43.5" customHeight="1">
      <c r="A56" s="112"/>
      <c r="B56" s="131" t="s">
        <v>73</v>
      </c>
      <c r="C56" s="161" t="s">
        <v>10</v>
      </c>
      <c r="D56" s="163" t="s">
        <v>11</v>
      </c>
      <c r="E56" s="191" t="s">
        <v>56</v>
      </c>
      <c r="F56" s="192"/>
      <c r="G56" s="192"/>
      <c r="H56" s="192"/>
      <c r="I56" s="193"/>
    </row>
    <row r="57" spans="1:9" ht="28.9" customHeight="1">
      <c r="A57" s="113"/>
      <c r="B57" s="165" t="s">
        <v>74</v>
      </c>
      <c r="C57" s="139"/>
      <c r="D57" s="162"/>
      <c r="E57" s="194"/>
      <c r="F57" s="195"/>
      <c r="G57" s="195"/>
      <c r="H57" s="195"/>
      <c r="I57" s="196"/>
    </row>
    <row r="58" spans="1:9" ht="28.9" customHeight="1">
      <c r="A58" s="113"/>
      <c r="B58" s="165" t="s">
        <v>75</v>
      </c>
      <c r="C58" s="139"/>
      <c r="D58" s="162"/>
      <c r="E58" s="194"/>
      <c r="F58" s="195"/>
      <c r="G58" s="195"/>
      <c r="H58" s="195"/>
      <c r="I58" s="196"/>
    </row>
    <row r="59" spans="1:9" ht="43.15" customHeight="1">
      <c r="A59" s="113"/>
      <c r="B59" s="165" t="s">
        <v>76</v>
      </c>
      <c r="C59" s="139"/>
      <c r="D59" s="162"/>
      <c r="E59" s="194"/>
      <c r="F59" s="195"/>
      <c r="G59" s="195"/>
      <c r="H59" s="195"/>
      <c r="I59" s="196"/>
    </row>
    <row r="60" spans="1:9" ht="43.15" customHeight="1">
      <c r="A60" s="113"/>
      <c r="B60" s="165" t="s">
        <v>77</v>
      </c>
      <c r="C60" s="139"/>
      <c r="D60" s="162"/>
      <c r="E60" s="194"/>
      <c r="F60" s="195"/>
      <c r="G60" s="195"/>
      <c r="H60" s="195"/>
      <c r="I60" s="196"/>
    </row>
    <row r="61" spans="1:9" ht="43.15" customHeight="1">
      <c r="A61" s="113"/>
      <c r="B61" s="165" t="s">
        <v>78</v>
      </c>
      <c r="C61" s="139"/>
      <c r="D61" s="162"/>
      <c r="E61" s="197"/>
      <c r="F61" s="198"/>
      <c r="G61" s="198"/>
      <c r="H61" s="198"/>
      <c r="I61" s="199"/>
    </row>
    <row r="62" spans="1:9">
      <c r="A62" s="1"/>
      <c r="B62" s="129"/>
      <c r="C62" s="107"/>
      <c r="D62" s="107"/>
      <c r="E62" s="62"/>
      <c r="F62" s="62"/>
      <c r="G62" s="62"/>
      <c r="H62" s="62"/>
      <c r="I62" s="62"/>
    </row>
    <row r="63" spans="1:9" ht="41.45" customHeight="1">
      <c r="A63" s="110"/>
      <c r="B63" s="131" t="s">
        <v>79</v>
      </c>
      <c r="C63" s="161" t="s">
        <v>10</v>
      </c>
      <c r="D63" s="163" t="s">
        <v>11</v>
      </c>
      <c r="E63" s="191" t="s">
        <v>56</v>
      </c>
      <c r="F63" s="192"/>
      <c r="G63" s="192"/>
      <c r="H63" s="192"/>
      <c r="I63" s="193"/>
    </row>
    <row r="64" spans="1:9" ht="43.15" customHeight="1">
      <c r="A64" s="111"/>
      <c r="B64" s="165" t="s">
        <v>80</v>
      </c>
      <c r="C64" s="139"/>
      <c r="D64" s="162"/>
      <c r="E64" s="194"/>
      <c r="F64" s="195"/>
      <c r="G64" s="195"/>
      <c r="H64" s="195"/>
      <c r="I64" s="196"/>
    </row>
    <row r="65" spans="1:9" ht="28.9" customHeight="1">
      <c r="A65" s="111"/>
      <c r="B65" s="168" t="s">
        <v>81</v>
      </c>
      <c r="C65" s="139"/>
      <c r="D65" s="162"/>
      <c r="E65" s="194"/>
      <c r="F65" s="195"/>
      <c r="G65" s="195"/>
      <c r="H65" s="195"/>
      <c r="I65" s="196"/>
    </row>
    <row r="66" spans="1:9" ht="43.15" customHeight="1">
      <c r="A66" s="111"/>
      <c r="B66" s="165" t="s">
        <v>82</v>
      </c>
      <c r="C66" s="139"/>
      <c r="D66" s="162"/>
      <c r="E66" s="194"/>
      <c r="F66" s="195"/>
      <c r="G66" s="195"/>
      <c r="H66" s="195"/>
      <c r="I66" s="196"/>
    </row>
    <row r="67" spans="1:9" ht="28.9" customHeight="1">
      <c r="A67" s="111"/>
      <c r="B67" s="165" t="s">
        <v>83</v>
      </c>
      <c r="C67" s="139"/>
      <c r="D67" s="162"/>
      <c r="E67" s="194"/>
      <c r="F67" s="195"/>
      <c r="G67" s="195"/>
      <c r="H67" s="195"/>
      <c r="I67" s="196"/>
    </row>
    <row r="68" spans="1:9" ht="28.9" customHeight="1">
      <c r="A68" s="111"/>
      <c r="B68" s="165" t="s">
        <v>84</v>
      </c>
      <c r="C68" s="139"/>
      <c r="D68" s="162"/>
      <c r="E68" s="197"/>
      <c r="F68" s="198"/>
      <c r="G68" s="198"/>
      <c r="H68" s="198"/>
      <c r="I68" s="199"/>
    </row>
    <row r="69" spans="1:9" ht="23.45">
      <c r="A69" s="1"/>
      <c r="B69" s="166"/>
      <c r="C69" s="107"/>
      <c r="D69" s="107"/>
      <c r="E69" s="62"/>
      <c r="F69" s="62"/>
      <c r="G69" s="62"/>
      <c r="H69" s="62"/>
      <c r="I69" s="62"/>
    </row>
    <row r="70" spans="1:9" ht="47.1" customHeight="1">
      <c r="A70" s="112"/>
      <c r="B70" s="131" t="s">
        <v>85</v>
      </c>
      <c r="C70" s="161" t="s">
        <v>10</v>
      </c>
      <c r="D70" s="163" t="s">
        <v>11</v>
      </c>
      <c r="E70" s="200" t="s">
        <v>56</v>
      </c>
      <c r="F70" s="201"/>
      <c r="G70" s="201"/>
      <c r="H70" s="201"/>
      <c r="I70" s="202"/>
    </row>
    <row r="71" spans="1:9" ht="43.5">
      <c r="A71" s="113"/>
      <c r="B71" s="165" t="s">
        <v>86</v>
      </c>
      <c r="C71" s="139"/>
      <c r="D71" s="162"/>
      <c r="E71" s="203"/>
      <c r="F71" s="204"/>
      <c r="G71" s="204"/>
      <c r="H71" s="204"/>
      <c r="I71" s="205"/>
    </row>
    <row r="72" spans="1:9" ht="29.1">
      <c r="A72" s="113"/>
      <c r="B72" s="168" t="s">
        <v>87</v>
      </c>
      <c r="C72" s="139"/>
      <c r="D72" s="162"/>
      <c r="E72" s="203"/>
      <c r="F72" s="204"/>
      <c r="G72" s="204"/>
      <c r="H72" s="204"/>
      <c r="I72" s="205"/>
    </row>
    <row r="73" spans="1:9" ht="29.1">
      <c r="A73" s="113"/>
      <c r="B73" s="168" t="s">
        <v>88</v>
      </c>
      <c r="C73" s="139"/>
      <c r="D73" s="162"/>
      <c r="E73" s="203"/>
      <c r="F73" s="204"/>
      <c r="G73" s="204"/>
      <c r="H73" s="204"/>
      <c r="I73" s="205"/>
    </row>
    <row r="74" spans="1:9" ht="43.5">
      <c r="A74" s="113"/>
      <c r="B74" s="168" t="s">
        <v>89</v>
      </c>
      <c r="C74" s="139"/>
      <c r="D74" s="162"/>
      <c r="E74" s="203"/>
      <c r="F74" s="204"/>
      <c r="G74" s="204"/>
      <c r="H74" s="204"/>
      <c r="I74" s="205"/>
    </row>
    <row r="75" spans="1:9" ht="29.1">
      <c r="A75" s="113"/>
      <c r="B75" s="165" t="s">
        <v>90</v>
      </c>
      <c r="C75" s="139"/>
      <c r="D75" s="162"/>
      <c r="E75" s="203"/>
      <c r="F75" s="204"/>
      <c r="G75" s="204"/>
      <c r="H75" s="204"/>
      <c r="I75" s="205"/>
    </row>
    <row r="76" spans="1:9" ht="43.5">
      <c r="A76" s="113"/>
      <c r="B76" s="168" t="s">
        <v>91</v>
      </c>
      <c r="C76" s="139"/>
      <c r="D76" s="162"/>
      <c r="E76" s="203"/>
      <c r="F76" s="204"/>
      <c r="G76" s="204"/>
      <c r="H76" s="204"/>
      <c r="I76" s="205"/>
    </row>
    <row r="77" spans="1:9" ht="43.5">
      <c r="A77" s="113"/>
      <c r="B77" s="168" t="s">
        <v>92</v>
      </c>
      <c r="C77" s="139"/>
      <c r="D77" s="162"/>
      <c r="E77" s="203"/>
      <c r="F77" s="204"/>
      <c r="G77" s="204"/>
      <c r="H77" s="204"/>
      <c r="I77" s="205"/>
    </row>
    <row r="78" spans="1:9" ht="43.5">
      <c r="A78" s="113"/>
      <c r="B78" s="168" t="s">
        <v>93</v>
      </c>
      <c r="C78" s="139"/>
      <c r="D78" s="162"/>
      <c r="E78" s="206"/>
      <c r="F78" s="207"/>
      <c r="G78" s="207"/>
      <c r="H78" s="207"/>
      <c r="I78" s="208"/>
    </row>
    <row r="79" spans="1:9">
      <c r="A79" s="1"/>
      <c r="C79" s="107"/>
      <c r="D79" s="107"/>
      <c r="E79" s="62"/>
      <c r="F79" s="62"/>
      <c r="G79" s="62"/>
      <c r="H79" s="62"/>
      <c r="I79" s="62"/>
    </row>
    <row r="80" spans="1:9" ht="44.45" customHeight="1">
      <c r="A80" s="110"/>
      <c r="B80" s="131" t="s">
        <v>94</v>
      </c>
      <c r="C80" s="161" t="s">
        <v>10</v>
      </c>
      <c r="D80" s="163" t="s">
        <v>11</v>
      </c>
      <c r="E80" s="191" t="s">
        <v>56</v>
      </c>
      <c r="F80" s="192"/>
      <c r="G80" s="192"/>
      <c r="H80" s="192"/>
      <c r="I80" s="193"/>
    </row>
    <row r="81" spans="1:20" ht="43.15" customHeight="1">
      <c r="A81" s="111"/>
      <c r="B81" s="168" t="s">
        <v>95</v>
      </c>
      <c r="C81" s="139"/>
      <c r="D81" s="162"/>
      <c r="E81" s="194"/>
      <c r="F81" s="195"/>
      <c r="G81" s="195"/>
      <c r="H81" s="195"/>
      <c r="I81" s="196"/>
    </row>
    <row r="82" spans="1:20" ht="28.9" customHeight="1">
      <c r="A82" s="111"/>
      <c r="B82" s="168" t="s">
        <v>96</v>
      </c>
      <c r="C82" s="139"/>
      <c r="D82" s="162"/>
      <c r="E82" s="194"/>
      <c r="F82" s="195"/>
      <c r="G82" s="195"/>
      <c r="H82" s="195"/>
      <c r="I82" s="196"/>
    </row>
    <row r="83" spans="1:20" ht="28.9" customHeight="1">
      <c r="A83" s="111"/>
      <c r="B83" s="168" t="s">
        <v>97</v>
      </c>
      <c r="C83" s="139"/>
      <c r="D83" s="162"/>
      <c r="E83" s="194"/>
      <c r="F83" s="195"/>
      <c r="G83" s="195"/>
      <c r="H83" s="195"/>
      <c r="I83" s="196"/>
    </row>
    <row r="84" spans="1:20" ht="43.15" customHeight="1">
      <c r="A84" s="111"/>
      <c r="B84" s="168" t="s">
        <v>98</v>
      </c>
      <c r="C84" s="139"/>
      <c r="D84" s="162"/>
      <c r="E84" s="194"/>
      <c r="F84" s="195"/>
      <c r="G84" s="195"/>
      <c r="H84" s="195"/>
      <c r="I84" s="196"/>
    </row>
    <row r="85" spans="1:20" ht="28.9" customHeight="1">
      <c r="A85" s="111"/>
      <c r="B85" s="168" t="s">
        <v>99</v>
      </c>
      <c r="C85" s="139"/>
      <c r="D85" s="162"/>
      <c r="E85" s="197"/>
      <c r="F85" s="198"/>
      <c r="G85" s="198"/>
      <c r="H85" s="198"/>
      <c r="I85" s="199"/>
    </row>
    <row r="86" spans="1:20">
      <c r="A86" s="1"/>
      <c r="B86" s="129"/>
      <c r="C86" s="107"/>
      <c r="D86" s="107"/>
      <c r="E86" s="62"/>
      <c r="F86" s="62"/>
      <c r="G86" s="62"/>
      <c r="H86" s="62"/>
      <c r="I86" s="62"/>
    </row>
    <row r="87" spans="1:20" ht="46.5" customHeight="1">
      <c r="A87" s="112"/>
      <c r="B87" s="131" t="s">
        <v>100</v>
      </c>
      <c r="C87" s="161" t="s">
        <v>10</v>
      </c>
      <c r="D87" s="163" t="s">
        <v>11</v>
      </c>
      <c r="E87" s="200" t="s">
        <v>56</v>
      </c>
      <c r="F87" s="201"/>
      <c r="G87" s="201"/>
      <c r="H87" s="201"/>
      <c r="I87" s="202"/>
    </row>
    <row r="88" spans="1:20">
      <c r="A88" s="113"/>
      <c r="B88" s="134" t="s">
        <v>101</v>
      </c>
      <c r="C88" s="139"/>
      <c r="D88" s="162"/>
      <c r="E88" s="203"/>
      <c r="F88" s="204"/>
      <c r="G88" s="204"/>
      <c r="H88" s="204"/>
      <c r="I88" s="205"/>
    </row>
    <row r="89" spans="1:20" ht="29.1">
      <c r="A89" s="113"/>
      <c r="B89" s="165" t="s">
        <v>102</v>
      </c>
      <c r="C89" s="139"/>
      <c r="D89" s="162"/>
      <c r="E89" s="203"/>
      <c r="F89" s="204"/>
      <c r="G89" s="204"/>
      <c r="H89" s="204"/>
      <c r="I89" s="205"/>
    </row>
    <row r="90" spans="1:20" ht="29.1">
      <c r="A90" s="113"/>
      <c r="B90" s="165" t="s">
        <v>103</v>
      </c>
      <c r="C90" s="139"/>
      <c r="D90" s="162"/>
      <c r="E90" s="206"/>
      <c r="F90" s="207"/>
      <c r="G90" s="207"/>
      <c r="H90" s="207"/>
      <c r="I90" s="208"/>
    </row>
    <row r="91" spans="1:20">
      <c r="B91" s="130"/>
      <c r="C91"/>
      <c r="D91"/>
      <c r="E91"/>
      <c r="F91"/>
      <c r="G91"/>
      <c r="H91"/>
      <c r="I91"/>
    </row>
    <row r="92" spans="1:20" s="57" customFormat="1" ht="43.5" customHeight="1">
      <c r="A92" s="114"/>
      <c r="B92" s="131" t="s">
        <v>104</v>
      </c>
      <c r="C92" s="161" t="s">
        <v>10</v>
      </c>
      <c r="D92" s="163" t="s">
        <v>11</v>
      </c>
      <c r="E92" s="200" t="s">
        <v>56</v>
      </c>
      <c r="F92" s="201"/>
      <c r="G92" s="201"/>
      <c r="H92" s="201"/>
      <c r="I92" s="202"/>
      <c r="J92" s="59"/>
      <c r="K92" s="59"/>
      <c r="L92" s="59"/>
      <c r="M92" s="59"/>
      <c r="N92" s="59"/>
      <c r="O92" s="59"/>
      <c r="P92" s="59"/>
      <c r="Q92" s="59"/>
      <c r="R92" s="59"/>
      <c r="S92" s="59"/>
      <c r="T92" s="59"/>
    </row>
    <row r="93" spans="1:20" ht="29.1">
      <c r="A93" s="115">
        <v>1</v>
      </c>
      <c r="B93" s="167" t="s">
        <v>105</v>
      </c>
      <c r="C93" s="139"/>
      <c r="D93" s="162"/>
      <c r="E93" s="203"/>
      <c r="F93" s="204"/>
      <c r="G93" s="204"/>
      <c r="H93" s="204"/>
      <c r="I93" s="205"/>
      <c r="K93" s="67" t="s">
        <v>106</v>
      </c>
    </row>
    <row r="94" spans="1:20" ht="29.1">
      <c r="A94" s="115">
        <v>2</v>
      </c>
      <c r="B94" s="167" t="s">
        <v>107</v>
      </c>
      <c r="C94" s="139"/>
      <c r="D94" s="162"/>
      <c r="E94" s="203"/>
      <c r="F94" s="204"/>
      <c r="G94" s="204"/>
      <c r="H94" s="204"/>
      <c r="I94" s="205"/>
      <c r="K94" s="67" t="s">
        <v>108</v>
      </c>
    </row>
    <row r="95" spans="1:20" ht="29.1">
      <c r="A95" s="115">
        <v>3</v>
      </c>
      <c r="B95" s="167" t="s">
        <v>109</v>
      </c>
      <c r="C95" s="139"/>
      <c r="D95" s="162"/>
      <c r="E95" s="203"/>
      <c r="F95" s="204"/>
      <c r="G95" s="204"/>
      <c r="H95" s="204"/>
      <c r="I95" s="205"/>
      <c r="K95" s="67" t="s">
        <v>110</v>
      </c>
    </row>
    <row r="96" spans="1:20" ht="29.1">
      <c r="A96" s="115">
        <v>4</v>
      </c>
      <c r="B96" s="167" t="s">
        <v>111</v>
      </c>
      <c r="C96" s="139"/>
      <c r="D96" s="162"/>
      <c r="E96" s="203"/>
      <c r="F96" s="204"/>
      <c r="G96" s="204"/>
      <c r="H96" s="204"/>
      <c r="I96" s="205"/>
      <c r="K96" s="67" t="s">
        <v>112</v>
      </c>
    </row>
    <row r="97" spans="1:20" ht="29.1">
      <c r="A97" s="115">
        <v>5</v>
      </c>
      <c r="B97" s="167" t="s">
        <v>113</v>
      </c>
      <c r="C97" s="139"/>
      <c r="D97" s="162"/>
      <c r="E97" s="203"/>
      <c r="F97" s="204"/>
      <c r="G97" s="204"/>
      <c r="H97" s="204"/>
      <c r="I97" s="205"/>
      <c r="K97" s="67" t="s">
        <v>114</v>
      </c>
    </row>
    <row r="98" spans="1:20" ht="29.1">
      <c r="A98" s="115">
        <v>6</v>
      </c>
      <c r="B98" s="167" t="s">
        <v>115</v>
      </c>
      <c r="C98" s="139"/>
      <c r="D98" s="162"/>
      <c r="E98" s="203"/>
      <c r="F98" s="204"/>
      <c r="G98" s="204"/>
      <c r="H98" s="204"/>
      <c r="I98" s="205"/>
      <c r="K98" s="67" t="s">
        <v>116</v>
      </c>
    </row>
    <row r="99" spans="1:20" ht="29.1">
      <c r="A99" s="115">
        <v>7</v>
      </c>
      <c r="B99" s="167" t="s">
        <v>117</v>
      </c>
      <c r="C99" s="139"/>
      <c r="D99" s="162"/>
      <c r="E99" s="203"/>
      <c r="F99" s="204"/>
      <c r="G99" s="204"/>
      <c r="H99" s="204"/>
      <c r="I99" s="205"/>
      <c r="K99" s="67" t="s">
        <v>118</v>
      </c>
    </row>
    <row r="100" spans="1:20" ht="29.1">
      <c r="A100" s="115">
        <v>8</v>
      </c>
      <c r="B100" s="167" t="s">
        <v>119</v>
      </c>
      <c r="C100" s="139"/>
      <c r="D100" s="162"/>
      <c r="E100" s="203"/>
      <c r="F100" s="204"/>
      <c r="G100" s="204"/>
      <c r="H100" s="204"/>
      <c r="I100" s="205"/>
      <c r="K100" s="67" t="s">
        <v>120</v>
      </c>
    </row>
    <row r="101" spans="1:20" ht="29.1">
      <c r="A101" s="115">
        <v>9</v>
      </c>
      <c r="B101" s="167" t="s">
        <v>121</v>
      </c>
      <c r="C101" s="139"/>
      <c r="D101" s="162"/>
      <c r="E101" s="203"/>
      <c r="F101" s="204"/>
      <c r="G101" s="204"/>
      <c r="H101" s="204"/>
      <c r="I101" s="205"/>
      <c r="K101" s="67" t="s">
        <v>122</v>
      </c>
    </row>
    <row r="102" spans="1:20" ht="29.1">
      <c r="A102" s="115">
        <v>10</v>
      </c>
      <c r="B102" s="167" t="s">
        <v>123</v>
      </c>
      <c r="C102" s="139"/>
      <c r="D102" s="162"/>
      <c r="E102" s="203"/>
      <c r="F102" s="204"/>
      <c r="G102" s="204"/>
      <c r="H102" s="204"/>
      <c r="I102" s="205"/>
      <c r="K102" s="67" t="s">
        <v>124</v>
      </c>
    </row>
    <row r="103" spans="1:20" ht="29.1">
      <c r="A103" s="115">
        <v>11</v>
      </c>
      <c r="B103" s="167" t="s">
        <v>125</v>
      </c>
      <c r="C103" s="139"/>
      <c r="D103" s="162"/>
      <c r="E103" s="203"/>
      <c r="F103" s="204"/>
      <c r="G103" s="204"/>
      <c r="H103" s="204"/>
      <c r="I103" s="205"/>
      <c r="K103" s="67" t="s">
        <v>126</v>
      </c>
    </row>
    <row r="104" spans="1:20" ht="29.1">
      <c r="A104" s="115">
        <v>12</v>
      </c>
      <c r="B104" s="169" t="s">
        <v>127</v>
      </c>
      <c r="C104" s="139"/>
      <c r="D104" s="162"/>
      <c r="E104" s="203"/>
      <c r="F104" s="204"/>
      <c r="G104" s="204"/>
      <c r="H104" s="204"/>
      <c r="I104" s="205"/>
      <c r="K104" s="67" t="s">
        <v>128</v>
      </c>
    </row>
    <row r="105" spans="1:20" ht="29.1">
      <c r="A105" s="115">
        <v>13</v>
      </c>
      <c r="B105" s="167" t="s">
        <v>129</v>
      </c>
      <c r="C105" s="139"/>
      <c r="D105" s="162"/>
      <c r="E105" s="203"/>
      <c r="F105" s="204"/>
      <c r="G105" s="204"/>
      <c r="H105" s="204"/>
      <c r="I105" s="205"/>
      <c r="K105" s="67" t="s">
        <v>130</v>
      </c>
    </row>
    <row r="106" spans="1:20" ht="29.1">
      <c r="A106" s="115">
        <v>14</v>
      </c>
      <c r="B106" s="169" t="s">
        <v>131</v>
      </c>
      <c r="C106" s="139"/>
      <c r="D106" s="162"/>
      <c r="E106" s="203"/>
      <c r="F106" s="204"/>
      <c r="G106" s="204"/>
      <c r="H106" s="204"/>
      <c r="I106" s="205"/>
      <c r="K106" s="67" t="s">
        <v>132</v>
      </c>
    </row>
    <row r="107" spans="1:20" ht="29.1">
      <c r="A107" s="115">
        <v>15</v>
      </c>
      <c r="B107" s="167" t="s">
        <v>133</v>
      </c>
      <c r="C107" s="139"/>
      <c r="D107" s="162"/>
      <c r="E107" s="206"/>
      <c r="F107" s="207"/>
      <c r="G107" s="207"/>
      <c r="H107" s="207"/>
      <c r="I107" s="208"/>
      <c r="K107" s="67" t="s">
        <v>134</v>
      </c>
    </row>
    <row r="108" spans="1:20">
      <c r="B108" s="127"/>
    </row>
    <row r="109" spans="1:20" s="57" customFormat="1" ht="47.1" customHeight="1">
      <c r="A109" s="116"/>
      <c r="B109" s="131" t="s">
        <v>135</v>
      </c>
      <c r="C109" s="161" t="s">
        <v>10</v>
      </c>
      <c r="D109" s="163" t="s">
        <v>11</v>
      </c>
      <c r="E109" s="137">
        <v>1</v>
      </c>
      <c r="F109" s="122">
        <v>2</v>
      </c>
      <c r="G109" s="122">
        <v>3</v>
      </c>
      <c r="H109" s="122">
        <v>4</v>
      </c>
      <c r="I109" s="123">
        <v>5</v>
      </c>
      <c r="J109" s="59"/>
      <c r="K109" s="59"/>
      <c r="L109" s="59"/>
      <c r="M109" s="59"/>
      <c r="N109" s="59"/>
      <c r="O109" s="59"/>
      <c r="P109" s="59"/>
      <c r="Q109" s="59"/>
      <c r="R109" s="59"/>
      <c r="S109" s="59"/>
      <c r="T109" s="59"/>
    </row>
    <row r="110" spans="1:20" ht="106.5">
      <c r="A110" s="117"/>
      <c r="B110" s="134" t="s">
        <v>136</v>
      </c>
      <c r="C110" s="139"/>
      <c r="D110" s="162"/>
      <c r="E110" s="138" t="s">
        <v>30</v>
      </c>
      <c r="F110" s="124" t="s">
        <v>137</v>
      </c>
      <c r="G110" s="124" t="s">
        <v>138</v>
      </c>
      <c r="H110" s="124" t="s">
        <v>139</v>
      </c>
      <c r="I110" s="125" t="s">
        <v>140</v>
      </c>
    </row>
    <row r="111" spans="1:20" ht="106.5">
      <c r="A111" s="117"/>
      <c r="B111" s="134" t="s">
        <v>141</v>
      </c>
      <c r="C111" s="139"/>
      <c r="D111" s="162"/>
      <c r="E111" s="138" t="s">
        <v>142</v>
      </c>
      <c r="F111" s="124" t="s">
        <v>143</v>
      </c>
      <c r="G111" s="124" t="s">
        <v>144</v>
      </c>
      <c r="H111" s="124" t="s">
        <v>145</v>
      </c>
      <c r="I111" s="125" t="s">
        <v>146</v>
      </c>
    </row>
    <row r="112" spans="1:20" ht="91.5">
      <c r="A112" s="117"/>
      <c r="B112" s="134" t="s">
        <v>147</v>
      </c>
      <c r="C112" s="139"/>
      <c r="D112" s="162"/>
      <c r="E112" s="138" t="s">
        <v>148</v>
      </c>
      <c r="F112" s="124" t="s">
        <v>149</v>
      </c>
      <c r="G112" s="124" t="s">
        <v>150</v>
      </c>
      <c r="H112" s="124" t="s">
        <v>151</v>
      </c>
      <c r="I112" s="125" t="s">
        <v>152</v>
      </c>
    </row>
    <row r="113" spans="1:20" ht="91.5">
      <c r="A113" s="117"/>
      <c r="B113" s="134" t="s">
        <v>153</v>
      </c>
      <c r="C113" s="139"/>
      <c r="D113" s="162"/>
      <c r="E113" s="138" t="s">
        <v>30</v>
      </c>
      <c r="F113" s="124" t="s">
        <v>154</v>
      </c>
      <c r="G113" s="124" t="s">
        <v>155</v>
      </c>
      <c r="H113" s="124" t="s">
        <v>156</v>
      </c>
      <c r="I113" s="125" t="s">
        <v>157</v>
      </c>
    </row>
    <row r="114" spans="1:20" ht="121.5">
      <c r="A114" s="117"/>
      <c r="B114" s="134" t="s">
        <v>158</v>
      </c>
      <c r="C114" s="139"/>
      <c r="D114" s="162"/>
      <c r="E114" s="138" t="s">
        <v>159</v>
      </c>
      <c r="F114" s="124" t="s">
        <v>160</v>
      </c>
      <c r="G114" s="124" t="s">
        <v>161</v>
      </c>
      <c r="H114" s="124" t="s">
        <v>162</v>
      </c>
      <c r="I114" s="125" t="s">
        <v>163</v>
      </c>
    </row>
    <row r="115" spans="1:20">
      <c r="B115" s="127"/>
    </row>
    <row r="116" spans="1:20" s="57" customFormat="1" ht="45" customHeight="1">
      <c r="A116" s="118"/>
      <c r="B116" s="131" t="s">
        <v>164</v>
      </c>
      <c r="C116" s="161" t="s">
        <v>10</v>
      </c>
      <c r="D116" s="163" t="s">
        <v>11</v>
      </c>
      <c r="E116" s="137">
        <v>1</v>
      </c>
      <c r="F116" s="122">
        <v>2</v>
      </c>
      <c r="G116" s="122">
        <v>3</v>
      </c>
      <c r="H116" s="122">
        <v>4</v>
      </c>
      <c r="I116" s="123">
        <v>5</v>
      </c>
      <c r="J116" s="59"/>
      <c r="K116" s="59"/>
      <c r="L116" s="59"/>
      <c r="M116" s="59"/>
      <c r="N116" s="59"/>
      <c r="O116" s="59"/>
      <c r="P116" s="59"/>
      <c r="Q116" s="59"/>
      <c r="R116" s="59"/>
      <c r="S116" s="59"/>
      <c r="T116" s="59"/>
    </row>
    <row r="117" spans="1:20" ht="91.5">
      <c r="A117" s="119"/>
      <c r="B117" s="134" t="s">
        <v>165</v>
      </c>
      <c r="C117" s="139"/>
      <c r="D117" s="162"/>
      <c r="E117" s="138" t="s">
        <v>166</v>
      </c>
      <c r="F117" s="124" t="s">
        <v>167</v>
      </c>
      <c r="G117" s="124" t="s">
        <v>168</v>
      </c>
      <c r="H117" s="124" t="s">
        <v>169</v>
      </c>
      <c r="I117" s="125" t="s">
        <v>170</v>
      </c>
    </row>
    <row r="118" spans="1:20" ht="45.75">
      <c r="A118" s="119"/>
      <c r="B118" s="134" t="s">
        <v>171</v>
      </c>
      <c r="C118" s="139"/>
      <c r="D118" s="162"/>
      <c r="E118" s="138" t="s">
        <v>172</v>
      </c>
      <c r="F118" s="124" t="s">
        <v>173</v>
      </c>
      <c r="G118" s="124" t="s">
        <v>174</v>
      </c>
      <c r="H118" s="124" t="s">
        <v>175</v>
      </c>
      <c r="I118" s="125" t="s">
        <v>176</v>
      </c>
    </row>
    <row r="119" spans="1:20" ht="60.75">
      <c r="A119" s="119"/>
      <c r="B119" s="134" t="s">
        <v>177</v>
      </c>
      <c r="C119" s="139"/>
      <c r="D119" s="162"/>
      <c r="E119" s="138" t="s">
        <v>178</v>
      </c>
      <c r="F119" s="124" t="s">
        <v>179</v>
      </c>
      <c r="G119" s="124" t="s">
        <v>180</v>
      </c>
      <c r="H119" s="124" t="s">
        <v>181</v>
      </c>
      <c r="I119" s="125" t="s">
        <v>182</v>
      </c>
    </row>
    <row r="120" spans="1:20" ht="45.75">
      <c r="A120" s="119"/>
      <c r="B120" s="134" t="s">
        <v>183</v>
      </c>
      <c r="C120" s="139"/>
      <c r="D120" s="162"/>
      <c r="E120" s="138" t="s">
        <v>184</v>
      </c>
      <c r="F120" s="124" t="s">
        <v>185</v>
      </c>
      <c r="G120" s="124" t="s">
        <v>186</v>
      </c>
      <c r="H120" s="124" t="s">
        <v>187</v>
      </c>
      <c r="I120" s="125" t="s">
        <v>188</v>
      </c>
    </row>
    <row r="121" spans="1:20" ht="60.75">
      <c r="A121" s="119"/>
      <c r="B121" s="134" t="s">
        <v>189</v>
      </c>
      <c r="C121" s="139"/>
      <c r="D121" s="162"/>
      <c r="E121" s="138" t="s">
        <v>190</v>
      </c>
      <c r="F121" s="124" t="s">
        <v>191</v>
      </c>
      <c r="G121" s="124" t="s">
        <v>192</v>
      </c>
      <c r="H121" s="124" t="s">
        <v>193</v>
      </c>
      <c r="I121" s="125" t="s">
        <v>194</v>
      </c>
    </row>
    <row r="122" spans="1:20">
      <c r="B122" s="127"/>
    </row>
    <row r="123" spans="1:20" s="57" customFormat="1" ht="48.6" customHeight="1">
      <c r="A123" s="120"/>
      <c r="B123" s="131" t="s">
        <v>195</v>
      </c>
      <c r="C123" s="161" t="s">
        <v>10</v>
      </c>
      <c r="D123" s="163" t="s">
        <v>11</v>
      </c>
      <c r="E123" s="132">
        <v>1</v>
      </c>
      <c r="F123" s="132">
        <v>2</v>
      </c>
      <c r="G123" s="132">
        <v>3</v>
      </c>
      <c r="H123" s="132">
        <v>4</v>
      </c>
      <c r="I123" s="133">
        <v>5</v>
      </c>
      <c r="J123" s="59"/>
      <c r="K123" s="59"/>
      <c r="L123" s="59"/>
      <c r="M123" s="59"/>
      <c r="N123" s="59"/>
      <c r="O123" s="59"/>
      <c r="P123" s="59"/>
      <c r="Q123" s="59"/>
      <c r="R123" s="59"/>
      <c r="S123" s="59"/>
      <c r="T123" s="59"/>
    </row>
    <row r="124" spans="1:20" ht="76.5">
      <c r="A124" s="121"/>
      <c r="B124" s="134" t="s">
        <v>196</v>
      </c>
      <c r="C124" s="139"/>
      <c r="D124" s="162"/>
      <c r="E124" s="135" t="s">
        <v>197</v>
      </c>
      <c r="F124" s="135" t="s">
        <v>198</v>
      </c>
      <c r="G124" s="135" t="s">
        <v>199</v>
      </c>
      <c r="H124" s="135" t="s">
        <v>200</v>
      </c>
      <c r="I124" s="136" t="s">
        <v>201</v>
      </c>
    </row>
    <row r="125" spans="1:20" ht="106.5">
      <c r="A125" s="121"/>
      <c r="B125" s="134" t="s">
        <v>202</v>
      </c>
      <c r="C125" s="139"/>
      <c r="D125" s="162"/>
      <c r="E125" s="135" t="s">
        <v>30</v>
      </c>
      <c r="F125" s="135" t="s">
        <v>203</v>
      </c>
      <c r="G125" s="135" t="s">
        <v>204</v>
      </c>
      <c r="H125" s="135" t="s">
        <v>205</v>
      </c>
      <c r="I125" s="136" t="s">
        <v>206</v>
      </c>
    </row>
    <row r="126" spans="1:20" ht="76.5">
      <c r="A126" s="121"/>
      <c r="B126" s="134" t="s">
        <v>207</v>
      </c>
      <c r="C126" s="139"/>
      <c r="D126" s="162"/>
      <c r="E126" s="135" t="s">
        <v>208</v>
      </c>
      <c r="F126" s="135" t="s">
        <v>209</v>
      </c>
      <c r="G126" s="135" t="s">
        <v>210</v>
      </c>
      <c r="H126" s="135" t="s">
        <v>211</v>
      </c>
      <c r="I126" s="136" t="s">
        <v>212</v>
      </c>
    </row>
    <row r="127" spans="1:20" ht="152.25">
      <c r="A127" s="121"/>
      <c r="B127" s="134" t="s">
        <v>213</v>
      </c>
      <c r="C127" s="139"/>
      <c r="D127" s="162"/>
      <c r="E127" s="135" t="s">
        <v>30</v>
      </c>
      <c r="F127" s="135" t="s">
        <v>214</v>
      </c>
      <c r="G127" s="135" t="s">
        <v>215</v>
      </c>
      <c r="H127" s="135" t="s">
        <v>216</v>
      </c>
      <c r="I127" s="136" t="s">
        <v>217</v>
      </c>
    </row>
    <row r="128" spans="1:20" ht="106.5">
      <c r="A128" s="121"/>
      <c r="B128" s="134" t="s">
        <v>218</v>
      </c>
      <c r="C128" s="139"/>
      <c r="D128" s="162"/>
      <c r="E128" s="135" t="s">
        <v>219</v>
      </c>
      <c r="F128" s="135" t="s">
        <v>220</v>
      </c>
      <c r="G128" s="135" t="s">
        <v>221</v>
      </c>
      <c r="H128" s="135" t="s">
        <v>222</v>
      </c>
      <c r="I128" s="136" t="s">
        <v>223</v>
      </c>
    </row>
  </sheetData>
  <mergeCells count="13">
    <mergeCell ref="E80:I85"/>
    <mergeCell ref="E87:I90"/>
    <mergeCell ref="E92:I107"/>
    <mergeCell ref="E43:I47"/>
    <mergeCell ref="E49:I54"/>
    <mergeCell ref="E56:I61"/>
    <mergeCell ref="E63:I68"/>
    <mergeCell ref="E70:I78"/>
    <mergeCell ref="B4:D22"/>
    <mergeCell ref="B3:D3"/>
    <mergeCell ref="C24:D24"/>
    <mergeCell ref="E24:I24"/>
    <mergeCell ref="E36:I41"/>
  </mergeCells>
  <pageMargins left="0.7" right="0.7" top="0.75" bottom="0.75" header="0.3" footer="0.3"/>
  <pageSetup scale="6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CE82-04DE-4473-9F68-C9833F9ED966}">
  <sheetPr>
    <tabColor rgb="FFFF0000"/>
  </sheetPr>
  <dimension ref="A1:CB36"/>
  <sheetViews>
    <sheetView topLeftCell="W1" zoomScale="80" zoomScaleNormal="80" workbookViewId="0">
      <selection activeCell="AD5" sqref="AD5"/>
    </sheetView>
  </sheetViews>
  <sheetFormatPr defaultColWidth="8.7109375" defaultRowHeight="14.45"/>
  <cols>
    <col min="1" max="1" width="8.7109375" bestFit="1" customWidth="1"/>
    <col min="2" max="4" width="25.7109375" customWidth="1"/>
    <col min="5" max="80" width="6.42578125" style="27" customWidth="1"/>
  </cols>
  <sheetData>
    <row r="1" spans="1:80" ht="15" thickBot="1">
      <c r="E1" s="71"/>
      <c r="F1" s="71"/>
      <c r="G1" s="71"/>
      <c r="H1" s="71"/>
      <c r="I1" s="71"/>
      <c r="J1" s="71"/>
      <c r="K1" s="70"/>
      <c r="L1" s="70"/>
      <c r="M1" s="70"/>
      <c r="N1" s="70"/>
      <c r="O1" s="70"/>
      <c r="P1" s="70"/>
      <c r="Q1" s="70"/>
      <c r="R1" s="70"/>
      <c r="S1" s="70"/>
      <c r="T1" s="70"/>
      <c r="U1" s="70"/>
      <c r="V1" s="70"/>
      <c r="W1" s="70"/>
      <c r="X1" s="70"/>
      <c r="Y1" s="70"/>
      <c r="Z1" s="70"/>
      <c r="AA1" s="70"/>
      <c r="AB1" s="70"/>
      <c r="AC1" s="70"/>
      <c r="AD1" s="70"/>
      <c r="AE1" s="70"/>
      <c r="AF1" s="70"/>
      <c r="AG1" s="70"/>
      <c r="AH1" s="70"/>
      <c r="AI1" s="70"/>
      <c r="AJ1" s="70"/>
      <c r="AK1" s="70"/>
      <c r="AL1" s="70"/>
      <c r="AM1" s="70"/>
      <c r="AN1" s="70"/>
      <c r="AO1" s="70"/>
      <c r="AP1" s="70"/>
      <c r="AQ1" s="70"/>
      <c r="AR1" s="70"/>
      <c r="AS1" s="70"/>
      <c r="AT1" s="70"/>
      <c r="AU1" s="70"/>
      <c r="AV1" s="70"/>
      <c r="AW1" s="70"/>
      <c r="AX1" s="70"/>
      <c r="AY1" s="69"/>
      <c r="AZ1" s="69"/>
      <c r="BA1" s="69"/>
      <c r="BB1" s="69"/>
      <c r="BC1" s="69"/>
      <c r="BD1" s="69"/>
      <c r="BE1" s="69"/>
      <c r="BF1" s="69"/>
      <c r="BG1" s="69"/>
      <c r="BH1" s="69"/>
      <c r="BI1" s="69"/>
      <c r="BJ1" s="69"/>
      <c r="BK1" s="69"/>
      <c r="BL1" s="69"/>
      <c r="BM1" s="69"/>
      <c r="BN1" s="72"/>
      <c r="BO1" s="72"/>
      <c r="BP1" s="72"/>
      <c r="BQ1" s="72"/>
      <c r="BR1" s="72"/>
      <c r="BS1" s="73"/>
      <c r="BT1" s="73"/>
      <c r="BU1" s="73"/>
      <c r="BV1" s="73"/>
      <c r="BW1" s="73"/>
      <c r="BX1" s="74"/>
      <c r="BY1" s="74"/>
      <c r="BZ1" s="74"/>
      <c r="CA1" s="74"/>
      <c r="CB1" s="74"/>
    </row>
    <row r="2" spans="1:80" s="1" customFormat="1" ht="100.9" customHeight="1">
      <c r="A2" s="34"/>
      <c r="B2" s="35"/>
      <c r="C2" s="35"/>
      <c r="D2" s="36"/>
      <c r="E2" s="37" t="s">
        <v>224</v>
      </c>
      <c r="F2" s="38" t="s">
        <v>224</v>
      </c>
      <c r="G2" s="38" t="s">
        <v>224</v>
      </c>
      <c r="H2" s="38" t="s">
        <v>224</v>
      </c>
      <c r="I2" s="39" t="s">
        <v>224</v>
      </c>
      <c r="J2" s="40" t="s">
        <v>224</v>
      </c>
      <c r="K2" s="37" t="s">
        <v>225</v>
      </c>
      <c r="L2" s="149" t="s">
        <v>225</v>
      </c>
      <c r="M2" s="149" t="s">
        <v>225</v>
      </c>
      <c r="N2" s="149" t="s">
        <v>225</v>
      </c>
      <c r="O2" s="149" t="s">
        <v>225</v>
      </c>
      <c r="P2" s="149" t="s">
        <v>225</v>
      </c>
      <c r="Q2" s="149" t="s">
        <v>225</v>
      </c>
      <c r="R2" s="149" t="s">
        <v>225</v>
      </c>
      <c r="S2" s="149" t="s">
        <v>225</v>
      </c>
      <c r="T2" s="149" t="s">
        <v>225</v>
      </c>
      <c r="U2" s="149" t="s">
        <v>225</v>
      </c>
      <c r="V2" s="149" t="s">
        <v>225</v>
      </c>
      <c r="W2" s="149" t="s">
        <v>225</v>
      </c>
      <c r="X2" s="149" t="s">
        <v>225</v>
      </c>
      <c r="Y2" s="149" t="s">
        <v>225</v>
      </c>
      <c r="Z2" s="149" t="s">
        <v>225</v>
      </c>
      <c r="AA2" s="149" t="s">
        <v>225</v>
      </c>
      <c r="AB2" s="149" t="s">
        <v>225</v>
      </c>
      <c r="AC2" s="149" t="s">
        <v>225</v>
      </c>
      <c r="AD2" s="149" t="s">
        <v>225</v>
      </c>
      <c r="AE2" s="149" t="s">
        <v>225</v>
      </c>
      <c r="AF2" s="149" t="s">
        <v>225</v>
      </c>
      <c r="AG2" s="149" t="s">
        <v>225</v>
      </c>
      <c r="AH2" s="149" t="s">
        <v>225</v>
      </c>
      <c r="AI2" s="149" t="s">
        <v>225</v>
      </c>
      <c r="AJ2" s="149" t="s">
        <v>225</v>
      </c>
      <c r="AK2" s="149" t="s">
        <v>225</v>
      </c>
      <c r="AL2" s="149" t="s">
        <v>225</v>
      </c>
      <c r="AM2" s="149" t="s">
        <v>225</v>
      </c>
      <c r="AN2" s="149" t="s">
        <v>225</v>
      </c>
      <c r="AO2" s="149" t="s">
        <v>225</v>
      </c>
      <c r="AP2" s="149" t="s">
        <v>225</v>
      </c>
      <c r="AQ2" s="149" t="s">
        <v>225</v>
      </c>
      <c r="AR2" s="149" t="s">
        <v>225</v>
      </c>
      <c r="AS2" s="149" t="s">
        <v>225</v>
      </c>
      <c r="AT2" s="149" t="s">
        <v>225</v>
      </c>
      <c r="AU2" s="149" t="s">
        <v>225</v>
      </c>
      <c r="AV2" s="149" t="s">
        <v>225</v>
      </c>
      <c r="AW2" s="149" t="s">
        <v>225</v>
      </c>
      <c r="AX2" s="150" t="s">
        <v>225</v>
      </c>
      <c r="AY2" s="155" t="s">
        <v>226</v>
      </c>
      <c r="AZ2" s="41" t="s">
        <v>226</v>
      </c>
      <c r="BA2" s="41" t="s">
        <v>226</v>
      </c>
      <c r="BB2" s="41" t="s">
        <v>226</v>
      </c>
      <c r="BC2" s="41" t="s">
        <v>226</v>
      </c>
      <c r="BD2" s="41" t="s">
        <v>226</v>
      </c>
      <c r="BE2" s="41" t="s">
        <v>226</v>
      </c>
      <c r="BF2" s="41" t="s">
        <v>226</v>
      </c>
      <c r="BG2" s="41" t="s">
        <v>226</v>
      </c>
      <c r="BH2" s="41" t="s">
        <v>226</v>
      </c>
      <c r="BI2" s="41" t="s">
        <v>226</v>
      </c>
      <c r="BJ2" s="41" t="s">
        <v>226</v>
      </c>
      <c r="BK2" s="38" t="s">
        <v>226</v>
      </c>
      <c r="BL2" s="38" t="s">
        <v>226</v>
      </c>
      <c r="BM2" s="38" t="s">
        <v>226</v>
      </c>
      <c r="BN2" s="37" t="s">
        <v>227</v>
      </c>
      <c r="BO2" s="38" t="s">
        <v>227</v>
      </c>
      <c r="BP2" s="38" t="s">
        <v>227</v>
      </c>
      <c r="BQ2" s="38" t="s">
        <v>227</v>
      </c>
      <c r="BR2" s="39" t="s">
        <v>227</v>
      </c>
      <c r="BS2" s="37" t="s">
        <v>228</v>
      </c>
      <c r="BT2" s="38" t="s">
        <v>228</v>
      </c>
      <c r="BU2" s="38" t="s">
        <v>228</v>
      </c>
      <c r="BV2" s="38" t="s">
        <v>228</v>
      </c>
      <c r="BW2" s="40" t="s">
        <v>228</v>
      </c>
      <c r="BX2" s="41" t="s">
        <v>229</v>
      </c>
      <c r="BY2" s="38" t="s">
        <v>229</v>
      </c>
      <c r="BZ2" s="38" t="s">
        <v>229</v>
      </c>
      <c r="CA2" s="38" t="s">
        <v>229</v>
      </c>
      <c r="CB2" s="40" t="s">
        <v>229</v>
      </c>
    </row>
    <row r="3" spans="1:80" s="1" customFormat="1" ht="100.9" customHeight="1">
      <c r="A3" s="141"/>
      <c r="B3" s="142"/>
      <c r="C3" s="142"/>
      <c r="D3" s="143"/>
      <c r="E3" s="144"/>
      <c r="F3" s="145"/>
      <c r="G3" s="145"/>
      <c r="H3" s="145"/>
      <c r="I3" s="146"/>
      <c r="J3" s="147"/>
      <c r="K3" s="144" t="s">
        <v>55</v>
      </c>
      <c r="L3" s="12" t="str">
        <f>Questions!$B36</f>
        <v>Ethics and professionalism</v>
      </c>
      <c r="M3" s="14" t="str">
        <f>Questions!$B36</f>
        <v>Ethics and professionalism</v>
      </c>
      <c r="N3" s="14" t="str">
        <f>Questions!$B36</f>
        <v>Ethics and professionalism</v>
      </c>
      <c r="O3" s="14" t="str">
        <f>Questions!$B36</f>
        <v>Ethics and professionalism</v>
      </c>
      <c r="P3" s="14" t="str">
        <f>Questions!$B43</f>
        <v>Basic data skills</v>
      </c>
      <c r="Q3" s="14" t="str">
        <f>Questions!$B43</f>
        <v>Basic data skills</v>
      </c>
      <c r="R3" s="14" t="str">
        <f>Questions!$B43</f>
        <v>Basic data skills</v>
      </c>
      <c r="S3" s="14" t="str">
        <f>Questions!$B43</f>
        <v>Basic data skills</v>
      </c>
      <c r="T3" s="14" t="str">
        <f>Questions!$B49</f>
        <v>Statistics</v>
      </c>
      <c r="U3" s="14" t="str">
        <f>Questions!$B49</f>
        <v>Statistics</v>
      </c>
      <c r="V3" s="14" t="str">
        <f>Questions!$B49</f>
        <v>Statistics</v>
      </c>
      <c r="W3" s="14" t="str">
        <f>Questions!$B49</f>
        <v>Statistics</v>
      </c>
      <c r="X3" s="14" t="str">
        <f>Questions!$B49</f>
        <v>Statistics</v>
      </c>
      <c r="Y3" s="14" t="str">
        <f>Questions!$B56</f>
        <v>Qualitative analysis and research skills</v>
      </c>
      <c r="Z3" s="14" t="str">
        <f>Questions!$B56</f>
        <v>Qualitative analysis and research skills</v>
      </c>
      <c r="AA3" s="14" t="str">
        <f>Questions!$B56</f>
        <v>Qualitative analysis and research skills</v>
      </c>
      <c r="AB3" s="14" t="str">
        <f>Questions!$B56</f>
        <v>Qualitative analysis and research skills</v>
      </c>
      <c r="AC3" s="14" t="str">
        <f>Questions!$B56</f>
        <v>Qualitative analysis and research skills</v>
      </c>
      <c r="AD3" s="14" t="str">
        <f>Questions!$B63</f>
        <v>Metrics and goals</v>
      </c>
      <c r="AE3" s="14" t="str">
        <f>Questions!$B63</f>
        <v>Metrics and goals</v>
      </c>
      <c r="AF3" s="14" t="str">
        <f>Questions!$B63</f>
        <v>Metrics and goals</v>
      </c>
      <c r="AG3" s="14" t="str">
        <f>Questions!$B63</f>
        <v>Metrics and goals</v>
      </c>
      <c r="AH3" s="14" t="str">
        <f>Questions!$B63</f>
        <v>Metrics and goals</v>
      </c>
      <c r="AI3" s="14" t="str">
        <f>Questions!$B70</f>
        <v>CX theory</v>
      </c>
      <c r="AJ3" s="14" t="str">
        <f>Questions!$B70</f>
        <v>CX theory</v>
      </c>
      <c r="AK3" s="14" t="str">
        <f>Questions!$B70</f>
        <v>CX theory</v>
      </c>
      <c r="AL3" s="14" t="str">
        <f>Questions!$B70</f>
        <v>CX theory</v>
      </c>
      <c r="AM3" s="14" t="str">
        <f>Questions!$B70</f>
        <v>CX theory</v>
      </c>
      <c r="AN3" s="14" t="str">
        <f>Questions!$B70</f>
        <v>CX theory</v>
      </c>
      <c r="AO3" s="14" t="str">
        <f>Questions!$B70</f>
        <v>CX theory</v>
      </c>
      <c r="AP3" s="14" t="str">
        <f>Questions!$B70</f>
        <v>CX theory</v>
      </c>
      <c r="AQ3" s="14" t="str">
        <f>Questions!$B80</f>
        <v xml:space="preserve">CX knowledge application domain </v>
      </c>
      <c r="AR3" s="14" t="str">
        <f>Questions!$B80</f>
        <v xml:space="preserve">CX knowledge application domain </v>
      </c>
      <c r="AS3" s="14" t="str">
        <f>Questions!$B80</f>
        <v xml:space="preserve">CX knowledge application domain </v>
      </c>
      <c r="AT3" s="14" t="str">
        <f>Questions!$B80</f>
        <v xml:space="preserve">CX knowledge application domain </v>
      </c>
      <c r="AU3" s="14" t="str">
        <f>Questions!$B80</f>
        <v xml:space="preserve">CX knowledge application domain </v>
      </c>
      <c r="AV3" s="14" t="str">
        <f>Questions!$B87</f>
        <v>Bonus skills</v>
      </c>
      <c r="AW3" s="14" t="str">
        <f>Questions!$B87</f>
        <v>Bonus skills</v>
      </c>
      <c r="AX3" s="151" t="str">
        <f>Questions!$B87</f>
        <v>Bonus skills</v>
      </c>
      <c r="AY3" s="11"/>
      <c r="AZ3" s="148"/>
      <c r="BA3" s="148"/>
      <c r="BB3" s="148"/>
      <c r="BC3" s="148"/>
      <c r="BD3" s="148"/>
      <c r="BE3" s="148"/>
      <c r="BF3" s="148"/>
      <c r="BG3" s="148"/>
      <c r="BH3" s="148"/>
      <c r="BI3" s="148"/>
      <c r="BJ3" s="148"/>
      <c r="BK3" s="145"/>
      <c r="BL3" s="145"/>
      <c r="BM3" s="146"/>
      <c r="BN3" s="144"/>
      <c r="BO3" s="145"/>
      <c r="BP3" s="145"/>
      <c r="BQ3" s="145"/>
      <c r="BR3" s="146"/>
      <c r="BS3" s="144"/>
      <c r="BT3" s="145"/>
      <c r="BU3" s="145"/>
      <c r="BV3" s="145"/>
      <c r="BW3" s="147"/>
      <c r="BX3" s="148"/>
      <c r="BY3" s="145"/>
      <c r="BZ3" s="145"/>
      <c r="CA3" s="145"/>
      <c r="CB3" s="147"/>
    </row>
    <row r="4" spans="1:80" s="1" customFormat="1" ht="150.4" customHeight="1">
      <c r="A4" s="8"/>
      <c r="B4" s="9"/>
      <c r="C4" s="9"/>
      <c r="D4" s="10"/>
      <c r="E4" s="11" t="s">
        <v>19</v>
      </c>
      <c r="F4" s="12" t="s">
        <v>25</v>
      </c>
      <c r="G4" s="12" t="s">
        <v>31</v>
      </c>
      <c r="H4" s="12" t="s">
        <v>37</v>
      </c>
      <c r="I4" s="15" t="s">
        <v>43</v>
      </c>
      <c r="J4" s="13" t="s">
        <v>49</v>
      </c>
      <c r="K4" s="11" t="s">
        <v>230</v>
      </c>
      <c r="L4" s="14" t="s">
        <v>231</v>
      </c>
      <c r="M4" s="14" t="s">
        <v>232</v>
      </c>
      <c r="N4" s="14" t="s">
        <v>233</v>
      </c>
      <c r="O4" s="14" t="s">
        <v>234</v>
      </c>
      <c r="P4" s="14" t="s">
        <v>235</v>
      </c>
      <c r="Q4" s="14" t="s">
        <v>236</v>
      </c>
      <c r="R4" s="14" t="s">
        <v>237</v>
      </c>
      <c r="S4" s="14" t="s">
        <v>238</v>
      </c>
      <c r="T4" s="14" t="s">
        <v>239</v>
      </c>
      <c r="U4" s="14" t="s">
        <v>240</v>
      </c>
      <c r="V4" s="14" t="s">
        <v>241</v>
      </c>
      <c r="W4" s="14" t="s">
        <v>242</v>
      </c>
      <c r="X4" s="14" t="s">
        <v>243</v>
      </c>
      <c r="Y4" s="14" t="s">
        <v>244</v>
      </c>
      <c r="Z4" s="14" t="s">
        <v>245</v>
      </c>
      <c r="AA4" s="14" t="s">
        <v>246</v>
      </c>
      <c r="AB4" s="14" t="s">
        <v>247</v>
      </c>
      <c r="AC4" s="14" t="s">
        <v>248</v>
      </c>
      <c r="AD4" s="14" t="s">
        <v>249</v>
      </c>
      <c r="AE4" s="14" t="s">
        <v>250</v>
      </c>
      <c r="AF4" s="14" t="s">
        <v>251</v>
      </c>
      <c r="AG4" s="14" t="s">
        <v>252</v>
      </c>
      <c r="AH4" s="14" t="s">
        <v>253</v>
      </c>
      <c r="AI4" s="14" t="s">
        <v>254</v>
      </c>
      <c r="AJ4" s="14" t="s">
        <v>255</v>
      </c>
      <c r="AK4" s="14" t="s">
        <v>256</v>
      </c>
      <c r="AL4" s="14" t="s">
        <v>257</v>
      </c>
      <c r="AM4" s="14" t="s">
        <v>258</v>
      </c>
      <c r="AN4" s="14" t="s">
        <v>259</v>
      </c>
      <c r="AO4" s="14" t="s">
        <v>260</v>
      </c>
      <c r="AP4" s="14" t="s">
        <v>261</v>
      </c>
      <c r="AQ4" s="14" t="s">
        <v>262</v>
      </c>
      <c r="AR4" s="14" t="s">
        <v>116</v>
      </c>
      <c r="AS4" s="14" t="s">
        <v>263</v>
      </c>
      <c r="AT4" s="14" t="s">
        <v>264</v>
      </c>
      <c r="AU4" s="14" t="s">
        <v>265</v>
      </c>
      <c r="AV4" s="14" t="s">
        <v>266</v>
      </c>
      <c r="AW4" s="14" t="s">
        <v>267</v>
      </c>
      <c r="AX4" s="151" t="s">
        <v>268</v>
      </c>
      <c r="AY4" s="11" t="str">
        <f>Questions!K93</f>
        <v xml:space="preserve">Customer Journey Mapping </v>
      </c>
      <c r="AZ4" s="14" t="str">
        <f>Questions!K94</f>
        <v>Usability Tests - Formative</v>
      </c>
      <c r="BA4" s="14" t="str">
        <f>Questions!K95</f>
        <v>Usability Test - Summative</v>
      </c>
      <c r="BB4" s="14" t="str">
        <f>Questions!K96</f>
        <v>AB Testing</v>
      </c>
      <c r="BC4" s="14" t="str">
        <f>Questions!K97</f>
        <v>Behavioral Analytics (Web and app analytics tooling)</v>
      </c>
      <c r="BD4" s="14" t="str">
        <f>Questions!K98</f>
        <v>Marketing Analytics</v>
      </c>
      <c r="BE4" s="14" t="str">
        <f>Questions!K99</f>
        <v>Session recordings</v>
      </c>
      <c r="BF4" s="14" t="str">
        <f>Questions!K100</f>
        <v>Heatmaps &amp; Scrollmaps</v>
      </c>
      <c r="BG4" s="14" t="str">
        <f>Questions!K101</f>
        <v>Interviewing  (setup &amp; executing interview)</v>
      </c>
      <c r="BH4" s="14" t="str">
        <f>Questions!K102</f>
        <v>Survey Design (setup &amp; executing survey)</v>
      </c>
      <c r="BI4" s="14" t="str">
        <f>Questions!K103</f>
        <v>SQL</v>
      </c>
      <c r="BJ4" s="14" t="str">
        <f>Questions!K104</f>
        <v>Python</v>
      </c>
      <c r="BK4" s="12" t="str">
        <f>Questions!K105</f>
        <v>Javascript</v>
      </c>
      <c r="BL4" s="12" t="str">
        <f>Questions!K106</f>
        <v>R</v>
      </c>
      <c r="BM4" s="15" t="str">
        <f>Questions!K107</f>
        <v>HTML / CSS</v>
      </c>
      <c r="BN4" s="11" t="s">
        <v>136</v>
      </c>
      <c r="BO4" s="12" t="s">
        <v>141</v>
      </c>
      <c r="BP4" s="12" t="s">
        <v>147</v>
      </c>
      <c r="BQ4" s="12" t="s">
        <v>153</v>
      </c>
      <c r="BR4" s="15" t="s">
        <v>269</v>
      </c>
      <c r="BS4" s="11" t="s">
        <v>165</v>
      </c>
      <c r="BT4" s="12" t="s">
        <v>171</v>
      </c>
      <c r="BU4" s="12" t="s">
        <v>177</v>
      </c>
      <c r="BV4" s="12" t="s">
        <v>270</v>
      </c>
      <c r="BW4" s="13" t="s">
        <v>189</v>
      </c>
      <c r="BX4" s="14" t="s">
        <v>196</v>
      </c>
      <c r="BY4" s="12" t="s">
        <v>202</v>
      </c>
      <c r="BZ4" s="12" t="s">
        <v>207</v>
      </c>
      <c r="CA4" s="12" t="s">
        <v>213</v>
      </c>
      <c r="CB4" s="13" t="s">
        <v>218</v>
      </c>
    </row>
    <row r="5" spans="1:80">
      <c r="A5" s="6" t="s">
        <v>271</v>
      </c>
      <c r="B5" s="2" t="s">
        <v>272</v>
      </c>
      <c r="C5" s="2" t="s">
        <v>273</v>
      </c>
      <c r="D5" s="3" t="s">
        <v>274</v>
      </c>
      <c r="E5" s="16">
        <v>1</v>
      </c>
      <c r="F5" s="17">
        <v>2</v>
      </c>
      <c r="G5" s="17">
        <v>3</v>
      </c>
      <c r="H5" s="17">
        <v>4</v>
      </c>
      <c r="I5" s="20">
        <v>5</v>
      </c>
      <c r="J5" s="18">
        <v>6</v>
      </c>
      <c r="K5" s="16">
        <v>1</v>
      </c>
      <c r="L5" s="19">
        <f>K5+1</f>
        <v>2</v>
      </c>
      <c r="M5" s="19">
        <f t="shared" ref="M5:AX5" si="0">L5+1</f>
        <v>3</v>
      </c>
      <c r="N5" s="19">
        <f t="shared" si="0"/>
        <v>4</v>
      </c>
      <c r="O5" s="19">
        <f t="shared" si="0"/>
        <v>5</v>
      </c>
      <c r="P5" s="19">
        <v>1</v>
      </c>
      <c r="Q5" s="19">
        <v>2</v>
      </c>
      <c r="R5" s="19">
        <v>3</v>
      </c>
      <c r="S5" s="19">
        <v>4</v>
      </c>
      <c r="T5" s="19">
        <v>1</v>
      </c>
      <c r="U5" s="19">
        <v>2</v>
      </c>
      <c r="V5" s="19">
        <v>3</v>
      </c>
      <c r="W5" s="19">
        <v>4</v>
      </c>
      <c r="X5" s="19">
        <v>5</v>
      </c>
      <c r="Y5" s="19">
        <v>1</v>
      </c>
      <c r="Z5" s="19">
        <v>2</v>
      </c>
      <c r="AA5" s="19">
        <v>3</v>
      </c>
      <c r="AB5" s="19">
        <v>4</v>
      </c>
      <c r="AC5" s="19">
        <v>5</v>
      </c>
      <c r="AD5" s="19">
        <v>1</v>
      </c>
      <c r="AE5" s="19">
        <v>2</v>
      </c>
      <c r="AF5" s="19">
        <v>3</v>
      </c>
      <c r="AG5" s="19">
        <v>4</v>
      </c>
      <c r="AH5" s="19">
        <v>5</v>
      </c>
      <c r="AI5" s="19">
        <v>1</v>
      </c>
      <c r="AJ5" s="19">
        <v>2</v>
      </c>
      <c r="AK5" s="19">
        <v>3</v>
      </c>
      <c r="AL5" s="19">
        <v>4</v>
      </c>
      <c r="AM5" s="19">
        <v>5</v>
      </c>
      <c r="AN5" s="19">
        <f t="shared" si="0"/>
        <v>6</v>
      </c>
      <c r="AO5" s="19">
        <f t="shared" si="0"/>
        <v>7</v>
      </c>
      <c r="AP5" s="19">
        <f t="shared" si="0"/>
        <v>8</v>
      </c>
      <c r="AQ5" s="19">
        <v>1</v>
      </c>
      <c r="AR5" s="19">
        <f t="shared" si="0"/>
        <v>2</v>
      </c>
      <c r="AS5" s="19">
        <f t="shared" si="0"/>
        <v>3</v>
      </c>
      <c r="AT5" s="19">
        <f t="shared" si="0"/>
        <v>4</v>
      </c>
      <c r="AU5" s="19">
        <f t="shared" si="0"/>
        <v>5</v>
      </c>
      <c r="AV5" s="19">
        <v>1</v>
      </c>
      <c r="AW5" s="19">
        <f t="shared" si="0"/>
        <v>2</v>
      </c>
      <c r="AX5" s="152">
        <f t="shared" si="0"/>
        <v>3</v>
      </c>
      <c r="AY5" s="16">
        <f>Questions!A93</f>
        <v>1</v>
      </c>
      <c r="AZ5" s="27">
        <f>Questions!A94</f>
        <v>2</v>
      </c>
      <c r="BA5" s="19">
        <f>Questions!A95</f>
        <v>3</v>
      </c>
      <c r="BB5" s="19">
        <f>Questions!A96</f>
        <v>4</v>
      </c>
      <c r="BC5" s="19">
        <v>5</v>
      </c>
      <c r="BD5" s="19">
        <v>6</v>
      </c>
      <c r="BE5" s="19">
        <v>7</v>
      </c>
      <c r="BF5" s="19">
        <v>8</v>
      </c>
      <c r="BG5" s="19">
        <v>9</v>
      </c>
      <c r="BH5" s="19">
        <v>10</v>
      </c>
      <c r="BI5" s="19">
        <v>11</v>
      </c>
      <c r="BJ5" s="19">
        <v>12</v>
      </c>
      <c r="BK5" s="19">
        <v>13</v>
      </c>
      <c r="BL5" s="19">
        <v>14</v>
      </c>
      <c r="BM5" s="19">
        <v>15</v>
      </c>
      <c r="BN5" s="16">
        <v>1</v>
      </c>
      <c r="BO5" s="17">
        <v>2</v>
      </c>
      <c r="BP5" s="17">
        <v>3</v>
      </c>
      <c r="BQ5" s="17">
        <v>4</v>
      </c>
      <c r="BR5" s="20">
        <v>5</v>
      </c>
      <c r="BS5" s="16">
        <v>1</v>
      </c>
      <c r="BT5" s="17">
        <v>2</v>
      </c>
      <c r="BU5" s="17">
        <v>3</v>
      </c>
      <c r="BV5" s="17">
        <v>4</v>
      </c>
      <c r="BW5" s="18">
        <v>5</v>
      </c>
      <c r="BX5" s="19">
        <v>1</v>
      </c>
      <c r="BY5" s="17">
        <v>2</v>
      </c>
      <c r="BZ5" s="17">
        <v>3</v>
      </c>
      <c r="CA5" s="17">
        <v>4</v>
      </c>
      <c r="CB5" s="18">
        <v>5</v>
      </c>
    </row>
    <row r="6" spans="1:80">
      <c r="A6" s="32" t="s">
        <v>275</v>
      </c>
      <c r="B6" s="5"/>
      <c r="C6" s="5"/>
      <c r="D6" s="5"/>
      <c r="E6" s="21"/>
      <c r="F6" s="22"/>
      <c r="G6" s="22"/>
      <c r="H6" s="22"/>
      <c r="I6" s="22"/>
      <c r="J6" s="23"/>
      <c r="K6" s="21"/>
      <c r="L6" s="22"/>
      <c r="M6" s="22"/>
      <c r="N6" s="22"/>
      <c r="O6" s="22"/>
      <c r="P6" s="22"/>
      <c r="Q6" s="22"/>
      <c r="R6" s="22"/>
      <c r="S6" s="22"/>
      <c r="T6" s="22"/>
      <c r="U6" s="22"/>
      <c r="V6" s="22"/>
      <c r="W6" s="22"/>
      <c r="X6" s="22"/>
      <c r="Y6" s="22"/>
      <c r="Z6" s="22"/>
      <c r="AA6" s="22"/>
      <c r="AB6" s="22"/>
      <c r="AC6" s="22"/>
      <c r="AD6" s="22"/>
      <c r="AE6" s="22"/>
      <c r="AF6" s="22"/>
      <c r="AG6" s="22"/>
      <c r="AH6" s="22"/>
      <c r="AI6" s="22"/>
      <c r="AJ6" s="22"/>
      <c r="AK6" s="22"/>
      <c r="AL6" s="22"/>
      <c r="AM6" s="22"/>
      <c r="AN6" s="22"/>
      <c r="AO6" s="22"/>
      <c r="AP6" s="22"/>
      <c r="AQ6" s="22"/>
      <c r="AR6" s="22"/>
      <c r="AS6" s="22"/>
      <c r="AT6" s="22"/>
      <c r="AU6" s="22"/>
      <c r="AV6" s="22"/>
      <c r="AW6" s="22"/>
      <c r="AX6" s="22"/>
      <c r="AY6" s="21"/>
      <c r="AZ6" s="22"/>
      <c r="BA6" s="22"/>
      <c r="BB6" s="22"/>
      <c r="BC6" s="22"/>
      <c r="BD6" s="22"/>
      <c r="BE6" s="22"/>
      <c r="BF6" s="22"/>
      <c r="BG6" s="22"/>
      <c r="BH6" s="22"/>
      <c r="BI6" s="22"/>
      <c r="BJ6" s="22"/>
      <c r="BK6" s="22"/>
      <c r="BL6" s="22"/>
      <c r="BM6" s="22"/>
      <c r="BN6" s="21"/>
      <c r="BO6" s="22"/>
      <c r="BP6" s="22"/>
      <c r="BQ6" s="22"/>
      <c r="BR6" s="22"/>
      <c r="BS6" s="21"/>
      <c r="BT6" s="22"/>
      <c r="BU6" s="22"/>
      <c r="BV6" s="22"/>
      <c r="BW6" s="23"/>
      <c r="BX6" s="22"/>
      <c r="BY6" s="22"/>
      <c r="BZ6" s="22"/>
      <c r="CA6" s="22"/>
      <c r="CB6" s="23"/>
    </row>
    <row r="7" spans="1:80">
      <c r="A7" s="6">
        <v>1</v>
      </c>
      <c r="B7" s="33" t="s">
        <v>276</v>
      </c>
      <c r="C7" s="2"/>
      <c r="D7" s="3"/>
      <c r="E7" s="42">
        <f>Questions!C29</f>
        <v>0</v>
      </c>
      <c r="F7" s="43">
        <f>Questions!C30</f>
        <v>0</v>
      </c>
      <c r="G7" s="43">
        <f>Questions!C31</f>
        <v>0</v>
      </c>
      <c r="H7" s="43">
        <f>Questions!C32</f>
        <v>0</v>
      </c>
      <c r="I7" s="43">
        <f>Questions!C33</f>
        <v>0</v>
      </c>
      <c r="J7" s="44">
        <f>Questions!C34</f>
        <v>0</v>
      </c>
      <c r="K7" s="42">
        <f>Questions!C37</f>
        <v>0</v>
      </c>
      <c r="L7" s="65">
        <f>Questions!C38</f>
        <v>0</v>
      </c>
      <c r="M7" s="65">
        <f>Questions!C39</f>
        <v>0</v>
      </c>
      <c r="N7" s="65">
        <f>Questions!C40</f>
        <v>0</v>
      </c>
      <c r="O7" s="65">
        <f>Questions!C41</f>
        <v>0</v>
      </c>
      <c r="P7" s="65">
        <f>Questions!C44</f>
        <v>0</v>
      </c>
      <c r="Q7" s="65">
        <f>Questions!C45</f>
        <v>0</v>
      </c>
      <c r="R7" s="65">
        <f>Questions!C46</f>
        <v>0</v>
      </c>
      <c r="S7" s="65">
        <f>Questions!C47</f>
        <v>0</v>
      </c>
      <c r="T7" s="65">
        <f>Questions!C50</f>
        <v>0</v>
      </c>
      <c r="U7" s="65">
        <f>Questions!C51</f>
        <v>0</v>
      </c>
      <c r="V7" s="65">
        <f>Questions!C52</f>
        <v>0</v>
      </c>
      <c r="W7" s="65">
        <f>Questions!C53</f>
        <v>0</v>
      </c>
      <c r="X7" s="65">
        <f>Questions!C54</f>
        <v>0</v>
      </c>
      <c r="Y7" s="65">
        <f>Questions!C57</f>
        <v>0</v>
      </c>
      <c r="Z7" s="65">
        <f>Questions!C58</f>
        <v>0</v>
      </c>
      <c r="AA7" s="65">
        <f>Questions!C59</f>
        <v>0</v>
      </c>
      <c r="AB7" s="65">
        <f>Questions!C60</f>
        <v>0</v>
      </c>
      <c r="AC7" s="65">
        <f>Questions!C61</f>
        <v>0</v>
      </c>
      <c r="AD7" s="65">
        <f>Questions!C64</f>
        <v>0</v>
      </c>
      <c r="AE7" s="65">
        <f>Questions!C65</f>
        <v>0</v>
      </c>
      <c r="AF7" s="65">
        <f>Questions!C66</f>
        <v>0</v>
      </c>
      <c r="AG7" s="65">
        <f>Questions!C67</f>
        <v>0</v>
      </c>
      <c r="AH7" s="65">
        <f>Questions!C68</f>
        <v>0</v>
      </c>
      <c r="AI7" s="65">
        <f>Questions!C71</f>
        <v>0</v>
      </c>
      <c r="AJ7" s="65">
        <f>Questions!C72</f>
        <v>0</v>
      </c>
      <c r="AK7" s="65">
        <f>Questions!C73</f>
        <v>0</v>
      </c>
      <c r="AL7" s="65">
        <f>Questions!C74</f>
        <v>0</v>
      </c>
      <c r="AM7" s="65">
        <f>Questions!C75</f>
        <v>0</v>
      </c>
      <c r="AN7" s="65">
        <f>Questions!C76</f>
        <v>0</v>
      </c>
      <c r="AO7" s="65">
        <f>Questions!C77</f>
        <v>0</v>
      </c>
      <c r="AP7" s="65">
        <f>Questions!C78</f>
        <v>0</v>
      </c>
      <c r="AQ7" s="65">
        <f>Questions!C81</f>
        <v>0</v>
      </c>
      <c r="AR7" s="65">
        <f>Questions!C82</f>
        <v>0</v>
      </c>
      <c r="AS7" s="65">
        <f>Questions!C83</f>
        <v>0</v>
      </c>
      <c r="AT7" s="65">
        <f>Questions!C84</f>
        <v>0</v>
      </c>
      <c r="AU7" s="65">
        <f>Questions!C85</f>
        <v>0</v>
      </c>
      <c r="AV7" s="65">
        <f>Questions!C88</f>
        <v>0</v>
      </c>
      <c r="AW7" s="65">
        <f>Questions!C89</f>
        <v>0</v>
      </c>
      <c r="AX7" s="153">
        <f>Questions!C90</f>
        <v>0</v>
      </c>
      <c r="AY7" s="42">
        <f>Questions!C93</f>
        <v>0</v>
      </c>
      <c r="AZ7" s="65">
        <f>Questions!C94</f>
        <v>0</v>
      </c>
      <c r="BA7" s="65">
        <f>Questions!C95</f>
        <v>0</v>
      </c>
      <c r="BB7" s="65">
        <f>Questions!C96</f>
        <v>0</v>
      </c>
      <c r="BC7" s="65">
        <f>Questions!C97</f>
        <v>0</v>
      </c>
      <c r="BD7" s="65">
        <f>Questions!C98</f>
        <v>0</v>
      </c>
      <c r="BE7" s="65">
        <f>Questions!C99</f>
        <v>0</v>
      </c>
      <c r="BF7" s="65">
        <f>Questions!C100</f>
        <v>0</v>
      </c>
      <c r="BG7" s="65">
        <f>Questions!C101</f>
        <v>0</v>
      </c>
      <c r="BH7" s="65">
        <f>Questions!C102</f>
        <v>0</v>
      </c>
      <c r="BI7" s="65">
        <f>Questions!C103</f>
        <v>0</v>
      </c>
      <c r="BJ7" s="65">
        <f>Questions!C104</f>
        <v>0</v>
      </c>
      <c r="BK7" s="43">
        <f>Questions!C105</f>
        <v>0</v>
      </c>
      <c r="BL7" s="43">
        <f>Questions!C106</f>
        <v>0</v>
      </c>
      <c r="BM7" s="43">
        <f>Questions!C107</f>
        <v>0</v>
      </c>
      <c r="BN7" s="42">
        <f>Questions!C110</f>
        <v>0</v>
      </c>
      <c r="BO7" s="43">
        <f>Questions!C111</f>
        <v>0</v>
      </c>
      <c r="BP7" s="43">
        <f>Questions!C112</f>
        <v>0</v>
      </c>
      <c r="BQ7" s="43">
        <f>Questions!C113</f>
        <v>0</v>
      </c>
      <c r="BR7" s="43">
        <f>Questions!C114</f>
        <v>0</v>
      </c>
      <c r="BS7" s="42">
        <f>Questions!C117</f>
        <v>0</v>
      </c>
      <c r="BT7" s="43">
        <f>Questions!C118</f>
        <v>0</v>
      </c>
      <c r="BU7" s="43">
        <f>Questions!C119</f>
        <v>0</v>
      </c>
      <c r="BV7" s="43">
        <f>Questions!C120</f>
        <v>0</v>
      </c>
      <c r="BW7" s="44">
        <f>Questions!C121</f>
        <v>0</v>
      </c>
      <c r="BX7" s="42">
        <f>Questions!C124</f>
        <v>0</v>
      </c>
      <c r="BY7" s="43">
        <f>Questions!C125</f>
        <v>0</v>
      </c>
      <c r="BZ7" s="43">
        <f>Questions!C126</f>
        <v>0</v>
      </c>
      <c r="CA7" s="43">
        <f>Questions!C127</f>
        <v>0</v>
      </c>
      <c r="CB7" s="44">
        <f>Questions!C128</f>
        <v>0</v>
      </c>
    </row>
    <row r="8" spans="1:80">
      <c r="A8" s="6">
        <v>2</v>
      </c>
      <c r="B8" s="28" t="s">
        <v>277</v>
      </c>
      <c r="C8" s="2"/>
      <c r="D8" s="3"/>
      <c r="E8" s="24"/>
      <c r="F8" s="25"/>
      <c r="G8" s="25"/>
      <c r="H8" s="25"/>
      <c r="I8" s="29"/>
      <c r="J8" s="26"/>
      <c r="K8" s="24"/>
      <c r="L8" s="66"/>
      <c r="M8" s="66"/>
      <c r="N8" s="66"/>
      <c r="O8" s="66"/>
      <c r="P8" s="66"/>
      <c r="Q8" s="66"/>
      <c r="R8" s="66"/>
      <c r="S8" s="66"/>
      <c r="T8" s="66"/>
      <c r="U8" s="66"/>
      <c r="V8" s="66"/>
      <c r="W8" s="66"/>
      <c r="X8" s="66"/>
      <c r="Y8" s="66"/>
      <c r="Z8" s="66"/>
      <c r="AA8" s="66"/>
      <c r="AB8" s="66"/>
      <c r="AC8" s="66"/>
      <c r="AD8" s="66"/>
      <c r="AE8" s="66"/>
      <c r="AF8" s="66"/>
      <c r="AG8" s="66"/>
      <c r="AH8" s="66"/>
      <c r="AI8" s="66"/>
      <c r="AJ8" s="66"/>
      <c r="AK8" s="66"/>
      <c r="AL8" s="66"/>
      <c r="AM8" s="66"/>
      <c r="AN8" s="66"/>
      <c r="AO8" s="66"/>
      <c r="AP8" s="66"/>
      <c r="AQ8" s="66"/>
      <c r="AR8" s="66"/>
      <c r="AS8" s="66"/>
      <c r="AT8" s="66"/>
      <c r="AU8" s="66"/>
      <c r="AV8" s="66"/>
      <c r="AW8" s="66"/>
      <c r="AX8" s="154"/>
      <c r="AY8" s="24"/>
      <c r="AZ8" s="66"/>
      <c r="BA8" s="66"/>
      <c r="BB8" s="66"/>
      <c r="BC8" s="66"/>
      <c r="BD8" s="66"/>
      <c r="BE8" s="66"/>
      <c r="BF8" s="66"/>
      <c r="BG8" s="66"/>
      <c r="BH8" s="66"/>
      <c r="BI8" s="66"/>
      <c r="BJ8" s="66"/>
      <c r="BK8" s="25"/>
      <c r="BL8" s="25"/>
      <c r="BM8" s="29"/>
      <c r="BN8" s="24"/>
      <c r="BO8" s="25"/>
      <c r="BP8" s="25"/>
      <c r="BQ8" s="25"/>
      <c r="BR8" s="25"/>
      <c r="BS8" s="24"/>
      <c r="BT8" s="25"/>
      <c r="BU8" s="25"/>
      <c r="BV8" s="25"/>
      <c r="BW8" s="26"/>
      <c r="BX8" s="24"/>
      <c r="BY8" s="25"/>
      <c r="BZ8" s="25"/>
      <c r="CA8" s="25"/>
      <c r="CB8" s="26"/>
    </row>
    <row r="9" spans="1:80">
      <c r="A9" s="6">
        <v>3</v>
      </c>
      <c r="B9" s="28" t="s">
        <v>278</v>
      </c>
      <c r="C9" s="2"/>
      <c r="D9" s="3"/>
      <c r="E9" s="24"/>
      <c r="F9" s="25"/>
      <c r="G9" s="25"/>
      <c r="H9" s="25"/>
      <c r="I9" s="29"/>
      <c r="J9" s="26"/>
      <c r="K9" s="24"/>
      <c r="L9" s="66"/>
      <c r="M9" s="66"/>
      <c r="N9" s="66"/>
      <c r="O9" s="66"/>
      <c r="P9" s="66"/>
      <c r="Q9" s="66"/>
      <c r="R9" s="66"/>
      <c r="S9" s="66"/>
      <c r="T9" s="66"/>
      <c r="U9" s="66"/>
      <c r="V9" s="66"/>
      <c r="W9" s="66"/>
      <c r="X9" s="66"/>
      <c r="Y9" s="66"/>
      <c r="Z9" s="66"/>
      <c r="AA9" s="66"/>
      <c r="AB9" s="66"/>
      <c r="AC9" s="66"/>
      <c r="AD9" s="66"/>
      <c r="AE9" s="66"/>
      <c r="AF9" s="66"/>
      <c r="AG9" s="66"/>
      <c r="AH9" s="66"/>
      <c r="AI9" s="66"/>
      <c r="AJ9" s="66"/>
      <c r="AK9" s="66"/>
      <c r="AL9" s="66"/>
      <c r="AM9" s="66"/>
      <c r="AN9" s="66"/>
      <c r="AO9" s="66"/>
      <c r="AP9" s="66"/>
      <c r="AQ9" s="66"/>
      <c r="AR9" s="66"/>
      <c r="AS9" s="66"/>
      <c r="AT9" s="66"/>
      <c r="AU9" s="66"/>
      <c r="AV9" s="66"/>
      <c r="AW9" s="66"/>
      <c r="AX9" s="66"/>
      <c r="AY9" s="24"/>
      <c r="AZ9" s="66"/>
      <c r="BA9" s="66"/>
      <c r="BB9" s="66"/>
      <c r="BC9" s="66"/>
      <c r="BD9" s="66"/>
      <c r="BE9" s="66"/>
      <c r="BF9" s="66"/>
      <c r="BG9" s="66"/>
      <c r="BH9" s="66"/>
      <c r="BI9" s="66"/>
      <c r="BJ9" s="66"/>
      <c r="BK9" s="25"/>
      <c r="BL9" s="25"/>
      <c r="BM9" s="29"/>
      <c r="BN9" s="24"/>
      <c r="BO9" s="25"/>
      <c r="BP9" s="25"/>
      <c r="BQ9" s="25"/>
      <c r="BR9" s="25"/>
      <c r="BS9" s="24"/>
      <c r="BT9" s="25"/>
      <c r="BU9" s="25"/>
      <c r="BV9" s="25"/>
      <c r="BW9" s="26"/>
      <c r="BX9" s="24"/>
      <c r="BY9" s="25"/>
      <c r="BZ9" s="25"/>
      <c r="CA9" s="25"/>
      <c r="CB9" s="26"/>
    </row>
    <row r="10" spans="1:80">
      <c r="A10" s="6">
        <v>4</v>
      </c>
      <c r="B10" s="2"/>
      <c r="C10" s="2"/>
      <c r="D10" s="3"/>
      <c r="E10" s="24"/>
      <c r="F10" s="25"/>
      <c r="G10" s="25"/>
      <c r="H10" s="25"/>
      <c r="I10" s="29"/>
      <c r="J10" s="30"/>
      <c r="K10" s="24"/>
      <c r="L10" s="66"/>
      <c r="M10" s="66"/>
      <c r="N10" s="66"/>
      <c r="O10" s="66"/>
      <c r="P10" s="66"/>
      <c r="Q10" s="66"/>
      <c r="R10" s="66"/>
      <c r="S10" s="66"/>
      <c r="T10" s="66"/>
      <c r="U10" s="66"/>
      <c r="V10" s="66"/>
      <c r="W10" s="66"/>
      <c r="X10" s="66"/>
      <c r="Y10" s="66"/>
      <c r="Z10" s="66"/>
      <c r="AA10" s="66"/>
      <c r="AB10" s="66"/>
      <c r="AC10" s="66"/>
      <c r="AD10" s="66"/>
      <c r="AE10" s="66"/>
      <c r="AF10" s="66"/>
      <c r="AG10" s="66"/>
      <c r="AH10" s="66"/>
      <c r="AI10" s="66"/>
      <c r="AJ10" s="66"/>
      <c r="AK10" s="66"/>
      <c r="AL10" s="66"/>
      <c r="AM10" s="66"/>
      <c r="AN10" s="66"/>
      <c r="AO10" s="66"/>
      <c r="AP10" s="66"/>
      <c r="AQ10" s="66"/>
      <c r="AR10" s="66"/>
      <c r="AS10" s="66"/>
      <c r="AT10" s="66"/>
      <c r="AU10" s="66"/>
      <c r="AV10" s="66"/>
      <c r="AW10" s="66"/>
      <c r="AX10" s="66"/>
      <c r="AY10" s="24"/>
      <c r="AZ10" s="66"/>
      <c r="BA10" s="66"/>
      <c r="BB10" s="66"/>
      <c r="BC10" s="66"/>
      <c r="BD10" s="66"/>
      <c r="BE10" s="66"/>
      <c r="BF10" s="66"/>
      <c r="BG10" s="66"/>
      <c r="BH10" s="66"/>
      <c r="BI10" s="66"/>
      <c r="BJ10" s="66"/>
      <c r="BK10" s="25"/>
      <c r="BL10" s="25"/>
      <c r="BM10" s="29"/>
      <c r="BN10" s="24"/>
      <c r="BO10" s="25"/>
      <c r="BP10" s="25"/>
      <c r="BQ10" s="25"/>
      <c r="BR10" s="25"/>
      <c r="BS10" s="24"/>
      <c r="BT10" s="25"/>
      <c r="BU10" s="25"/>
      <c r="BV10" s="25"/>
      <c r="BW10" s="26"/>
      <c r="BX10" s="24"/>
      <c r="BY10" s="25"/>
      <c r="BZ10" s="25"/>
      <c r="CA10" s="25"/>
      <c r="CB10" s="26"/>
    </row>
    <row r="11" spans="1:80">
      <c r="A11" s="6">
        <v>5</v>
      </c>
      <c r="B11" s="3"/>
      <c r="C11" s="3"/>
      <c r="D11" s="3"/>
      <c r="E11" s="24"/>
      <c r="F11" s="25"/>
      <c r="G11" s="25"/>
      <c r="H11" s="25"/>
      <c r="I11" s="29"/>
      <c r="J11" s="26"/>
      <c r="K11" s="24"/>
      <c r="L11" s="66"/>
      <c r="M11" s="66"/>
      <c r="N11" s="66"/>
      <c r="O11" s="66"/>
      <c r="P11" s="66"/>
      <c r="Q11" s="66"/>
      <c r="R11" s="66"/>
      <c r="S11" s="66"/>
      <c r="T11" s="66"/>
      <c r="U11" s="66"/>
      <c r="V11" s="66"/>
      <c r="W11" s="66"/>
      <c r="X11" s="66"/>
      <c r="Y11" s="66"/>
      <c r="Z11" s="66"/>
      <c r="AA11" s="66"/>
      <c r="AB11" s="66"/>
      <c r="AC11" s="66"/>
      <c r="AD11" s="66"/>
      <c r="AE11" s="66"/>
      <c r="AF11" s="66"/>
      <c r="AG11" s="66"/>
      <c r="AH11" s="66"/>
      <c r="AI11" s="66"/>
      <c r="AJ11" s="66"/>
      <c r="AK11" s="66"/>
      <c r="AL11" s="66"/>
      <c r="AM11" s="66"/>
      <c r="AN11" s="66"/>
      <c r="AO11" s="66"/>
      <c r="AP11" s="66"/>
      <c r="AQ11" s="66"/>
      <c r="AR11" s="66"/>
      <c r="AS11" s="66"/>
      <c r="AT11" s="66"/>
      <c r="AU11" s="66"/>
      <c r="AV11" s="66"/>
      <c r="AW11" s="66"/>
      <c r="AX11" s="66"/>
      <c r="AY11" s="24"/>
      <c r="AZ11" s="66"/>
      <c r="BA11" s="66"/>
      <c r="BB11" s="66"/>
      <c r="BC11" s="66"/>
      <c r="BD11" s="66"/>
      <c r="BE11" s="66"/>
      <c r="BF11" s="66"/>
      <c r="BG11" s="66"/>
      <c r="BH11" s="66"/>
      <c r="BI11" s="66"/>
      <c r="BJ11" s="66"/>
      <c r="BK11" s="25"/>
      <c r="BL11" s="25"/>
      <c r="BM11" s="29"/>
      <c r="BN11" s="24"/>
      <c r="BO11" s="25"/>
      <c r="BP11" s="25"/>
      <c r="BQ11" s="25"/>
      <c r="BR11" s="25"/>
      <c r="BS11" s="24"/>
      <c r="BT11" s="25"/>
      <c r="BU11" s="25"/>
      <c r="BV11" s="25"/>
      <c r="BW11" s="26"/>
      <c r="BX11" s="24"/>
      <c r="BY11" s="25"/>
      <c r="BZ11" s="25"/>
      <c r="CA11" s="25"/>
      <c r="CB11" s="26"/>
    </row>
    <row r="12" spans="1:80">
      <c r="A12" s="6">
        <v>6</v>
      </c>
      <c r="B12" s="2"/>
      <c r="C12" s="2"/>
      <c r="D12" s="3"/>
      <c r="E12" s="24"/>
      <c r="F12" s="25"/>
      <c r="G12" s="25"/>
      <c r="J12" s="26"/>
      <c r="K12" s="24"/>
      <c r="L12" s="66"/>
      <c r="M12" s="66"/>
      <c r="N12" s="66"/>
      <c r="O12" s="66"/>
      <c r="P12" s="66"/>
      <c r="Q12" s="66"/>
      <c r="R12" s="66"/>
      <c r="S12" s="66"/>
      <c r="T12" s="66"/>
      <c r="U12" s="66"/>
      <c r="V12" s="66"/>
      <c r="W12" s="66"/>
      <c r="X12" s="66"/>
      <c r="Y12" s="66"/>
      <c r="Z12" s="66"/>
      <c r="AA12" s="66"/>
      <c r="AB12" s="66"/>
      <c r="AC12" s="66"/>
      <c r="AD12" s="66"/>
      <c r="AE12" s="66"/>
      <c r="AF12" s="66"/>
      <c r="AG12" s="66"/>
      <c r="AH12" s="66"/>
      <c r="AI12" s="66"/>
      <c r="AJ12" s="66"/>
      <c r="AK12" s="66"/>
      <c r="AL12" s="66"/>
      <c r="AM12" s="66"/>
      <c r="AN12" s="66"/>
      <c r="AO12" s="66"/>
      <c r="AP12" s="66"/>
      <c r="AQ12" s="66"/>
      <c r="AR12" s="66"/>
      <c r="AS12" s="66"/>
      <c r="AT12" s="66"/>
      <c r="AU12" s="66"/>
      <c r="AV12" s="66"/>
      <c r="AW12" s="66"/>
      <c r="AX12" s="66"/>
      <c r="AY12" s="24"/>
      <c r="AZ12" s="66"/>
      <c r="BA12" s="66"/>
      <c r="BB12" s="66"/>
      <c r="BC12" s="66"/>
      <c r="BD12" s="66"/>
      <c r="BE12" s="66"/>
      <c r="BF12" s="66"/>
      <c r="BG12" s="66"/>
      <c r="BH12" s="66"/>
      <c r="BI12" s="66"/>
      <c r="BJ12" s="66"/>
      <c r="BK12" s="25"/>
      <c r="BL12" s="25"/>
      <c r="BM12" s="29"/>
      <c r="BN12" s="24"/>
      <c r="BO12" s="25"/>
      <c r="BP12" s="25"/>
      <c r="BQ12" s="25"/>
      <c r="BR12" s="25"/>
      <c r="BS12" s="24"/>
      <c r="BT12" s="25"/>
      <c r="BU12" s="25"/>
      <c r="BV12" s="25"/>
      <c r="BW12" s="26"/>
      <c r="BX12" s="24"/>
      <c r="BY12" s="25"/>
      <c r="BZ12" s="25"/>
      <c r="CA12" s="25"/>
      <c r="CB12" s="26"/>
    </row>
    <row r="13" spans="1:80">
      <c r="A13" s="6">
        <v>7</v>
      </c>
      <c r="B13" s="2"/>
      <c r="C13" s="2"/>
      <c r="D13" s="3"/>
      <c r="E13" s="24"/>
      <c r="F13" s="25"/>
      <c r="G13" s="25"/>
      <c r="H13" s="25"/>
      <c r="I13" s="29"/>
      <c r="J13" s="26"/>
      <c r="K13" s="24"/>
      <c r="L13" s="66"/>
      <c r="M13" s="66"/>
      <c r="N13" s="66"/>
      <c r="O13" s="66"/>
      <c r="P13" s="66"/>
      <c r="Q13" s="66"/>
      <c r="R13" s="66"/>
      <c r="S13" s="66"/>
      <c r="T13" s="66"/>
      <c r="U13" s="66"/>
      <c r="V13" s="66"/>
      <c r="W13" s="66"/>
      <c r="X13" s="66"/>
      <c r="Y13" s="66"/>
      <c r="Z13" s="66"/>
      <c r="AA13" s="66"/>
      <c r="AB13" s="66"/>
      <c r="AC13" s="66"/>
      <c r="AD13" s="66"/>
      <c r="AE13" s="66"/>
      <c r="AF13" s="66"/>
      <c r="AG13" s="66"/>
      <c r="AH13" s="66"/>
      <c r="AI13" s="66"/>
      <c r="AJ13" s="66"/>
      <c r="AK13" s="66"/>
      <c r="AL13" s="66"/>
      <c r="AM13" s="66"/>
      <c r="AN13" s="66"/>
      <c r="AO13" s="66"/>
      <c r="AP13" s="66"/>
      <c r="AQ13" s="66"/>
      <c r="AR13" s="66"/>
      <c r="AS13" s="66"/>
      <c r="AT13" s="66"/>
      <c r="AU13" s="66"/>
      <c r="AV13" s="66"/>
      <c r="AW13" s="66"/>
      <c r="AX13" s="66"/>
      <c r="AY13" s="24"/>
      <c r="AZ13" s="66"/>
      <c r="BA13" s="66"/>
      <c r="BB13" s="66"/>
      <c r="BC13" s="66"/>
      <c r="BD13" s="66"/>
      <c r="BE13" s="66"/>
      <c r="BF13" s="66"/>
      <c r="BG13" s="66"/>
      <c r="BH13" s="66"/>
      <c r="BI13" s="66"/>
      <c r="BJ13" s="66"/>
      <c r="BK13" s="25"/>
      <c r="BL13" s="25"/>
      <c r="BM13" s="29"/>
      <c r="BN13" s="24"/>
      <c r="BO13" s="25"/>
      <c r="BP13" s="25"/>
      <c r="BQ13" s="25"/>
      <c r="BR13" s="25"/>
      <c r="BS13" s="24"/>
      <c r="BT13" s="25"/>
      <c r="BU13" s="25"/>
      <c r="BV13" s="25"/>
      <c r="BW13" s="26"/>
      <c r="BX13" s="24"/>
      <c r="BY13" s="25"/>
      <c r="BZ13" s="25"/>
      <c r="CA13" s="25"/>
      <c r="CB13" s="26"/>
    </row>
    <row r="14" spans="1:80">
      <c r="A14" s="6">
        <v>8</v>
      </c>
      <c r="B14" s="2"/>
      <c r="C14" s="2"/>
      <c r="D14" s="3"/>
      <c r="E14" s="24"/>
      <c r="F14" s="25"/>
      <c r="G14" s="25"/>
      <c r="H14" s="25"/>
      <c r="I14" s="29"/>
      <c r="J14" s="26"/>
      <c r="K14" s="24"/>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24"/>
      <c r="AZ14" s="66"/>
      <c r="BA14" s="66"/>
      <c r="BB14" s="66"/>
      <c r="BC14" s="66"/>
      <c r="BD14" s="66"/>
      <c r="BE14" s="66"/>
      <c r="BF14" s="66"/>
      <c r="BG14" s="66"/>
      <c r="BH14" s="66"/>
      <c r="BI14" s="66"/>
      <c r="BJ14" s="66"/>
      <c r="BK14" s="25"/>
      <c r="BL14" s="25"/>
      <c r="BM14" s="29"/>
      <c r="BN14" s="24"/>
      <c r="BO14" s="25"/>
      <c r="BP14" s="25"/>
      <c r="BQ14" s="25"/>
      <c r="BR14" s="25"/>
      <c r="BS14" s="24"/>
      <c r="BT14" s="25"/>
      <c r="BU14" s="25"/>
      <c r="BV14" s="31"/>
      <c r="BW14" s="26"/>
      <c r="BX14" s="24"/>
      <c r="BY14" s="25"/>
      <c r="BZ14" s="25"/>
      <c r="CA14" s="31"/>
      <c r="CB14" s="26"/>
    </row>
    <row r="15" spans="1:80">
      <c r="A15" s="6">
        <v>9</v>
      </c>
      <c r="B15" s="2"/>
      <c r="C15" s="2"/>
      <c r="D15" s="3"/>
      <c r="E15" s="24"/>
      <c r="F15" s="25"/>
      <c r="G15" s="25"/>
      <c r="H15" s="25"/>
      <c r="I15" s="29"/>
      <c r="J15" s="26"/>
      <c r="K15" s="24"/>
      <c r="L15" s="66"/>
      <c r="M15" s="66"/>
      <c r="N15" s="66"/>
      <c r="O15" s="66"/>
      <c r="P15" s="66"/>
      <c r="Q15" s="66"/>
      <c r="R15" s="66"/>
      <c r="S15" s="66"/>
      <c r="T15" s="66"/>
      <c r="U15" s="66"/>
      <c r="V15" s="66"/>
      <c r="W15" s="66"/>
      <c r="X15" s="66"/>
      <c r="Y15" s="66"/>
      <c r="Z15" s="66"/>
      <c r="AA15" s="66"/>
      <c r="AB15" s="66"/>
      <c r="AC15" s="66"/>
      <c r="AD15" s="66"/>
      <c r="AE15" s="66"/>
      <c r="AF15" s="66"/>
      <c r="AG15" s="66"/>
      <c r="AH15" s="66"/>
      <c r="AI15" s="66"/>
      <c r="AJ15" s="66"/>
      <c r="AK15" s="66"/>
      <c r="AL15" s="66"/>
      <c r="AM15" s="66"/>
      <c r="AN15" s="66"/>
      <c r="AO15" s="66"/>
      <c r="AP15" s="66"/>
      <c r="AQ15" s="66"/>
      <c r="AR15" s="66"/>
      <c r="AS15" s="66"/>
      <c r="AT15" s="66"/>
      <c r="AU15" s="66"/>
      <c r="AV15" s="66"/>
      <c r="AW15" s="66"/>
      <c r="AX15" s="66"/>
      <c r="AY15" s="24"/>
      <c r="AZ15" s="66"/>
      <c r="BA15" s="66"/>
      <c r="BB15" s="66"/>
      <c r="BC15" s="66"/>
      <c r="BD15" s="66"/>
      <c r="BE15" s="66"/>
      <c r="BF15" s="66"/>
      <c r="BG15" s="66"/>
      <c r="BH15" s="66"/>
      <c r="BI15" s="66"/>
      <c r="BJ15" s="66"/>
      <c r="BK15" s="25"/>
      <c r="BL15" s="25"/>
      <c r="BM15" s="29"/>
      <c r="BN15" s="24"/>
      <c r="BO15" s="25"/>
      <c r="BP15" s="25"/>
      <c r="BQ15" s="25"/>
      <c r="BR15" s="25"/>
      <c r="BS15" s="24"/>
      <c r="BT15" s="25"/>
      <c r="BU15" s="25"/>
      <c r="BV15" s="25"/>
      <c r="BW15" s="26"/>
      <c r="BX15" s="24"/>
      <c r="BY15" s="25"/>
      <c r="BZ15" s="25"/>
      <c r="CA15" s="25"/>
      <c r="CB15" s="26"/>
    </row>
    <row r="16" spans="1:80">
      <c r="A16" s="6">
        <v>10</v>
      </c>
      <c r="B16" s="2"/>
      <c r="C16" s="2"/>
      <c r="D16" s="3"/>
      <c r="E16" s="24"/>
      <c r="F16" s="25"/>
      <c r="G16" s="25"/>
      <c r="H16" s="25"/>
      <c r="I16" s="29"/>
      <c r="J16" s="26"/>
      <c r="K16" s="24"/>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6"/>
      <c r="AK16" s="66"/>
      <c r="AL16" s="66"/>
      <c r="AM16" s="66"/>
      <c r="AN16" s="66"/>
      <c r="AO16" s="66"/>
      <c r="AP16" s="66"/>
      <c r="AQ16" s="66"/>
      <c r="AR16" s="66"/>
      <c r="AS16" s="66"/>
      <c r="AT16" s="66"/>
      <c r="AU16" s="66"/>
      <c r="AV16" s="66"/>
      <c r="AW16" s="66"/>
      <c r="AX16" s="66"/>
      <c r="AY16" s="24"/>
      <c r="AZ16" s="66"/>
      <c r="BA16" s="66"/>
      <c r="BB16" s="66"/>
      <c r="BC16" s="66"/>
      <c r="BD16" s="66"/>
      <c r="BE16" s="66"/>
      <c r="BF16" s="66"/>
      <c r="BG16" s="66"/>
      <c r="BH16" s="66"/>
      <c r="BI16" s="66"/>
      <c r="BJ16" s="66"/>
      <c r="BK16" s="25"/>
      <c r="BL16" s="25"/>
      <c r="BM16" s="29"/>
      <c r="BN16" s="24"/>
      <c r="BO16" s="25"/>
      <c r="BP16" s="25"/>
      <c r="BQ16" s="25"/>
      <c r="BR16" s="25"/>
      <c r="BS16" s="24"/>
      <c r="BT16" s="25"/>
      <c r="BU16" s="25"/>
      <c r="BV16" s="25"/>
      <c r="BW16" s="26"/>
      <c r="BX16" s="24"/>
      <c r="BY16" s="25"/>
      <c r="BZ16" s="25"/>
      <c r="CA16" s="25"/>
      <c r="CB16" s="26"/>
    </row>
    <row r="17" spans="1:80">
      <c r="A17" s="7"/>
      <c r="C17" s="4"/>
    </row>
    <row r="18" spans="1:80">
      <c r="A18" s="32" t="s">
        <v>279</v>
      </c>
      <c r="B18" s="5"/>
      <c r="C18" s="5"/>
      <c r="D18" s="5"/>
      <c r="E18" s="21"/>
      <c r="F18" s="22"/>
      <c r="G18" s="22"/>
      <c r="H18" s="22"/>
      <c r="I18" s="22"/>
      <c r="J18" s="23"/>
      <c r="K18" s="21"/>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1"/>
      <c r="BO18" s="22"/>
      <c r="BP18" s="22"/>
      <c r="BQ18" s="22"/>
      <c r="BR18" s="22"/>
      <c r="BS18" s="22"/>
      <c r="BT18" s="22"/>
      <c r="BU18" s="22"/>
      <c r="BV18" s="22"/>
      <c r="BW18" s="23"/>
      <c r="BX18" s="22"/>
      <c r="BY18" s="22"/>
      <c r="BZ18" s="22"/>
      <c r="CA18" s="22"/>
      <c r="CB18" s="23"/>
    </row>
    <row r="19" spans="1:80">
      <c r="A19" s="6" t="s">
        <v>271</v>
      </c>
      <c r="B19" s="2" t="s">
        <v>272</v>
      </c>
      <c r="C19" s="2" t="s">
        <v>273</v>
      </c>
      <c r="D19" s="3" t="s">
        <v>274</v>
      </c>
      <c r="E19" s="16">
        <f>E5</f>
        <v>1</v>
      </c>
      <c r="F19" s="17">
        <f t="shared" ref="F19:BQ19" si="1">F5</f>
        <v>2</v>
      </c>
      <c r="G19" s="17">
        <f t="shared" si="1"/>
        <v>3</v>
      </c>
      <c r="H19" s="17">
        <f t="shared" si="1"/>
        <v>4</v>
      </c>
      <c r="I19" s="20">
        <f t="shared" si="1"/>
        <v>5</v>
      </c>
      <c r="J19" s="18">
        <f t="shared" si="1"/>
        <v>6</v>
      </c>
      <c r="K19" s="16">
        <f t="shared" si="1"/>
        <v>1</v>
      </c>
      <c r="L19" s="19">
        <f t="shared" si="1"/>
        <v>2</v>
      </c>
      <c r="M19" s="19">
        <f t="shared" si="1"/>
        <v>3</v>
      </c>
      <c r="N19" s="19">
        <f t="shared" si="1"/>
        <v>4</v>
      </c>
      <c r="O19" s="19">
        <f t="shared" si="1"/>
        <v>5</v>
      </c>
      <c r="P19" s="19">
        <f t="shared" si="1"/>
        <v>1</v>
      </c>
      <c r="Q19" s="19">
        <f t="shared" si="1"/>
        <v>2</v>
      </c>
      <c r="R19" s="19">
        <f t="shared" si="1"/>
        <v>3</v>
      </c>
      <c r="S19" s="19">
        <f t="shared" si="1"/>
        <v>4</v>
      </c>
      <c r="T19" s="19">
        <f t="shared" si="1"/>
        <v>1</v>
      </c>
      <c r="U19" s="19">
        <f t="shared" si="1"/>
        <v>2</v>
      </c>
      <c r="V19" s="19">
        <f t="shared" si="1"/>
        <v>3</v>
      </c>
      <c r="W19" s="19">
        <f t="shared" si="1"/>
        <v>4</v>
      </c>
      <c r="X19" s="19">
        <f t="shared" si="1"/>
        <v>5</v>
      </c>
      <c r="Y19" s="19">
        <f t="shared" si="1"/>
        <v>1</v>
      </c>
      <c r="Z19" s="19">
        <f t="shared" si="1"/>
        <v>2</v>
      </c>
      <c r="AA19" s="19">
        <f t="shared" si="1"/>
        <v>3</v>
      </c>
      <c r="AB19" s="19">
        <f t="shared" si="1"/>
        <v>4</v>
      </c>
      <c r="AC19" s="19">
        <f t="shared" si="1"/>
        <v>5</v>
      </c>
      <c r="AD19" s="19">
        <f t="shared" si="1"/>
        <v>1</v>
      </c>
      <c r="AE19" s="19">
        <f t="shared" si="1"/>
        <v>2</v>
      </c>
      <c r="AF19" s="19">
        <f t="shared" si="1"/>
        <v>3</v>
      </c>
      <c r="AG19" s="19">
        <f t="shared" si="1"/>
        <v>4</v>
      </c>
      <c r="AH19" s="19">
        <f t="shared" si="1"/>
        <v>5</v>
      </c>
      <c r="AI19" s="19">
        <f t="shared" si="1"/>
        <v>1</v>
      </c>
      <c r="AJ19" s="19">
        <f t="shared" si="1"/>
        <v>2</v>
      </c>
      <c r="AK19" s="19">
        <f t="shared" si="1"/>
        <v>3</v>
      </c>
      <c r="AL19" s="19">
        <f t="shared" si="1"/>
        <v>4</v>
      </c>
      <c r="AM19" s="19">
        <f t="shared" si="1"/>
        <v>5</v>
      </c>
      <c r="AN19" s="19">
        <f t="shared" si="1"/>
        <v>6</v>
      </c>
      <c r="AO19" s="19">
        <f t="shared" si="1"/>
        <v>7</v>
      </c>
      <c r="AP19" s="19">
        <f t="shared" si="1"/>
        <v>8</v>
      </c>
      <c r="AQ19" s="19">
        <f t="shared" si="1"/>
        <v>1</v>
      </c>
      <c r="AR19" s="19">
        <f t="shared" si="1"/>
        <v>2</v>
      </c>
      <c r="AS19" s="19">
        <f t="shared" si="1"/>
        <v>3</v>
      </c>
      <c r="AT19" s="19">
        <f t="shared" si="1"/>
        <v>4</v>
      </c>
      <c r="AU19" s="19">
        <f t="shared" si="1"/>
        <v>5</v>
      </c>
      <c r="AV19" s="19">
        <f t="shared" si="1"/>
        <v>1</v>
      </c>
      <c r="AW19" s="19">
        <f t="shared" si="1"/>
        <v>2</v>
      </c>
      <c r="AX19" s="19">
        <f t="shared" si="1"/>
        <v>3</v>
      </c>
      <c r="AY19" s="19">
        <f t="shared" si="1"/>
        <v>1</v>
      </c>
      <c r="AZ19" s="19">
        <f t="shared" si="1"/>
        <v>2</v>
      </c>
      <c r="BA19" s="19">
        <f t="shared" si="1"/>
        <v>3</v>
      </c>
      <c r="BB19" s="19">
        <f t="shared" si="1"/>
        <v>4</v>
      </c>
      <c r="BC19" s="19">
        <f t="shared" si="1"/>
        <v>5</v>
      </c>
      <c r="BD19" s="19">
        <f t="shared" si="1"/>
        <v>6</v>
      </c>
      <c r="BE19" s="19">
        <f t="shared" si="1"/>
        <v>7</v>
      </c>
      <c r="BF19" s="19">
        <f t="shared" si="1"/>
        <v>8</v>
      </c>
      <c r="BG19" s="19">
        <f t="shared" si="1"/>
        <v>9</v>
      </c>
      <c r="BH19" s="19">
        <f t="shared" si="1"/>
        <v>10</v>
      </c>
      <c r="BI19" s="19">
        <f t="shared" si="1"/>
        <v>11</v>
      </c>
      <c r="BJ19" s="19">
        <f t="shared" si="1"/>
        <v>12</v>
      </c>
      <c r="BK19" s="17">
        <f t="shared" si="1"/>
        <v>13</v>
      </c>
      <c r="BL19" s="17">
        <f t="shared" si="1"/>
        <v>14</v>
      </c>
      <c r="BM19" s="20">
        <f t="shared" si="1"/>
        <v>15</v>
      </c>
      <c r="BN19" s="16">
        <f t="shared" si="1"/>
        <v>1</v>
      </c>
      <c r="BO19" s="17">
        <f t="shared" si="1"/>
        <v>2</v>
      </c>
      <c r="BP19" s="17">
        <f t="shared" si="1"/>
        <v>3</v>
      </c>
      <c r="BQ19" s="17">
        <f t="shared" si="1"/>
        <v>4</v>
      </c>
      <c r="BR19" s="17">
        <f t="shared" ref="BR19:CB19" si="2">BR5</f>
        <v>5</v>
      </c>
      <c r="BS19" s="19">
        <f t="shared" si="2"/>
        <v>1</v>
      </c>
      <c r="BT19" s="17">
        <f t="shared" si="2"/>
        <v>2</v>
      </c>
      <c r="BU19" s="17">
        <f t="shared" si="2"/>
        <v>3</v>
      </c>
      <c r="BV19" s="17">
        <f t="shared" si="2"/>
        <v>4</v>
      </c>
      <c r="BW19" s="18">
        <f t="shared" si="2"/>
        <v>5</v>
      </c>
      <c r="BX19" s="19">
        <f t="shared" si="2"/>
        <v>1</v>
      </c>
      <c r="BY19" s="17">
        <f t="shared" si="2"/>
        <v>2</v>
      </c>
      <c r="BZ19" s="17">
        <f t="shared" si="2"/>
        <v>3</v>
      </c>
      <c r="CA19" s="17">
        <f t="shared" si="2"/>
        <v>4</v>
      </c>
      <c r="CB19" s="18">
        <f t="shared" si="2"/>
        <v>5</v>
      </c>
    </row>
    <row r="20" spans="1:80">
      <c r="A20" s="6">
        <f t="shared" ref="A20:D29" si="3">A7</f>
        <v>1</v>
      </c>
      <c r="B20" s="33" t="str">
        <f t="shared" si="3"/>
        <v>You (mandatory)</v>
      </c>
      <c r="C20" s="2">
        <f t="shared" si="3"/>
        <v>0</v>
      </c>
      <c r="D20" s="2">
        <f t="shared" si="3"/>
        <v>0</v>
      </c>
      <c r="E20" s="42">
        <f>Questions!D29</f>
        <v>0</v>
      </c>
      <c r="F20" s="43">
        <f>Questions!D30</f>
        <v>0</v>
      </c>
      <c r="G20" s="43">
        <f>Questions!D31</f>
        <v>0</v>
      </c>
      <c r="H20" s="43">
        <f>Questions!D32</f>
        <v>0</v>
      </c>
      <c r="I20" s="43">
        <f>Questions!D33</f>
        <v>0</v>
      </c>
      <c r="J20" s="44">
        <f>Questions!D34</f>
        <v>0</v>
      </c>
      <c r="K20" s="42">
        <f>Questions!D37</f>
        <v>0</v>
      </c>
      <c r="L20" s="65">
        <f>Questions!D38</f>
        <v>0</v>
      </c>
      <c r="M20" s="65">
        <f>Questions!D39</f>
        <v>0</v>
      </c>
      <c r="N20" s="65">
        <f>Questions!D40</f>
        <v>0</v>
      </c>
      <c r="O20" s="65">
        <f>Questions!D41</f>
        <v>0</v>
      </c>
      <c r="P20" s="65">
        <f>Questions!D44</f>
        <v>0</v>
      </c>
      <c r="Q20" s="65">
        <f>Questions!D45</f>
        <v>0</v>
      </c>
      <c r="R20" s="65">
        <f>Questions!D46</f>
        <v>0</v>
      </c>
      <c r="S20" s="65">
        <f>Questions!D47</f>
        <v>0</v>
      </c>
      <c r="T20" s="65">
        <f>Questions!D50</f>
        <v>0</v>
      </c>
      <c r="U20" s="65">
        <f>Questions!D51</f>
        <v>0</v>
      </c>
      <c r="V20" s="65">
        <f>Questions!D52</f>
        <v>0</v>
      </c>
      <c r="W20" s="65">
        <f>Questions!D53</f>
        <v>0</v>
      </c>
      <c r="X20" s="65">
        <f>Questions!D54</f>
        <v>0</v>
      </c>
      <c r="Y20" s="65">
        <f>Questions!D57</f>
        <v>0</v>
      </c>
      <c r="Z20" s="65">
        <f>Questions!D58</f>
        <v>0</v>
      </c>
      <c r="AA20" s="65">
        <f>Questions!D59</f>
        <v>0</v>
      </c>
      <c r="AB20" s="65">
        <f>Questions!D60</f>
        <v>0</v>
      </c>
      <c r="AC20" s="65">
        <f>Questions!D61</f>
        <v>0</v>
      </c>
      <c r="AD20" s="65">
        <f>Questions!D64</f>
        <v>0</v>
      </c>
      <c r="AE20" s="65">
        <f>Questions!D65</f>
        <v>0</v>
      </c>
      <c r="AF20" s="65">
        <f>Questions!D66</f>
        <v>0</v>
      </c>
      <c r="AG20" s="65">
        <f>Questions!D67</f>
        <v>0</v>
      </c>
      <c r="AH20" s="65">
        <f>Questions!D68</f>
        <v>0</v>
      </c>
      <c r="AI20" s="65">
        <f>Questions!D71</f>
        <v>0</v>
      </c>
      <c r="AJ20" s="65">
        <f>Questions!D72</f>
        <v>0</v>
      </c>
      <c r="AK20" s="65">
        <f>Questions!D73</f>
        <v>0</v>
      </c>
      <c r="AL20" s="65">
        <f>Questions!D74</f>
        <v>0</v>
      </c>
      <c r="AM20" s="65">
        <f>Questions!D75</f>
        <v>0</v>
      </c>
      <c r="AN20" s="65">
        <f>Questions!D76</f>
        <v>0</v>
      </c>
      <c r="AO20" s="65">
        <f>Questions!D77</f>
        <v>0</v>
      </c>
      <c r="AP20" s="65">
        <f>Questions!D78</f>
        <v>0</v>
      </c>
      <c r="AQ20" s="65">
        <f>Questions!D81</f>
        <v>0</v>
      </c>
      <c r="AR20" s="65">
        <f>Questions!D82</f>
        <v>0</v>
      </c>
      <c r="AS20" s="65">
        <f>Questions!D83</f>
        <v>0</v>
      </c>
      <c r="AT20" s="65">
        <f>Questions!D84</f>
        <v>0</v>
      </c>
      <c r="AU20" s="65">
        <f>Questions!D85</f>
        <v>0</v>
      </c>
      <c r="AV20" s="65">
        <f>Questions!D88</f>
        <v>0</v>
      </c>
      <c r="AW20" s="65">
        <f>Questions!D89</f>
        <v>0</v>
      </c>
      <c r="AX20" s="65">
        <f>Questions!D90</f>
        <v>0</v>
      </c>
      <c r="AY20" s="42">
        <f>Questions!D93</f>
        <v>0</v>
      </c>
      <c r="AZ20" s="65">
        <f>Questions!D94</f>
        <v>0</v>
      </c>
      <c r="BA20" s="65">
        <f>Questions!D95</f>
        <v>0</v>
      </c>
      <c r="BB20" s="65">
        <f>Questions!D96</f>
        <v>0</v>
      </c>
      <c r="BC20" s="65">
        <f>Questions!D97</f>
        <v>0</v>
      </c>
      <c r="BD20" s="65">
        <f>Questions!D98</f>
        <v>0</v>
      </c>
      <c r="BE20" s="65">
        <f>Questions!D99</f>
        <v>0</v>
      </c>
      <c r="BF20" s="65">
        <f>Questions!D100</f>
        <v>0</v>
      </c>
      <c r="BG20" s="65">
        <f>Questions!D101</f>
        <v>0</v>
      </c>
      <c r="BH20" s="65">
        <f>Questions!D102</f>
        <v>0</v>
      </c>
      <c r="BI20" s="65">
        <f>Questions!D103</f>
        <v>0</v>
      </c>
      <c r="BJ20" s="65">
        <f>Questions!D104</f>
        <v>0</v>
      </c>
      <c r="BK20" s="43">
        <f>Questions!D105</f>
        <v>0</v>
      </c>
      <c r="BL20" s="43">
        <f>Questions!D106</f>
        <v>0</v>
      </c>
      <c r="BM20" s="43">
        <f>Questions!D107</f>
        <v>0</v>
      </c>
      <c r="BN20" s="42">
        <f>Questions!D110</f>
        <v>0</v>
      </c>
      <c r="BO20" s="43">
        <f>Questions!D111</f>
        <v>0</v>
      </c>
      <c r="BP20" s="43">
        <f>Questions!D112</f>
        <v>0</v>
      </c>
      <c r="BQ20" s="43">
        <f>Questions!D113</f>
        <v>0</v>
      </c>
      <c r="BR20" s="43">
        <f>Questions!D114</f>
        <v>0</v>
      </c>
      <c r="BS20" s="42">
        <f>Questions!D117</f>
        <v>0</v>
      </c>
      <c r="BT20" s="43">
        <f>Questions!D118</f>
        <v>0</v>
      </c>
      <c r="BU20" s="43">
        <f>Questions!D119</f>
        <v>0</v>
      </c>
      <c r="BV20" s="43">
        <f>Questions!D120</f>
        <v>0</v>
      </c>
      <c r="BW20" s="44">
        <f>Questions!D121</f>
        <v>0</v>
      </c>
      <c r="BX20" s="42">
        <f>Questions!D124</f>
        <v>0</v>
      </c>
      <c r="BY20" s="43">
        <f>Questions!D125</f>
        <v>0</v>
      </c>
      <c r="BZ20" s="43">
        <f>Questions!D126</f>
        <v>0</v>
      </c>
      <c r="CA20" s="43">
        <f>Questions!D127</f>
        <v>0</v>
      </c>
      <c r="CB20" s="44">
        <f>Questions!D128</f>
        <v>0</v>
      </c>
    </row>
    <row r="21" spans="1:80">
      <c r="A21" s="6">
        <f t="shared" si="3"/>
        <v>2</v>
      </c>
      <c r="B21" s="28" t="str">
        <f t="shared" si="3"/>
        <v>Reviewer 1 (optional)</v>
      </c>
      <c r="C21" s="2">
        <f t="shared" si="3"/>
        <v>0</v>
      </c>
      <c r="D21" s="2">
        <f t="shared" si="3"/>
        <v>0</v>
      </c>
      <c r="E21" s="24"/>
      <c r="F21" s="25"/>
      <c r="G21" s="25"/>
      <c r="H21" s="25"/>
      <c r="I21" s="29"/>
      <c r="J21" s="26"/>
      <c r="K21" s="24"/>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24"/>
      <c r="AZ21" s="66"/>
      <c r="BA21" s="66"/>
      <c r="BB21" s="66"/>
      <c r="BC21" s="66"/>
      <c r="BD21" s="66"/>
      <c r="BE21" s="66"/>
      <c r="BF21" s="66"/>
      <c r="BG21" s="66"/>
      <c r="BH21" s="66"/>
      <c r="BI21" s="66"/>
      <c r="BJ21" s="66"/>
      <c r="BK21" s="25"/>
      <c r="BL21" s="25"/>
      <c r="BM21" s="29"/>
      <c r="BN21" s="24"/>
      <c r="BO21" s="25"/>
      <c r="BP21" s="25"/>
      <c r="BQ21" s="25"/>
      <c r="BR21" s="25"/>
      <c r="BS21" s="24"/>
      <c r="BT21" s="25"/>
      <c r="BU21" s="25"/>
      <c r="BV21" s="25"/>
      <c r="BW21" s="26"/>
      <c r="BY21" s="25"/>
      <c r="BZ21" s="25"/>
      <c r="CA21" s="25"/>
      <c r="CB21" s="26"/>
    </row>
    <row r="22" spans="1:80">
      <c r="A22" s="6">
        <f t="shared" si="3"/>
        <v>3</v>
      </c>
      <c r="B22" s="28" t="str">
        <f t="shared" si="3"/>
        <v>Reviewer 2 (optional)</v>
      </c>
      <c r="C22" s="2">
        <f t="shared" si="3"/>
        <v>0</v>
      </c>
      <c r="D22" s="2">
        <f t="shared" si="3"/>
        <v>0</v>
      </c>
      <c r="E22" s="24"/>
      <c r="F22" s="25"/>
      <c r="G22" s="25"/>
      <c r="H22" s="25"/>
      <c r="I22" s="29"/>
      <c r="J22" s="26"/>
      <c r="K22" s="24"/>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24"/>
      <c r="AZ22" s="66"/>
      <c r="BA22" s="66"/>
      <c r="BB22" s="66"/>
      <c r="BC22" s="66"/>
      <c r="BD22" s="66"/>
      <c r="BE22" s="66"/>
      <c r="BF22" s="66"/>
      <c r="BG22" s="66"/>
      <c r="BH22" s="66"/>
      <c r="BI22" s="66"/>
      <c r="BJ22" s="66"/>
      <c r="BK22" s="25"/>
      <c r="BL22" s="25"/>
      <c r="BM22" s="29"/>
      <c r="BN22" s="24"/>
      <c r="BO22" s="25"/>
      <c r="BP22" s="25"/>
      <c r="BQ22" s="25"/>
      <c r="BR22" s="25"/>
      <c r="BS22" s="24"/>
      <c r="BT22" s="25"/>
      <c r="BU22" s="25"/>
      <c r="BV22" s="25"/>
      <c r="BW22" s="26"/>
      <c r="BY22" s="25"/>
      <c r="BZ22" s="25"/>
      <c r="CA22" s="25"/>
      <c r="CB22" s="26"/>
    </row>
    <row r="23" spans="1:80">
      <c r="A23" s="6">
        <f t="shared" si="3"/>
        <v>4</v>
      </c>
      <c r="B23" s="2">
        <f t="shared" si="3"/>
        <v>0</v>
      </c>
      <c r="C23" s="2">
        <f t="shared" si="3"/>
        <v>0</v>
      </c>
      <c r="D23" s="2">
        <f t="shared" si="3"/>
        <v>0</v>
      </c>
      <c r="E23" s="24"/>
      <c r="F23" s="25"/>
      <c r="G23" s="25"/>
      <c r="H23" s="25"/>
      <c r="I23" s="29"/>
      <c r="J23" s="26"/>
      <c r="K23" s="24"/>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24"/>
      <c r="AZ23" s="66"/>
      <c r="BA23" s="66"/>
      <c r="BB23" s="66"/>
      <c r="BC23" s="66"/>
      <c r="BD23" s="66"/>
      <c r="BE23" s="66"/>
      <c r="BF23" s="66"/>
      <c r="BG23" s="66"/>
      <c r="BH23" s="66"/>
      <c r="BI23" s="66"/>
      <c r="BJ23" s="66"/>
      <c r="BK23" s="25"/>
      <c r="BL23" s="25"/>
      <c r="BM23" s="29"/>
      <c r="BN23" s="24"/>
      <c r="BO23" s="25"/>
      <c r="BP23" s="25"/>
      <c r="BQ23" s="25"/>
      <c r="BR23" s="25"/>
      <c r="BS23" s="24"/>
      <c r="BT23" s="25"/>
      <c r="BU23" s="25"/>
      <c r="BV23" s="25"/>
      <c r="BW23" s="26"/>
      <c r="BY23" s="25"/>
      <c r="BZ23" s="25"/>
      <c r="CA23" s="25"/>
      <c r="CB23" s="26"/>
    </row>
    <row r="24" spans="1:80">
      <c r="A24" s="6">
        <f t="shared" si="3"/>
        <v>5</v>
      </c>
      <c r="B24" s="2">
        <f t="shared" si="3"/>
        <v>0</v>
      </c>
      <c r="C24" s="2">
        <f t="shared" si="3"/>
        <v>0</v>
      </c>
      <c r="D24" s="2">
        <f t="shared" si="3"/>
        <v>0</v>
      </c>
      <c r="E24" s="24"/>
      <c r="F24" s="25"/>
      <c r="G24" s="25"/>
      <c r="H24" s="25"/>
      <c r="I24" s="29"/>
      <c r="J24" s="26"/>
      <c r="K24" s="24"/>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24"/>
      <c r="AZ24" s="66"/>
      <c r="BA24" s="66"/>
      <c r="BB24" s="66"/>
      <c r="BC24" s="66"/>
      <c r="BD24" s="66"/>
      <c r="BE24" s="66"/>
      <c r="BF24" s="66"/>
      <c r="BG24" s="66"/>
      <c r="BH24" s="66"/>
      <c r="BI24" s="66"/>
      <c r="BJ24" s="66"/>
      <c r="BK24" s="25"/>
      <c r="BL24" s="25"/>
      <c r="BM24" s="29"/>
      <c r="BN24" s="24"/>
      <c r="BO24" s="25"/>
      <c r="BP24" s="25"/>
      <c r="BQ24" s="25"/>
      <c r="BR24" s="25"/>
      <c r="BS24" s="24"/>
      <c r="BT24" s="25"/>
      <c r="BU24" s="25"/>
      <c r="BV24" s="25"/>
      <c r="BW24" s="26"/>
      <c r="BY24" s="25"/>
      <c r="BZ24" s="25"/>
      <c r="CA24" s="25"/>
      <c r="CB24" s="26"/>
    </row>
    <row r="25" spans="1:80">
      <c r="A25" s="6">
        <f t="shared" si="3"/>
        <v>6</v>
      </c>
      <c r="B25" s="2">
        <f t="shared" si="3"/>
        <v>0</v>
      </c>
      <c r="C25" s="2">
        <f t="shared" si="3"/>
        <v>0</v>
      </c>
      <c r="D25" s="2">
        <f t="shared" si="3"/>
        <v>0</v>
      </c>
      <c r="E25" s="24"/>
      <c r="F25" s="25"/>
      <c r="G25" s="25"/>
      <c r="H25" s="25"/>
      <c r="I25" s="29"/>
      <c r="J25" s="26"/>
      <c r="K25" s="24"/>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24"/>
      <c r="AZ25" s="66"/>
      <c r="BA25" s="66"/>
      <c r="BB25" s="66"/>
      <c r="BC25" s="66"/>
      <c r="BD25" s="66"/>
      <c r="BE25" s="66"/>
      <c r="BF25" s="66"/>
      <c r="BG25" s="66"/>
      <c r="BH25" s="66"/>
      <c r="BI25" s="66"/>
      <c r="BJ25" s="66"/>
      <c r="BK25" s="25"/>
      <c r="BL25" s="25"/>
      <c r="BM25" s="29"/>
      <c r="BN25" s="24"/>
      <c r="BO25" s="25"/>
      <c r="BP25" s="25"/>
      <c r="BQ25" s="25"/>
      <c r="BR25" s="25"/>
      <c r="BS25" s="24"/>
      <c r="BT25" s="25"/>
      <c r="BU25" s="25"/>
      <c r="BV25" s="25"/>
      <c r="BW25" s="26"/>
      <c r="BX25" s="24"/>
      <c r="BY25" s="25"/>
      <c r="BZ25" s="25"/>
      <c r="CA25" s="25"/>
      <c r="CB25" s="26"/>
    </row>
    <row r="26" spans="1:80">
      <c r="A26" s="6">
        <f t="shared" si="3"/>
        <v>7</v>
      </c>
      <c r="B26" s="2">
        <f t="shared" si="3"/>
        <v>0</v>
      </c>
      <c r="C26" s="2">
        <f t="shared" si="3"/>
        <v>0</v>
      </c>
      <c r="D26" s="2">
        <f t="shared" si="3"/>
        <v>0</v>
      </c>
      <c r="E26" s="24"/>
      <c r="F26" s="25"/>
      <c r="G26" s="25"/>
      <c r="H26" s="25"/>
      <c r="I26" s="29"/>
      <c r="J26" s="26"/>
      <c r="K26" s="24"/>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24"/>
      <c r="AZ26" s="66"/>
      <c r="BA26" s="66"/>
      <c r="BB26" s="66"/>
      <c r="BC26" s="66"/>
      <c r="BD26" s="66"/>
      <c r="BE26" s="66"/>
      <c r="BF26" s="66"/>
      <c r="BG26" s="66"/>
      <c r="BH26" s="66"/>
      <c r="BI26" s="66"/>
      <c r="BJ26" s="66"/>
      <c r="BK26" s="25"/>
      <c r="BL26" s="25"/>
      <c r="BM26" s="29"/>
      <c r="BN26" s="24"/>
      <c r="BO26" s="25"/>
      <c r="BP26" s="25"/>
      <c r="BQ26" s="25"/>
      <c r="BR26" s="25"/>
      <c r="BS26" s="24"/>
      <c r="BT26" s="25"/>
      <c r="BU26" s="25"/>
      <c r="BV26" s="25"/>
      <c r="BW26" s="26"/>
      <c r="BX26" s="24"/>
      <c r="BY26" s="25"/>
      <c r="BZ26" s="25"/>
      <c r="CA26" s="25"/>
      <c r="CB26" s="26"/>
    </row>
    <row r="27" spans="1:80">
      <c r="A27" s="6">
        <f t="shared" si="3"/>
        <v>8</v>
      </c>
      <c r="B27" s="2">
        <f t="shared" si="3"/>
        <v>0</v>
      </c>
      <c r="C27" s="2">
        <f t="shared" si="3"/>
        <v>0</v>
      </c>
      <c r="D27" s="2">
        <f t="shared" si="3"/>
        <v>0</v>
      </c>
      <c r="E27" s="24"/>
      <c r="F27" s="25"/>
      <c r="G27" s="25"/>
      <c r="H27" s="25"/>
      <c r="I27" s="29"/>
      <c r="J27" s="26"/>
      <c r="K27" s="24"/>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24"/>
      <c r="AZ27" s="66"/>
      <c r="BA27" s="66"/>
      <c r="BB27" s="66"/>
      <c r="BC27" s="66"/>
      <c r="BD27" s="66"/>
      <c r="BE27" s="66"/>
      <c r="BF27" s="66"/>
      <c r="BG27" s="66"/>
      <c r="BH27" s="66"/>
      <c r="BI27" s="66"/>
      <c r="BJ27" s="66"/>
      <c r="BK27" s="25"/>
      <c r="BL27" s="25"/>
      <c r="BM27" s="29"/>
      <c r="BN27" s="24"/>
      <c r="BO27" s="25"/>
      <c r="BP27" s="25"/>
      <c r="BQ27" s="25"/>
      <c r="BR27" s="25"/>
      <c r="BS27" s="24"/>
      <c r="BT27" s="25"/>
      <c r="BU27" s="25"/>
      <c r="BV27" s="25"/>
      <c r="BW27" s="26"/>
      <c r="BX27" s="24"/>
      <c r="BY27" s="25"/>
      <c r="BZ27" s="25"/>
      <c r="CA27" s="25"/>
      <c r="CB27" s="26"/>
    </row>
    <row r="28" spans="1:80">
      <c r="A28" s="6">
        <f t="shared" si="3"/>
        <v>9</v>
      </c>
      <c r="B28" s="2">
        <f t="shared" si="3"/>
        <v>0</v>
      </c>
      <c r="C28" s="2">
        <f t="shared" si="3"/>
        <v>0</v>
      </c>
      <c r="D28" s="2">
        <f t="shared" si="3"/>
        <v>0</v>
      </c>
      <c r="E28" s="24"/>
      <c r="F28" s="25"/>
      <c r="G28" s="25"/>
      <c r="H28" s="25"/>
      <c r="I28" s="29"/>
      <c r="J28" s="26"/>
      <c r="K28" s="24"/>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24"/>
      <c r="AZ28" s="66"/>
      <c r="BA28" s="66"/>
      <c r="BB28" s="66"/>
      <c r="BC28" s="66"/>
      <c r="BD28" s="66"/>
      <c r="BE28" s="66"/>
      <c r="BF28" s="66"/>
      <c r="BG28" s="66"/>
      <c r="BH28" s="66"/>
      <c r="BI28" s="66"/>
      <c r="BJ28" s="66"/>
      <c r="BK28" s="25"/>
      <c r="BL28" s="25"/>
      <c r="BM28" s="29"/>
      <c r="BN28" s="24"/>
      <c r="BO28" s="25"/>
      <c r="BP28" s="25"/>
      <c r="BQ28" s="25"/>
      <c r="BR28" s="25"/>
      <c r="BS28" s="24"/>
      <c r="BT28" s="25"/>
      <c r="BU28" s="25"/>
      <c r="BV28" s="25"/>
      <c r="BW28" s="26"/>
      <c r="BX28" s="24"/>
      <c r="BY28" s="25"/>
      <c r="BZ28" s="25"/>
      <c r="CA28" s="25"/>
      <c r="CB28" s="26"/>
    </row>
    <row r="29" spans="1:80">
      <c r="A29" s="6">
        <f t="shared" si="3"/>
        <v>10</v>
      </c>
      <c r="B29" s="2">
        <f t="shared" si="3"/>
        <v>0</v>
      </c>
      <c r="C29" s="2">
        <f t="shared" si="3"/>
        <v>0</v>
      </c>
      <c r="D29" s="2">
        <f t="shared" si="3"/>
        <v>0</v>
      </c>
      <c r="E29" s="24"/>
      <c r="F29" s="25"/>
      <c r="G29" s="25"/>
      <c r="H29" s="25"/>
      <c r="I29" s="29"/>
      <c r="J29" s="26"/>
      <c r="K29" s="24"/>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24"/>
      <c r="AZ29" s="66"/>
      <c r="BA29" s="66"/>
      <c r="BB29" s="66"/>
      <c r="BC29" s="66"/>
      <c r="BD29" s="66"/>
      <c r="BE29" s="66"/>
      <c r="BF29" s="66"/>
      <c r="BG29" s="66"/>
      <c r="BH29" s="66"/>
      <c r="BI29" s="66"/>
      <c r="BJ29" s="66"/>
      <c r="BK29" s="25"/>
      <c r="BL29" s="25"/>
      <c r="BM29" s="29"/>
      <c r="BN29" s="24"/>
      <c r="BO29" s="25"/>
      <c r="BP29" s="25"/>
      <c r="BQ29" s="25"/>
      <c r="BR29" s="25"/>
      <c r="BS29" s="24"/>
      <c r="BT29" s="25"/>
      <c r="BU29" s="25"/>
      <c r="BV29" s="25"/>
      <c r="BW29" s="26"/>
      <c r="BX29" s="24"/>
      <c r="BY29" s="25"/>
      <c r="BZ29" s="25"/>
      <c r="CA29" s="25"/>
      <c r="CB29" s="26"/>
    </row>
    <row r="31" spans="1:80">
      <c r="AY31" s="68"/>
      <c r="AZ31" s="68"/>
      <c r="BA31" s="68"/>
      <c r="BB31" s="68"/>
      <c r="BC31" s="68"/>
      <c r="BD31" s="68"/>
      <c r="BE31" s="68"/>
      <c r="BF31" s="68"/>
      <c r="BG31" s="68"/>
      <c r="BH31" s="68"/>
      <c r="BI31" s="68"/>
      <c r="BJ31" s="68"/>
      <c r="BK31" s="68"/>
      <c r="BL31" s="68"/>
      <c r="BM31" s="68"/>
      <c r="BN31" s="68"/>
    </row>
    <row r="32" spans="1:80">
      <c r="D32" t="s">
        <v>280</v>
      </c>
      <c r="E32" s="68" t="str">
        <f t="shared" ref="E32:J32" si="4">CONCATENATE("=Vragenlijst!B",E1)</f>
        <v>=Vragenlijst!B</v>
      </c>
      <c r="F32" s="68" t="str">
        <f t="shared" si="4"/>
        <v>=Vragenlijst!B</v>
      </c>
      <c r="G32" s="68" t="str">
        <f t="shared" si="4"/>
        <v>=Vragenlijst!B</v>
      </c>
      <c r="H32" s="68" t="str">
        <f t="shared" si="4"/>
        <v>=Vragenlijst!B</v>
      </c>
      <c r="I32" s="68" t="str">
        <f t="shared" si="4"/>
        <v>=Vragenlijst!B</v>
      </c>
      <c r="J32" s="68" t="str">
        <f t="shared" si="4"/>
        <v>=Vragenlijst!B</v>
      </c>
      <c r="K32" s="68" t="str">
        <f>CONCATENATE("=Vragenlijst!B",K1)</f>
        <v>=Vragenlijst!B</v>
      </c>
      <c r="L32" s="68"/>
      <c r="M32" s="68"/>
      <c r="N32" s="68" t="str">
        <f t="shared" ref="N32:AX32" si="5">CONCATENATE("=Vragenlijst!B",N1)</f>
        <v>=Vragenlijst!B</v>
      </c>
      <c r="O32" s="68" t="str">
        <f t="shared" si="5"/>
        <v>=Vragenlijst!B</v>
      </c>
      <c r="P32" s="68" t="str">
        <f t="shared" si="5"/>
        <v>=Vragenlijst!B</v>
      </c>
      <c r="Q32" s="68" t="str">
        <f t="shared" si="5"/>
        <v>=Vragenlijst!B</v>
      </c>
      <c r="R32" s="68" t="str">
        <f t="shared" si="5"/>
        <v>=Vragenlijst!B</v>
      </c>
      <c r="S32" s="68" t="str">
        <f t="shared" si="5"/>
        <v>=Vragenlijst!B</v>
      </c>
      <c r="T32" s="68" t="str">
        <f t="shared" si="5"/>
        <v>=Vragenlijst!B</v>
      </c>
      <c r="U32" s="68" t="str">
        <f t="shared" si="5"/>
        <v>=Vragenlijst!B</v>
      </c>
      <c r="V32" s="68" t="str">
        <f t="shared" si="5"/>
        <v>=Vragenlijst!B</v>
      </c>
      <c r="W32" s="68" t="str">
        <f t="shared" si="5"/>
        <v>=Vragenlijst!B</v>
      </c>
      <c r="X32" s="68" t="str">
        <f t="shared" si="5"/>
        <v>=Vragenlijst!B</v>
      </c>
      <c r="Y32" s="68" t="str">
        <f t="shared" si="5"/>
        <v>=Vragenlijst!B</v>
      </c>
      <c r="Z32" s="68" t="str">
        <f t="shared" si="5"/>
        <v>=Vragenlijst!B</v>
      </c>
      <c r="AA32" s="68" t="str">
        <f t="shared" si="5"/>
        <v>=Vragenlijst!B</v>
      </c>
      <c r="AB32" s="68" t="str">
        <f t="shared" si="5"/>
        <v>=Vragenlijst!B</v>
      </c>
      <c r="AC32" s="68" t="str">
        <f t="shared" si="5"/>
        <v>=Vragenlijst!B</v>
      </c>
      <c r="AD32" s="68" t="str">
        <f t="shared" si="5"/>
        <v>=Vragenlijst!B</v>
      </c>
      <c r="AE32" s="68" t="str">
        <f t="shared" si="5"/>
        <v>=Vragenlijst!B</v>
      </c>
      <c r="AF32" s="68" t="str">
        <f t="shared" si="5"/>
        <v>=Vragenlijst!B</v>
      </c>
      <c r="AG32" s="68" t="str">
        <f t="shared" si="5"/>
        <v>=Vragenlijst!B</v>
      </c>
      <c r="AH32" s="68" t="str">
        <f t="shared" si="5"/>
        <v>=Vragenlijst!B</v>
      </c>
      <c r="AI32" s="68" t="str">
        <f t="shared" si="5"/>
        <v>=Vragenlijst!B</v>
      </c>
      <c r="AJ32" s="68" t="str">
        <f t="shared" si="5"/>
        <v>=Vragenlijst!B</v>
      </c>
      <c r="AK32" s="68" t="str">
        <f t="shared" si="5"/>
        <v>=Vragenlijst!B</v>
      </c>
      <c r="AL32" s="68" t="str">
        <f t="shared" si="5"/>
        <v>=Vragenlijst!B</v>
      </c>
      <c r="AM32" s="68" t="str">
        <f t="shared" si="5"/>
        <v>=Vragenlijst!B</v>
      </c>
      <c r="AN32" s="68" t="str">
        <f t="shared" si="5"/>
        <v>=Vragenlijst!B</v>
      </c>
      <c r="AO32" s="68" t="str">
        <f t="shared" si="5"/>
        <v>=Vragenlijst!B</v>
      </c>
      <c r="AP32" s="68" t="str">
        <f t="shared" si="5"/>
        <v>=Vragenlijst!B</v>
      </c>
      <c r="AQ32" s="68" t="str">
        <f t="shared" si="5"/>
        <v>=Vragenlijst!B</v>
      </c>
      <c r="AR32" s="68" t="str">
        <f t="shared" si="5"/>
        <v>=Vragenlijst!B</v>
      </c>
      <c r="AS32" s="68" t="str">
        <f t="shared" si="5"/>
        <v>=Vragenlijst!B</v>
      </c>
      <c r="AT32" s="68" t="str">
        <f t="shared" si="5"/>
        <v>=Vragenlijst!B</v>
      </c>
      <c r="AU32" s="68" t="str">
        <f t="shared" si="5"/>
        <v>=Vragenlijst!B</v>
      </c>
      <c r="AV32" s="68" t="str">
        <f t="shared" si="5"/>
        <v>=Vragenlijst!B</v>
      </c>
      <c r="AW32" s="68" t="str">
        <f t="shared" si="5"/>
        <v>=Vragenlijst!B</v>
      </c>
      <c r="AX32" s="68" t="str">
        <f t="shared" si="5"/>
        <v>=Vragenlijst!B</v>
      </c>
      <c r="AY32" s="68" t="str">
        <f>CONCATENATE("=Vragenlijst!K",AY1)</f>
        <v>=Vragenlijst!K</v>
      </c>
      <c r="AZ32" s="68" t="str">
        <f t="shared" ref="AZ32:BM32" si="6">CONCATENATE("=Vragenlijst!K",AZ1)</f>
        <v>=Vragenlijst!K</v>
      </c>
      <c r="BA32" s="68" t="str">
        <f t="shared" si="6"/>
        <v>=Vragenlijst!K</v>
      </c>
      <c r="BB32" s="68" t="str">
        <f t="shared" si="6"/>
        <v>=Vragenlijst!K</v>
      </c>
      <c r="BC32" s="68" t="str">
        <f t="shared" si="6"/>
        <v>=Vragenlijst!K</v>
      </c>
      <c r="BD32" s="68" t="str">
        <f t="shared" si="6"/>
        <v>=Vragenlijst!K</v>
      </c>
      <c r="BE32" s="68" t="str">
        <f t="shared" si="6"/>
        <v>=Vragenlijst!K</v>
      </c>
      <c r="BF32" s="68" t="str">
        <f t="shared" si="6"/>
        <v>=Vragenlijst!K</v>
      </c>
      <c r="BG32" s="68" t="str">
        <f t="shared" si="6"/>
        <v>=Vragenlijst!K</v>
      </c>
      <c r="BH32" s="68" t="str">
        <f t="shared" si="6"/>
        <v>=Vragenlijst!K</v>
      </c>
      <c r="BI32" s="68" t="str">
        <f t="shared" si="6"/>
        <v>=Vragenlijst!K</v>
      </c>
      <c r="BJ32" s="68" t="str">
        <f t="shared" si="6"/>
        <v>=Vragenlijst!K</v>
      </c>
      <c r="BK32" s="68" t="str">
        <f t="shared" si="6"/>
        <v>=Vragenlijst!K</v>
      </c>
      <c r="BL32" s="68" t="str">
        <f t="shared" si="6"/>
        <v>=Vragenlijst!K</v>
      </c>
      <c r="BM32" s="68" t="str">
        <f t="shared" si="6"/>
        <v>=Vragenlijst!K</v>
      </c>
      <c r="BN32" s="68"/>
    </row>
    <row r="33" spans="4:80">
      <c r="AY33" s="68"/>
      <c r="AZ33" s="68"/>
      <c r="BA33" s="68"/>
      <c r="BB33" s="68"/>
      <c r="BC33" s="68"/>
      <c r="BD33" s="68"/>
      <c r="BE33" s="68"/>
      <c r="BF33" s="68"/>
      <c r="BG33" s="68"/>
      <c r="BH33" s="68"/>
      <c r="BI33" s="68"/>
      <c r="BJ33" s="68"/>
      <c r="BK33" s="68"/>
      <c r="BL33" s="68"/>
      <c r="BM33" s="68"/>
    </row>
    <row r="34" spans="4:80">
      <c r="D34" t="s">
        <v>275</v>
      </c>
      <c r="E34" s="68" t="str">
        <f t="shared" ref="E34:J34" si="7">CONCATENATE("=Vragenlijst!C",E1)</f>
        <v>=Vragenlijst!C</v>
      </c>
      <c r="F34" s="68" t="str">
        <f t="shared" si="7"/>
        <v>=Vragenlijst!C</v>
      </c>
      <c r="G34" s="68" t="str">
        <f t="shared" si="7"/>
        <v>=Vragenlijst!C</v>
      </c>
      <c r="H34" s="68" t="str">
        <f t="shared" si="7"/>
        <v>=Vragenlijst!C</v>
      </c>
      <c r="I34" s="68" t="str">
        <f t="shared" si="7"/>
        <v>=Vragenlijst!C</v>
      </c>
      <c r="J34" s="68" t="str">
        <f t="shared" si="7"/>
        <v>=Vragenlijst!C</v>
      </c>
      <c r="K34" s="68" t="str">
        <f>CONCATENATE("=Vragenlijst!C",K1)</f>
        <v>=Vragenlijst!C</v>
      </c>
      <c r="L34" s="68" t="str">
        <f t="shared" ref="L34:BR34" si="8">CONCATENATE("=Vragenlijst!C",L1)</f>
        <v>=Vragenlijst!C</v>
      </c>
      <c r="M34" s="68" t="str">
        <f t="shared" si="8"/>
        <v>=Vragenlijst!C</v>
      </c>
      <c r="N34" s="68" t="str">
        <f t="shared" si="8"/>
        <v>=Vragenlijst!C</v>
      </c>
      <c r="O34" s="68" t="str">
        <f t="shared" si="8"/>
        <v>=Vragenlijst!C</v>
      </c>
      <c r="P34" s="68" t="str">
        <f t="shared" si="8"/>
        <v>=Vragenlijst!C</v>
      </c>
      <c r="Q34" s="68" t="str">
        <f t="shared" si="8"/>
        <v>=Vragenlijst!C</v>
      </c>
      <c r="R34" s="68" t="str">
        <f t="shared" si="8"/>
        <v>=Vragenlijst!C</v>
      </c>
      <c r="S34" s="68" t="str">
        <f t="shared" si="8"/>
        <v>=Vragenlijst!C</v>
      </c>
      <c r="T34" s="68" t="str">
        <f t="shared" si="8"/>
        <v>=Vragenlijst!C</v>
      </c>
      <c r="U34" s="68" t="str">
        <f t="shared" si="8"/>
        <v>=Vragenlijst!C</v>
      </c>
      <c r="V34" s="68" t="str">
        <f t="shared" si="8"/>
        <v>=Vragenlijst!C</v>
      </c>
      <c r="W34" s="68" t="str">
        <f t="shared" si="8"/>
        <v>=Vragenlijst!C</v>
      </c>
      <c r="X34" s="68" t="str">
        <f t="shared" si="8"/>
        <v>=Vragenlijst!C</v>
      </c>
      <c r="Y34" s="68" t="str">
        <f t="shared" si="8"/>
        <v>=Vragenlijst!C</v>
      </c>
      <c r="Z34" s="68" t="str">
        <f t="shared" si="8"/>
        <v>=Vragenlijst!C</v>
      </c>
      <c r="AA34" s="68" t="str">
        <f t="shared" si="8"/>
        <v>=Vragenlijst!C</v>
      </c>
      <c r="AB34" s="68" t="str">
        <f t="shared" si="8"/>
        <v>=Vragenlijst!C</v>
      </c>
      <c r="AC34" s="68" t="str">
        <f t="shared" si="8"/>
        <v>=Vragenlijst!C</v>
      </c>
      <c r="AD34" s="68" t="str">
        <f t="shared" si="8"/>
        <v>=Vragenlijst!C</v>
      </c>
      <c r="AE34" s="68" t="str">
        <f t="shared" si="8"/>
        <v>=Vragenlijst!C</v>
      </c>
      <c r="AF34" s="68" t="str">
        <f t="shared" si="8"/>
        <v>=Vragenlijst!C</v>
      </c>
      <c r="AG34" s="68" t="str">
        <f t="shared" si="8"/>
        <v>=Vragenlijst!C</v>
      </c>
      <c r="AH34" s="68" t="str">
        <f t="shared" si="8"/>
        <v>=Vragenlijst!C</v>
      </c>
      <c r="AI34" s="68" t="str">
        <f t="shared" si="8"/>
        <v>=Vragenlijst!C</v>
      </c>
      <c r="AJ34" s="68" t="str">
        <f t="shared" si="8"/>
        <v>=Vragenlijst!C</v>
      </c>
      <c r="AK34" s="68" t="str">
        <f t="shared" si="8"/>
        <v>=Vragenlijst!C</v>
      </c>
      <c r="AL34" s="68" t="str">
        <f t="shared" si="8"/>
        <v>=Vragenlijst!C</v>
      </c>
      <c r="AM34" s="68" t="str">
        <f t="shared" si="8"/>
        <v>=Vragenlijst!C</v>
      </c>
      <c r="AN34" s="68" t="str">
        <f t="shared" si="8"/>
        <v>=Vragenlijst!C</v>
      </c>
      <c r="AO34" s="68" t="str">
        <f t="shared" si="8"/>
        <v>=Vragenlijst!C</v>
      </c>
      <c r="AP34" s="68" t="str">
        <f t="shared" si="8"/>
        <v>=Vragenlijst!C</v>
      </c>
      <c r="AQ34" s="68" t="str">
        <f t="shared" si="8"/>
        <v>=Vragenlijst!C</v>
      </c>
      <c r="AR34" s="68" t="str">
        <f t="shared" si="8"/>
        <v>=Vragenlijst!C</v>
      </c>
      <c r="AS34" s="68" t="str">
        <f t="shared" si="8"/>
        <v>=Vragenlijst!C</v>
      </c>
      <c r="AT34" s="68" t="str">
        <f t="shared" si="8"/>
        <v>=Vragenlijst!C</v>
      </c>
      <c r="AU34" s="68" t="str">
        <f t="shared" si="8"/>
        <v>=Vragenlijst!C</v>
      </c>
      <c r="AV34" s="68" t="str">
        <f t="shared" si="8"/>
        <v>=Vragenlijst!C</v>
      </c>
      <c r="AW34" s="68" t="str">
        <f t="shared" si="8"/>
        <v>=Vragenlijst!C</v>
      </c>
      <c r="AX34" s="68" t="str">
        <f t="shared" si="8"/>
        <v>=Vragenlijst!C</v>
      </c>
      <c r="AY34" s="68" t="str">
        <f t="shared" si="8"/>
        <v>=Vragenlijst!C</v>
      </c>
      <c r="AZ34" s="68" t="str">
        <f t="shared" si="8"/>
        <v>=Vragenlijst!C</v>
      </c>
      <c r="BA34" s="68" t="str">
        <f t="shared" si="8"/>
        <v>=Vragenlijst!C</v>
      </c>
      <c r="BB34" s="68" t="str">
        <f t="shared" si="8"/>
        <v>=Vragenlijst!C</v>
      </c>
      <c r="BC34" s="68" t="str">
        <f t="shared" si="8"/>
        <v>=Vragenlijst!C</v>
      </c>
      <c r="BD34" s="68" t="str">
        <f t="shared" si="8"/>
        <v>=Vragenlijst!C</v>
      </c>
      <c r="BE34" s="68" t="str">
        <f t="shared" si="8"/>
        <v>=Vragenlijst!C</v>
      </c>
      <c r="BF34" s="68" t="str">
        <f t="shared" si="8"/>
        <v>=Vragenlijst!C</v>
      </c>
      <c r="BG34" s="68" t="str">
        <f t="shared" si="8"/>
        <v>=Vragenlijst!C</v>
      </c>
      <c r="BH34" s="68" t="str">
        <f t="shared" si="8"/>
        <v>=Vragenlijst!C</v>
      </c>
      <c r="BI34" s="68" t="str">
        <f t="shared" si="8"/>
        <v>=Vragenlijst!C</v>
      </c>
      <c r="BJ34" s="68" t="str">
        <f t="shared" si="8"/>
        <v>=Vragenlijst!C</v>
      </c>
      <c r="BK34" s="68" t="str">
        <f t="shared" si="8"/>
        <v>=Vragenlijst!C</v>
      </c>
      <c r="BL34" s="68" t="str">
        <f t="shared" si="8"/>
        <v>=Vragenlijst!C</v>
      </c>
      <c r="BM34" s="68" t="str">
        <f t="shared" si="8"/>
        <v>=Vragenlijst!C</v>
      </c>
      <c r="BN34" s="68" t="str">
        <f t="shared" si="8"/>
        <v>=Vragenlijst!C</v>
      </c>
      <c r="BO34" s="68" t="str">
        <f t="shared" si="8"/>
        <v>=Vragenlijst!C</v>
      </c>
      <c r="BP34" s="68" t="str">
        <f t="shared" si="8"/>
        <v>=Vragenlijst!C</v>
      </c>
      <c r="BQ34" s="68" t="str">
        <f t="shared" si="8"/>
        <v>=Vragenlijst!C</v>
      </c>
      <c r="BR34" s="68" t="str">
        <f t="shared" si="8"/>
        <v>=Vragenlijst!C</v>
      </c>
      <c r="BS34" s="68" t="str">
        <f t="shared" ref="BS34:CB34" si="9">CONCATENATE("=Vragenlijst!C",BS1)</f>
        <v>=Vragenlijst!C</v>
      </c>
      <c r="BT34" s="68" t="str">
        <f t="shared" si="9"/>
        <v>=Vragenlijst!C</v>
      </c>
      <c r="BU34" s="68" t="str">
        <f t="shared" si="9"/>
        <v>=Vragenlijst!C</v>
      </c>
      <c r="BV34" s="68" t="str">
        <f t="shared" si="9"/>
        <v>=Vragenlijst!C</v>
      </c>
      <c r="BW34" s="68" t="str">
        <f t="shared" si="9"/>
        <v>=Vragenlijst!C</v>
      </c>
      <c r="BX34" s="68" t="str">
        <f t="shared" si="9"/>
        <v>=Vragenlijst!C</v>
      </c>
      <c r="BY34" s="68" t="str">
        <f t="shared" si="9"/>
        <v>=Vragenlijst!C</v>
      </c>
      <c r="BZ34" s="68" t="str">
        <f t="shared" si="9"/>
        <v>=Vragenlijst!C</v>
      </c>
      <c r="CA34" s="68" t="str">
        <f t="shared" si="9"/>
        <v>=Vragenlijst!C</v>
      </c>
      <c r="CB34" s="68" t="str">
        <f t="shared" si="9"/>
        <v>=Vragenlijst!C</v>
      </c>
    </row>
    <row r="36" spans="4:80">
      <c r="D36" t="s">
        <v>279</v>
      </c>
      <c r="E36" s="68" t="str">
        <f>CONCATENATE("=Vragenlijst!D",E1)</f>
        <v>=Vragenlijst!D</v>
      </c>
      <c r="F36" s="68" t="str">
        <f t="shared" ref="E36:J36" si="10">CONCATENATE("=Vragenlijst!D",F1)</f>
        <v>=Vragenlijst!D</v>
      </c>
      <c r="G36" s="68" t="str">
        <f t="shared" si="10"/>
        <v>=Vragenlijst!D</v>
      </c>
      <c r="H36" s="68" t="str">
        <f t="shared" si="10"/>
        <v>=Vragenlijst!D</v>
      </c>
      <c r="I36" s="68" t="str">
        <f t="shared" si="10"/>
        <v>=Vragenlijst!D</v>
      </c>
      <c r="J36" s="68" t="str">
        <f t="shared" si="10"/>
        <v>=Vragenlijst!D</v>
      </c>
      <c r="K36" s="68" t="str">
        <f>CONCATENATE("=Vragenlijst!D",K1)</f>
        <v>=Vragenlijst!D</v>
      </c>
      <c r="L36" s="68" t="str">
        <f t="shared" ref="L36:BR36" si="11">CONCATENATE("=Vragenlijst!D",L1)</f>
        <v>=Vragenlijst!D</v>
      </c>
      <c r="M36" s="68" t="str">
        <f t="shared" si="11"/>
        <v>=Vragenlijst!D</v>
      </c>
      <c r="N36" s="68" t="str">
        <f t="shared" si="11"/>
        <v>=Vragenlijst!D</v>
      </c>
      <c r="O36" s="68" t="str">
        <f t="shared" si="11"/>
        <v>=Vragenlijst!D</v>
      </c>
      <c r="P36" s="68" t="str">
        <f t="shared" si="11"/>
        <v>=Vragenlijst!D</v>
      </c>
      <c r="Q36" s="68" t="str">
        <f t="shared" si="11"/>
        <v>=Vragenlijst!D</v>
      </c>
      <c r="R36" s="68" t="str">
        <f t="shared" si="11"/>
        <v>=Vragenlijst!D</v>
      </c>
      <c r="S36" s="68" t="str">
        <f t="shared" si="11"/>
        <v>=Vragenlijst!D</v>
      </c>
      <c r="T36" s="68" t="str">
        <f t="shared" si="11"/>
        <v>=Vragenlijst!D</v>
      </c>
      <c r="U36" s="68" t="str">
        <f t="shared" si="11"/>
        <v>=Vragenlijst!D</v>
      </c>
      <c r="V36" s="68" t="str">
        <f t="shared" si="11"/>
        <v>=Vragenlijst!D</v>
      </c>
      <c r="W36" s="68" t="str">
        <f t="shared" si="11"/>
        <v>=Vragenlijst!D</v>
      </c>
      <c r="X36" s="68" t="str">
        <f t="shared" si="11"/>
        <v>=Vragenlijst!D</v>
      </c>
      <c r="Y36" s="68" t="str">
        <f t="shared" si="11"/>
        <v>=Vragenlijst!D</v>
      </c>
      <c r="Z36" s="68" t="str">
        <f t="shared" si="11"/>
        <v>=Vragenlijst!D</v>
      </c>
      <c r="AA36" s="68" t="str">
        <f t="shared" si="11"/>
        <v>=Vragenlijst!D</v>
      </c>
      <c r="AB36" s="68" t="str">
        <f t="shared" si="11"/>
        <v>=Vragenlijst!D</v>
      </c>
      <c r="AC36" s="68" t="str">
        <f t="shared" si="11"/>
        <v>=Vragenlijst!D</v>
      </c>
      <c r="AD36" s="68" t="str">
        <f t="shared" si="11"/>
        <v>=Vragenlijst!D</v>
      </c>
      <c r="AE36" s="68" t="str">
        <f t="shared" si="11"/>
        <v>=Vragenlijst!D</v>
      </c>
      <c r="AF36" s="68" t="str">
        <f t="shared" si="11"/>
        <v>=Vragenlijst!D</v>
      </c>
      <c r="AG36" s="68" t="str">
        <f t="shared" si="11"/>
        <v>=Vragenlijst!D</v>
      </c>
      <c r="AH36" s="68" t="str">
        <f t="shared" si="11"/>
        <v>=Vragenlijst!D</v>
      </c>
      <c r="AI36" s="68" t="str">
        <f t="shared" si="11"/>
        <v>=Vragenlijst!D</v>
      </c>
      <c r="AJ36" s="68" t="str">
        <f t="shared" si="11"/>
        <v>=Vragenlijst!D</v>
      </c>
      <c r="AK36" s="68" t="str">
        <f t="shared" si="11"/>
        <v>=Vragenlijst!D</v>
      </c>
      <c r="AL36" s="68" t="str">
        <f t="shared" si="11"/>
        <v>=Vragenlijst!D</v>
      </c>
      <c r="AM36" s="68" t="str">
        <f t="shared" si="11"/>
        <v>=Vragenlijst!D</v>
      </c>
      <c r="AN36" s="68" t="str">
        <f t="shared" si="11"/>
        <v>=Vragenlijst!D</v>
      </c>
      <c r="AO36" s="68" t="str">
        <f t="shared" si="11"/>
        <v>=Vragenlijst!D</v>
      </c>
      <c r="AP36" s="68" t="str">
        <f t="shared" si="11"/>
        <v>=Vragenlijst!D</v>
      </c>
      <c r="AQ36" s="68" t="str">
        <f t="shared" si="11"/>
        <v>=Vragenlijst!D</v>
      </c>
      <c r="AR36" s="68" t="str">
        <f t="shared" si="11"/>
        <v>=Vragenlijst!D</v>
      </c>
      <c r="AS36" s="68" t="str">
        <f t="shared" si="11"/>
        <v>=Vragenlijst!D</v>
      </c>
      <c r="AT36" s="68" t="str">
        <f t="shared" si="11"/>
        <v>=Vragenlijst!D</v>
      </c>
      <c r="AU36" s="68" t="str">
        <f t="shared" si="11"/>
        <v>=Vragenlijst!D</v>
      </c>
      <c r="AV36" s="68" t="str">
        <f t="shared" si="11"/>
        <v>=Vragenlijst!D</v>
      </c>
      <c r="AW36" s="68" t="str">
        <f t="shared" si="11"/>
        <v>=Vragenlijst!D</v>
      </c>
      <c r="AX36" s="68" t="str">
        <f t="shared" si="11"/>
        <v>=Vragenlijst!D</v>
      </c>
      <c r="AY36" s="68" t="str">
        <f t="shared" si="11"/>
        <v>=Vragenlijst!D</v>
      </c>
      <c r="AZ36" s="68" t="str">
        <f t="shared" si="11"/>
        <v>=Vragenlijst!D</v>
      </c>
      <c r="BA36" s="68" t="str">
        <f t="shared" si="11"/>
        <v>=Vragenlijst!D</v>
      </c>
      <c r="BB36" s="68" t="str">
        <f t="shared" si="11"/>
        <v>=Vragenlijst!D</v>
      </c>
      <c r="BC36" s="68" t="str">
        <f t="shared" si="11"/>
        <v>=Vragenlijst!D</v>
      </c>
      <c r="BD36" s="68" t="str">
        <f t="shared" si="11"/>
        <v>=Vragenlijst!D</v>
      </c>
      <c r="BE36" s="68" t="str">
        <f t="shared" si="11"/>
        <v>=Vragenlijst!D</v>
      </c>
      <c r="BF36" s="68" t="str">
        <f t="shared" si="11"/>
        <v>=Vragenlijst!D</v>
      </c>
      <c r="BG36" s="68" t="str">
        <f t="shared" si="11"/>
        <v>=Vragenlijst!D</v>
      </c>
      <c r="BH36" s="68" t="str">
        <f t="shared" si="11"/>
        <v>=Vragenlijst!D</v>
      </c>
      <c r="BI36" s="68" t="str">
        <f t="shared" si="11"/>
        <v>=Vragenlijst!D</v>
      </c>
      <c r="BJ36" s="68" t="str">
        <f t="shared" si="11"/>
        <v>=Vragenlijst!D</v>
      </c>
      <c r="BK36" s="68" t="str">
        <f t="shared" si="11"/>
        <v>=Vragenlijst!D</v>
      </c>
      <c r="BL36" s="68" t="str">
        <f t="shared" si="11"/>
        <v>=Vragenlijst!D</v>
      </c>
      <c r="BM36" s="68" t="str">
        <f t="shared" si="11"/>
        <v>=Vragenlijst!D</v>
      </c>
      <c r="BN36" s="68" t="str">
        <f t="shared" si="11"/>
        <v>=Vragenlijst!D</v>
      </c>
      <c r="BO36" s="68" t="str">
        <f t="shared" si="11"/>
        <v>=Vragenlijst!D</v>
      </c>
      <c r="BP36" s="68" t="str">
        <f t="shared" si="11"/>
        <v>=Vragenlijst!D</v>
      </c>
      <c r="BQ36" s="68" t="str">
        <f t="shared" si="11"/>
        <v>=Vragenlijst!D</v>
      </c>
      <c r="BR36" s="68" t="str">
        <f t="shared" si="11"/>
        <v>=Vragenlijst!D</v>
      </c>
      <c r="BS36" s="68" t="str">
        <f t="shared" ref="BS36:CB36" si="12">CONCATENATE("=Vragenlijst!D",BS1)</f>
        <v>=Vragenlijst!D</v>
      </c>
      <c r="BT36" s="68" t="str">
        <f t="shared" si="12"/>
        <v>=Vragenlijst!D</v>
      </c>
      <c r="BU36" s="68" t="str">
        <f t="shared" si="12"/>
        <v>=Vragenlijst!D</v>
      </c>
      <c r="BV36" s="68" t="str">
        <f t="shared" si="12"/>
        <v>=Vragenlijst!D</v>
      </c>
      <c r="BW36" s="68" t="str">
        <f t="shared" si="12"/>
        <v>=Vragenlijst!D</v>
      </c>
      <c r="BX36" s="68" t="str">
        <f t="shared" si="12"/>
        <v>=Vragenlijst!D</v>
      </c>
      <c r="BY36" s="68" t="str">
        <f t="shared" si="12"/>
        <v>=Vragenlijst!D</v>
      </c>
      <c r="BZ36" s="68" t="str">
        <f t="shared" si="12"/>
        <v>=Vragenlijst!D</v>
      </c>
      <c r="CA36" s="68" t="str">
        <f t="shared" si="12"/>
        <v>=Vragenlijst!D</v>
      </c>
      <c r="CB36" s="68" t="str">
        <f t="shared" si="12"/>
        <v>=Vragenlijst!D</v>
      </c>
    </row>
  </sheetData>
  <phoneticPr fontId="2" type="noConversion"/>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C4EF9-70DF-417D-9BA6-5510294697FF}">
  <sheetPr>
    <tabColor rgb="FFFF0000"/>
  </sheetPr>
  <dimension ref="D1:CB179"/>
  <sheetViews>
    <sheetView topLeftCell="AI1" zoomScale="55" zoomScaleNormal="55" workbookViewId="0">
      <selection activeCell="AU2" sqref="AU2"/>
    </sheetView>
  </sheetViews>
  <sheetFormatPr defaultColWidth="8.7109375" defaultRowHeight="14.45"/>
  <cols>
    <col min="1" max="3" width="0" style="46" hidden="1" customWidth="1"/>
    <col min="4" max="4" width="25" style="46" bestFit="1" customWidth="1"/>
    <col min="5" max="30" width="6.28515625" style="56" customWidth="1"/>
    <col min="31" max="16384" width="8.7109375" style="46"/>
  </cols>
  <sheetData>
    <row r="1" spans="4:80" ht="15" thickBot="1">
      <c r="E1" s="71"/>
      <c r="F1" s="71"/>
      <c r="G1" s="71"/>
      <c r="H1" s="71"/>
      <c r="I1" s="71"/>
      <c r="J1" s="71"/>
      <c r="K1" s="70"/>
      <c r="L1" s="70"/>
      <c r="M1" s="70"/>
      <c r="N1" s="70"/>
      <c r="O1" s="70"/>
      <c r="P1" s="72"/>
      <c r="Q1" s="72"/>
      <c r="R1" s="72"/>
      <c r="S1" s="72"/>
      <c r="T1" s="70"/>
      <c r="U1" s="70"/>
      <c r="V1" s="70"/>
      <c r="W1" s="70"/>
      <c r="X1" s="70"/>
      <c r="Y1" s="72"/>
      <c r="Z1" s="72"/>
      <c r="AA1" s="72"/>
      <c r="AB1" s="72"/>
      <c r="AC1" s="72"/>
      <c r="AD1" s="70"/>
      <c r="AE1" s="70"/>
      <c r="AF1" s="70"/>
      <c r="AG1" s="70"/>
      <c r="AH1" s="70"/>
      <c r="AI1" s="72"/>
      <c r="AJ1" s="72"/>
      <c r="AK1" s="72"/>
      <c r="AL1" s="72"/>
      <c r="AM1" s="72"/>
      <c r="AN1" s="72"/>
      <c r="AO1" s="72"/>
      <c r="AP1" s="72"/>
      <c r="AQ1" s="74"/>
      <c r="AR1" s="74"/>
      <c r="AS1" s="74"/>
      <c r="AT1" s="74"/>
      <c r="AU1" s="74"/>
      <c r="AV1" s="72"/>
      <c r="AW1" s="72"/>
      <c r="AX1" s="72"/>
      <c r="AY1" s="69"/>
      <c r="AZ1" s="69"/>
      <c r="BA1" s="69"/>
      <c r="BB1" s="69"/>
      <c r="BC1" s="69"/>
      <c r="BD1" s="69"/>
      <c r="BE1" s="69"/>
      <c r="BF1" s="69"/>
      <c r="BG1" s="69"/>
      <c r="BH1" s="69"/>
      <c r="BI1" s="69"/>
      <c r="BJ1" s="69"/>
      <c r="BK1" s="69"/>
      <c r="BL1" s="69"/>
      <c r="BM1" s="69"/>
      <c r="BN1" s="84"/>
      <c r="BO1" s="84"/>
      <c r="BP1" s="84"/>
      <c r="BQ1" s="84"/>
      <c r="BR1" s="84"/>
      <c r="BS1" s="73"/>
      <c r="BT1" s="73"/>
      <c r="BU1" s="73"/>
      <c r="BV1" s="73"/>
      <c r="BW1" s="73"/>
      <c r="BX1" s="105"/>
      <c r="BY1" s="85"/>
      <c r="BZ1" s="85"/>
      <c r="CA1" s="85"/>
      <c r="CB1" s="85"/>
    </row>
    <row r="2" spans="4:80" ht="100.5" customHeight="1">
      <c r="E2" s="48" t="str">
        <f>'Data (DO NOT EDIT!!)'!E2</f>
        <v>Digital Power Basic Skills</v>
      </c>
      <c r="F2" s="49" t="str">
        <f>'Data (DO NOT EDIT!!)'!F2</f>
        <v>Digital Power Basic Skills</v>
      </c>
      <c r="G2" s="49" t="str">
        <f>'Data (DO NOT EDIT!!)'!G2</f>
        <v>Digital Power Basic Skills</v>
      </c>
      <c r="H2" s="49" t="str">
        <f>'Data (DO NOT EDIT!!)'!H2</f>
        <v>Digital Power Basic Skills</v>
      </c>
      <c r="I2" s="49" t="str">
        <f>'Data (DO NOT EDIT!!)'!I2</f>
        <v>Digital Power Basic Skills</v>
      </c>
      <c r="J2" s="50" t="str">
        <f>'Data (DO NOT EDIT!!)'!J2</f>
        <v>Digital Power Basic Skills</v>
      </c>
      <c r="K2" s="48" t="str">
        <f>'Data (DO NOT EDIT!!)'!K2</f>
        <v>Domain Skills</v>
      </c>
      <c r="L2" s="49" t="str">
        <f>'Data (DO NOT EDIT!!)'!L2</f>
        <v>Domain Skills</v>
      </c>
      <c r="M2" s="49" t="str">
        <f>'Data (DO NOT EDIT!!)'!M2</f>
        <v>Domain Skills</v>
      </c>
      <c r="N2" s="49" t="str">
        <f>'Data (DO NOT EDIT!!)'!N2</f>
        <v>Domain Skills</v>
      </c>
      <c r="O2" s="49" t="str">
        <f>'Data (DO NOT EDIT!!)'!O2</f>
        <v>Domain Skills</v>
      </c>
      <c r="P2" s="49" t="str">
        <f>'Data (DO NOT EDIT!!)'!P2</f>
        <v>Domain Skills</v>
      </c>
      <c r="Q2" s="49" t="str">
        <f>'Data (DO NOT EDIT!!)'!Q2</f>
        <v>Domain Skills</v>
      </c>
      <c r="R2" s="49" t="str">
        <f>'Data (DO NOT EDIT!!)'!R2</f>
        <v>Domain Skills</v>
      </c>
      <c r="S2" s="49" t="str">
        <f>'Data (DO NOT EDIT!!)'!S2</f>
        <v>Domain Skills</v>
      </c>
      <c r="T2" s="49" t="str">
        <f>'Data (DO NOT EDIT!!)'!T2</f>
        <v>Domain Skills</v>
      </c>
      <c r="U2" s="49" t="str">
        <f>'Data (DO NOT EDIT!!)'!U2</f>
        <v>Domain Skills</v>
      </c>
      <c r="V2" s="49" t="str">
        <f>'Data (DO NOT EDIT!!)'!V2</f>
        <v>Domain Skills</v>
      </c>
      <c r="W2" s="49" t="str">
        <f>'Data (DO NOT EDIT!!)'!W2</f>
        <v>Domain Skills</v>
      </c>
      <c r="X2" s="49" t="str">
        <f>'Data (DO NOT EDIT!!)'!X2</f>
        <v>Domain Skills</v>
      </c>
      <c r="Y2" s="49" t="str">
        <f>'Data (DO NOT EDIT!!)'!Y2</f>
        <v>Domain Skills</v>
      </c>
      <c r="Z2" s="49" t="str">
        <f>'Data (DO NOT EDIT!!)'!Z2</f>
        <v>Domain Skills</v>
      </c>
      <c r="AA2" s="49" t="str">
        <f>'Data (DO NOT EDIT!!)'!AA2</f>
        <v>Domain Skills</v>
      </c>
      <c r="AB2" s="49" t="str">
        <f>'Data (DO NOT EDIT!!)'!AB2</f>
        <v>Domain Skills</v>
      </c>
      <c r="AC2" s="49" t="str">
        <f>'Data (DO NOT EDIT!!)'!AC2</f>
        <v>Domain Skills</v>
      </c>
      <c r="AD2" s="49" t="str">
        <f>'Data (DO NOT EDIT!!)'!AD2</f>
        <v>Domain Skills</v>
      </c>
      <c r="AE2" s="49" t="str">
        <f>'Data (DO NOT EDIT!!)'!AE2</f>
        <v>Domain Skills</v>
      </c>
      <c r="AF2" s="49" t="str">
        <f>'Data (DO NOT EDIT!!)'!AF2</f>
        <v>Domain Skills</v>
      </c>
      <c r="AG2" s="49" t="str">
        <f>'Data (DO NOT EDIT!!)'!AG2</f>
        <v>Domain Skills</v>
      </c>
      <c r="AH2" s="49" t="str">
        <f>'Data (DO NOT EDIT!!)'!AH2</f>
        <v>Domain Skills</v>
      </c>
      <c r="AI2" s="49" t="str">
        <f>'Data (DO NOT EDIT!!)'!AI2</f>
        <v>Domain Skills</v>
      </c>
      <c r="AJ2" s="49" t="str">
        <f>'Data (DO NOT EDIT!!)'!AJ2</f>
        <v>Domain Skills</v>
      </c>
      <c r="AK2" s="49" t="str">
        <f>'Data (DO NOT EDIT!!)'!AK2</f>
        <v>Domain Skills</v>
      </c>
      <c r="AL2" s="49" t="str">
        <f>'Data (DO NOT EDIT!!)'!AL2</f>
        <v>Domain Skills</v>
      </c>
      <c r="AM2" s="49" t="str">
        <f>'Data (DO NOT EDIT!!)'!AM2</f>
        <v>Domain Skills</v>
      </c>
      <c r="AN2" s="49" t="str">
        <f>'Data (DO NOT EDIT!!)'!AN2</f>
        <v>Domain Skills</v>
      </c>
      <c r="AO2" s="49" t="str">
        <f>'Data (DO NOT EDIT!!)'!AO2</f>
        <v>Domain Skills</v>
      </c>
      <c r="AP2" s="49" t="str">
        <f>'Data (DO NOT EDIT!!)'!AP2</f>
        <v>Domain Skills</v>
      </c>
      <c r="AQ2" s="49" t="str">
        <f>'Data (DO NOT EDIT!!)'!AQ2</f>
        <v>Domain Skills</v>
      </c>
      <c r="AR2" s="49" t="str">
        <f>'Data (DO NOT EDIT!!)'!AR2</f>
        <v>Domain Skills</v>
      </c>
      <c r="AS2" s="49" t="str">
        <f>'Data (DO NOT EDIT!!)'!AS2</f>
        <v>Domain Skills</v>
      </c>
      <c r="AT2" s="49" t="str">
        <f>'Data (DO NOT EDIT!!)'!AT2</f>
        <v>Domain Skills</v>
      </c>
      <c r="AU2" s="49" t="str">
        <f>'Data (DO NOT EDIT!!)'!AU2</f>
        <v>Domain Skills</v>
      </c>
      <c r="AV2" s="49" t="str">
        <f>'Data (DO NOT EDIT!!)'!AV2</f>
        <v>Domain Skills</v>
      </c>
      <c r="AW2" s="49" t="str">
        <f>'Data (DO NOT EDIT!!)'!AW2</f>
        <v>Domain Skills</v>
      </c>
      <c r="AX2" s="209" t="s">
        <v>225</v>
      </c>
      <c r="AY2" s="48" t="str">
        <f>'Data (DO NOT EDIT!!)'!AY2</f>
        <v>Hardskills</v>
      </c>
      <c r="AZ2" s="49" t="str">
        <f>'Data (DO NOT EDIT!!)'!AZ2</f>
        <v>Hardskills</v>
      </c>
      <c r="BA2" s="49" t="str">
        <f>'Data (DO NOT EDIT!!)'!BA2</f>
        <v>Hardskills</v>
      </c>
      <c r="BB2" s="49" t="str">
        <f>'Data (DO NOT EDIT!!)'!BB2</f>
        <v>Hardskills</v>
      </c>
      <c r="BC2" s="49" t="str">
        <f>'Data (DO NOT EDIT!!)'!BC2</f>
        <v>Hardskills</v>
      </c>
      <c r="BD2" s="49" t="str">
        <f>'Data (DO NOT EDIT!!)'!BD2</f>
        <v>Hardskills</v>
      </c>
      <c r="BE2" s="49" t="str">
        <f>'Data (DO NOT EDIT!!)'!BE2</f>
        <v>Hardskills</v>
      </c>
      <c r="BF2" s="49" t="str">
        <f>'Data (DO NOT EDIT!!)'!BF2</f>
        <v>Hardskills</v>
      </c>
      <c r="BG2" s="49" t="str">
        <f>'Data (DO NOT EDIT!!)'!BG2</f>
        <v>Hardskills</v>
      </c>
      <c r="BH2" s="49" t="str">
        <f>'Data (DO NOT EDIT!!)'!BH2</f>
        <v>Hardskills</v>
      </c>
      <c r="BI2" s="49" t="str">
        <f>'Data (DO NOT EDIT!!)'!BI2</f>
        <v>Hardskills</v>
      </c>
      <c r="BJ2" s="49" t="str">
        <f>'Data (DO NOT EDIT!!)'!BJ2</f>
        <v>Hardskills</v>
      </c>
      <c r="BK2" s="49" t="str">
        <f>'Data (DO NOT EDIT!!)'!BK2</f>
        <v>Hardskills</v>
      </c>
      <c r="BL2" s="49" t="str">
        <f>'Data (DO NOT EDIT!!)'!BL2</f>
        <v>Hardskills</v>
      </c>
      <c r="BM2" s="50" t="str">
        <f>'Data (DO NOT EDIT!!)'!BM2</f>
        <v>Hardskills</v>
      </c>
      <c r="BN2" s="48" t="str">
        <f>'Data (DO NOT EDIT!!)'!BN2</f>
        <v>Basic Consultancy Skills</v>
      </c>
      <c r="BO2" s="49" t="str">
        <f>'Data (DO NOT EDIT!!)'!BO2</f>
        <v>Basic Consultancy Skills</v>
      </c>
      <c r="BP2" s="49" t="str">
        <f>'Data (DO NOT EDIT!!)'!BP2</f>
        <v>Basic Consultancy Skills</v>
      </c>
      <c r="BQ2" s="49" t="str">
        <f>'Data (DO NOT EDIT!!)'!BQ2</f>
        <v>Basic Consultancy Skills</v>
      </c>
      <c r="BR2" s="50" t="str">
        <f>'Data (DO NOT EDIT!!)'!BR2</f>
        <v>Basic Consultancy Skills</v>
      </c>
      <c r="BS2" s="48" t="str">
        <f>'Data (DO NOT EDIT!!)'!BS2</f>
        <v>Business Skills</v>
      </c>
      <c r="BT2" s="49" t="str">
        <f>'Data (DO NOT EDIT!!)'!BT2</f>
        <v>Business Skills</v>
      </c>
      <c r="BU2" s="49" t="str">
        <f>'Data (DO NOT EDIT!!)'!BU2</f>
        <v>Business Skills</v>
      </c>
      <c r="BV2" s="49" t="str">
        <f>'Data (DO NOT EDIT!!)'!BV2</f>
        <v>Business Skills</v>
      </c>
      <c r="BW2" s="50" t="str">
        <f>'Data (DO NOT EDIT!!)'!BW2</f>
        <v>Business Skills</v>
      </c>
      <c r="BX2" s="48" t="str">
        <f>'Data (DO NOT EDIT!!)'!BX2</f>
        <v>Expert Consultancy Skills</v>
      </c>
      <c r="BY2" s="49" t="str">
        <f>'Data (DO NOT EDIT!!)'!BY2</f>
        <v>Expert Consultancy Skills</v>
      </c>
      <c r="BZ2" s="49" t="str">
        <f>'Data (DO NOT EDIT!!)'!BZ2</f>
        <v>Expert Consultancy Skills</v>
      </c>
      <c r="CA2" s="49" t="str">
        <f>'Data (DO NOT EDIT!!)'!CA2</f>
        <v>Expert Consultancy Skills</v>
      </c>
      <c r="CB2" s="50" t="str">
        <f>'Data (DO NOT EDIT!!)'!CB2</f>
        <v>Expert Consultancy Skills</v>
      </c>
    </row>
    <row r="3" spans="4:80" ht="138" customHeight="1">
      <c r="E3" s="75"/>
      <c r="F3" s="76"/>
      <c r="G3" s="76"/>
      <c r="H3" s="76"/>
      <c r="I3" s="76"/>
      <c r="J3" s="77"/>
      <c r="K3" s="75" t="s">
        <v>55</v>
      </c>
      <c r="L3" s="76" t="s">
        <v>55</v>
      </c>
      <c r="M3" s="76" t="s">
        <v>55</v>
      </c>
      <c r="N3" s="76" t="s">
        <v>55</v>
      </c>
      <c r="O3" s="76" t="s">
        <v>55</v>
      </c>
      <c r="P3" s="76" t="s">
        <v>62</v>
      </c>
      <c r="Q3" s="76" t="s">
        <v>62</v>
      </c>
      <c r="R3" s="76" t="s">
        <v>62</v>
      </c>
      <c r="S3" s="76" t="s">
        <v>62</v>
      </c>
      <c r="T3" s="76" t="s">
        <v>67</v>
      </c>
      <c r="U3" s="76" t="s">
        <v>67</v>
      </c>
      <c r="V3" s="76" t="s">
        <v>67</v>
      </c>
      <c r="W3" s="76" t="s">
        <v>67</v>
      </c>
      <c r="X3" s="76" t="s">
        <v>67</v>
      </c>
      <c r="Y3" s="76" t="s">
        <v>73</v>
      </c>
      <c r="Z3" s="76" t="s">
        <v>73</v>
      </c>
      <c r="AA3" s="76" t="s">
        <v>73</v>
      </c>
      <c r="AB3" s="76" t="s">
        <v>73</v>
      </c>
      <c r="AC3" s="76" t="s">
        <v>73</v>
      </c>
      <c r="AD3" s="76" t="s">
        <v>79</v>
      </c>
      <c r="AE3" s="76" t="s">
        <v>79</v>
      </c>
      <c r="AF3" s="76" t="s">
        <v>79</v>
      </c>
      <c r="AG3" s="76" t="s">
        <v>79</v>
      </c>
      <c r="AH3" s="76" t="s">
        <v>79</v>
      </c>
      <c r="AI3" s="76" t="s">
        <v>85</v>
      </c>
      <c r="AJ3" s="76" t="s">
        <v>85</v>
      </c>
      <c r="AK3" s="76" t="s">
        <v>85</v>
      </c>
      <c r="AL3" s="76" t="s">
        <v>85</v>
      </c>
      <c r="AM3" s="76" t="s">
        <v>85</v>
      </c>
      <c r="AN3" s="76" t="s">
        <v>85</v>
      </c>
      <c r="AO3" s="76" t="s">
        <v>85</v>
      </c>
      <c r="AP3" s="76" t="s">
        <v>85</v>
      </c>
      <c r="AQ3" s="76" t="s">
        <v>94</v>
      </c>
      <c r="AR3" s="76" t="s">
        <v>94</v>
      </c>
      <c r="AS3" s="76" t="s">
        <v>94</v>
      </c>
      <c r="AT3" s="76" t="s">
        <v>94</v>
      </c>
      <c r="AU3" s="76" t="s">
        <v>94</v>
      </c>
      <c r="AV3" s="76" t="s">
        <v>100</v>
      </c>
      <c r="AW3" s="76" t="s">
        <v>100</v>
      </c>
      <c r="AX3" s="77" t="s">
        <v>100</v>
      </c>
      <c r="AY3" s="75"/>
      <c r="AZ3" s="76"/>
      <c r="BA3" s="76"/>
      <c r="BB3" s="76"/>
      <c r="BC3" s="76"/>
      <c r="BD3" s="76"/>
      <c r="BE3" s="76"/>
      <c r="BF3" s="76"/>
      <c r="BG3" s="76"/>
      <c r="BH3" s="76"/>
      <c r="BI3" s="76"/>
      <c r="BJ3" s="76"/>
      <c r="BK3" s="76"/>
      <c r="BL3" s="76"/>
      <c r="BM3" s="77"/>
      <c r="BN3" s="75"/>
      <c r="BO3" s="76"/>
      <c r="BP3" s="76"/>
      <c r="BQ3" s="76"/>
      <c r="BR3" s="77"/>
      <c r="BS3" s="75"/>
      <c r="BT3" s="76"/>
      <c r="BU3" s="76"/>
      <c r="BV3" s="76"/>
      <c r="BW3" s="77"/>
      <c r="BX3" s="75"/>
      <c r="BY3" s="76"/>
      <c r="BZ3" s="76"/>
      <c r="CA3" s="76"/>
      <c r="CB3" s="77"/>
    </row>
    <row r="4" spans="4:80" ht="118.5" customHeight="1">
      <c r="E4" s="51" t="s">
        <v>19</v>
      </c>
      <c r="F4" s="52" t="s">
        <v>25</v>
      </c>
      <c r="G4" s="52" t="s">
        <v>31</v>
      </c>
      <c r="H4" s="52" t="s">
        <v>37</v>
      </c>
      <c r="I4" s="52" t="s">
        <v>43</v>
      </c>
      <c r="J4" s="53" t="s">
        <v>49</v>
      </c>
      <c r="K4" s="51" t="str">
        <f>'Data (DO NOT EDIT!!)'!K4</f>
        <v>Aware</v>
      </c>
      <c r="L4" s="52" t="str">
        <f>'Data (DO NOT EDIT!!)'!L4</f>
        <v>Understands</v>
      </c>
      <c r="M4" s="52" t="str">
        <f>'Data (DO NOT EDIT!!)'!M4</f>
        <v>Advises</v>
      </c>
      <c r="N4" s="52" t="str">
        <f>'Data (DO NOT EDIT!!)'!N4</f>
        <v>Takes into account in own work</v>
      </c>
      <c r="O4" s="52" t="str">
        <f>'Data (DO NOT EDIT!!)'!O4</f>
        <v>Proactively advises</v>
      </c>
      <c r="P4" s="52" t="str">
        <f>'Data (DO NOT EDIT!!)'!P4</f>
        <v>Aware of different types of data and possibilities/limitations</v>
      </c>
      <c r="Q4" s="52" t="str">
        <f>'Data (DO NOT EDIT!!)'!Q4</f>
        <v>Understands data quality and recognizes problems</v>
      </c>
      <c r="R4" s="52" t="str">
        <f>'Data (DO NOT EDIT!!)'!R4</f>
        <v>Also knows the solutions to deal with data quality problems</v>
      </c>
      <c r="S4" s="52" t="str">
        <f>'Data (DO NOT EDIT!!)'!S4</f>
        <v>Can effectively and efficiently transform/manipulate the data</v>
      </c>
      <c r="T4" s="52" t="str">
        <f>'Data (DO NOT EDIT!!)'!T4</f>
        <v>Assumptions about sample size, distribution, etc.</v>
      </c>
      <c r="U4" s="52" t="str">
        <f>'Data (DO NOT EDIT!!)'!U4</f>
        <v>Confidence Intervals</v>
      </c>
      <c r="V4" s="52" t="str">
        <f>'Data (DO NOT EDIT!!)'!V4</f>
        <v>Statistical tests</v>
      </c>
      <c r="W4" s="52" t="str">
        <f>'Data (DO NOT EDIT!!)'!W4</f>
        <v>Correlation</v>
      </c>
      <c r="X4" s="52" t="str">
        <f>'Data (DO NOT EDIT!!)'!X4</f>
        <v>Regression</v>
      </c>
      <c r="Y4" s="52" t="str">
        <f>'Data (DO NOT EDIT!!)'!Y4</f>
        <v>Reliability &amp; validity</v>
      </c>
      <c r="Z4" s="52" t="str">
        <f>'Data (DO NOT EDIT!!)'!Z4</f>
        <v>Selecting appropriate research method</v>
      </c>
      <c r="AA4" s="52" t="str">
        <f>'Data (DO NOT EDIT!!)'!AA4</f>
        <v>Research design</v>
      </c>
      <c r="AB4" s="52" t="str">
        <f>'Data (DO NOT EDIT!!)'!AB4</f>
        <v>Interpreting results</v>
      </c>
      <c r="AC4" s="52" t="str">
        <f>'Data (DO NOT EDIT!!)'!AC4</f>
        <v>Research in a business context</v>
      </c>
      <c r="AD4" s="52" t="str">
        <f>'Data (DO NOT EDIT!!)'!AD4</f>
        <v>Metrics for usability and UX</v>
      </c>
      <c r="AE4" s="52" t="str">
        <f>'Data (DO NOT EDIT!!)'!AE4</f>
        <v>Metrics for CX</v>
      </c>
      <c r="AF4" s="52" t="str">
        <f>'Data (DO NOT EDIT!!)'!AF4</f>
        <v>Metrics connecting strategy with UX/CX metrics</v>
      </c>
      <c r="AG4" s="52" t="str">
        <f>'Data (DO NOT EDIT!!)'!AG4</f>
        <v>Translating metrics into concrete measurable definitions</v>
      </c>
      <c r="AH4" s="52" t="str">
        <f>'Data (DO NOT EDIT!!)'!AH4</f>
        <v>Metrics for the appropriate level in the organization</v>
      </c>
      <c r="AI4" s="52" t="str">
        <f>'Data (DO NOT EDIT!!)'!AI4</f>
        <v>Perception and decision making</v>
      </c>
      <c r="AJ4" s="52" t="str">
        <f>'Data (DO NOT EDIT!!)'!AJ4</f>
        <v>Optimization process</v>
      </c>
      <c r="AK4" s="52" t="str">
        <f>'Data (DO NOT EDIT!!)'!AK4</f>
        <v>CX Maturity models</v>
      </c>
      <c r="AL4" s="52" t="str">
        <f>'Data (DO NOT EDIT!!)'!AL4</f>
        <v>Brand, usability, UX, CX</v>
      </c>
      <c r="AM4" s="52" t="str">
        <f>'Data (DO NOT EDIT!!)'!AM4</f>
        <v>CX strategy</v>
      </c>
      <c r="AN4" s="52" t="str">
        <f>'Data (DO NOT EDIT!!)'!AN4</f>
        <v>Copywriting | UX writing | Content</v>
      </c>
      <c r="AO4" s="52" t="str">
        <f>'Data (DO NOT EDIT!!)'!AO4</f>
        <v>Customer Journey Mapping &amp; Personas</v>
      </c>
      <c r="AP4" s="52" t="str">
        <f>'Data (DO NOT EDIT!!)'!AP4</f>
        <v>Personalization &amp; segmentation</v>
      </c>
      <c r="AQ4" s="52" t="str">
        <f>'Data (DO NOT EDIT!!)'!AQ4</f>
        <v>Customer Journey (CXO)</v>
      </c>
      <c r="AR4" s="52" t="str">
        <f>'Data (DO NOT EDIT!!)'!AR4</f>
        <v>Marketing Analytics</v>
      </c>
      <c r="AS4" s="52" t="str">
        <f>'Data (DO NOT EDIT!!)'!AS4</f>
        <v>eCommerce Analytics</v>
      </c>
      <c r="AT4" s="52" t="str">
        <f>'Data (DO NOT EDIT!!)'!AT4</f>
        <v>Product Analytics</v>
      </c>
      <c r="AU4" s="52" t="str">
        <f>'Data (DO NOT EDIT!!)'!AU4</f>
        <v>Customer Service Optimalisation</v>
      </c>
      <c r="AV4" s="52" t="str">
        <f>'Data (DO NOT EDIT!!)'!AV4</f>
        <v>Design</v>
      </c>
      <c r="AW4" s="52" t="str">
        <f>'Data (DO NOT EDIT!!)'!AW4</f>
        <v>Prototyping</v>
      </c>
      <c r="AX4" s="53" t="str">
        <f>'Data (DO NOT EDIT!!)'!AX4</f>
        <v>Visual design</v>
      </c>
      <c r="AY4" s="51" t="str">
        <f>'Data (DO NOT EDIT!!)'!AY4</f>
        <v xml:space="preserve">Customer Journey Mapping </v>
      </c>
      <c r="AZ4" s="52" t="str">
        <f>'Data (DO NOT EDIT!!)'!AZ4</f>
        <v>Usability Tests - Formative</v>
      </c>
      <c r="BA4" s="52" t="str">
        <f>'Data (DO NOT EDIT!!)'!BA4</f>
        <v>Usability Test - Summative</v>
      </c>
      <c r="BB4" s="52" t="str">
        <f>'Data (DO NOT EDIT!!)'!BB4</f>
        <v>AB Testing</v>
      </c>
      <c r="BC4" s="52" t="str">
        <f>'Data (DO NOT EDIT!!)'!BC4</f>
        <v>Behavioral Analytics (Web and app analytics tooling)</v>
      </c>
      <c r="BD4" s="52" t="str">
        <f>'Data (DO NOT EDIT!!)'!BD4</f>
        <v>Marketing Analytics</v>
      </c>
      <c r="BE4" s="52" t="str">
        <f>'Data (DO NOT EDIT!!)'!BE4</f>
        <v>Session recordings</v>
      </c>
      <c r="BF4" s="52" t="str">
        <f>'Data (DO NOT EDIT!!)'!BF4</f>
        <v>Heatmaps &amp; Scrollmaps</v>
      </c>
      <c r="BG4" s="52" t="str">
        <f>'Data (DO NOT EDIT!!)'!BG4</f>
        <v>Interviewing  (setup &amp; executing interview)</v>
      </c>
      <c r="BH4" s="52" t="str">
        <f>'Data (DO NOT EDIT!!)'!BH4</f>
        <v>Survey Design (setup &amp; executing survey)</v>
      </c>
      <c r="BI4" s="52" t="str">
        <f>'Data (DO NOT EDIT!!)'!BI4</f>
        <v>SQL</v>
      </c>
      <c r="BJ4" s="52" t="str">
        <f>'Data (DO NOT EDIT!!)'!BJ4</f>
        <v>Python</v>
      </c>
      <c r="BK4" s="52" t="str">
        <f>'Data (DO NOT EDIT!!)'!BK4</f>
        <v>Javascript</v>
      </c>
      <c r="BL4" s="52" t="str">
        <f>'Data (DO NOT EDIT!!)'!BL4</f>
        <v>R</v>
      </c>
      <c r="BM4" s="53" t="str">
        <f>'Data (DO NOT EDIT!!)'!BM4</f>
        <v>HTML / CSS</v>
      </c>
      <c r="BN4" s="51" t="str">
        <f>'Data (DO NOT EDIT!!)'!BN4</f>
        <v>Advising</v>
      </c>
      <c r="BO4" s="52" t="str">
        <f>'Data (DO NOT EDIT!!)'!BO4</f>
        <v xml:space="preserve">Decisive &amp; problem-solving </v>
      </c>
      <c r="BP4" s="52" t="str">
        <f>'Data (DO NOT EDIT!!)'!BP4</f>
        <v>Interpersonal communication</v>
      </c>
      <c r="BQ4" s="52" t="str">
        <f>'Data (DO NOT EDIT!!)'!BQ4</f>
        <v>Expectation management</v>
      </c>
      <c r="BR4" s="53" t="str">
        <f>'Data (DO NOT EDIT!!)'!BR4</f>
        <v>Written and oral communication</v>
      </c>
      <c r="BS4" s="51" t="str">
        <f>'Data (DO NOT EDIT!!)'!BS4</f>
        <v>Organizational and management identification</v>
      </c>
      <c r="BT4" s="52" t="str">
        <f>'Data (DO NOT EDIT!!)'!BT4</f>
        <v>Strategic conceptualization</v>
      </c>
      <c r="BU4" s="52" t="str">
        <f>'Data (DO NOT EDIT!!)'!BU4</f>
        <v>Project management</v>
      </c>
      <c r="BV4" s="52" t="str">
        <f>'Data (DO NOT EDIT!!)'!BV4</f>
        <v>Change management</v>
      </c>
      <c r="BW4" s="53" t="str">
        <f>'Data (DO NOT EDIT!!)'!BW4</f>
        <v>Leadership</v>
      </c>
      <c r="BX4" s="51" t="str">
        <f>'Data (DO NOT EDIT!!)'!BX4</f>
        <v>Situational communication</v>
      </c>
      <c r="BY4" s="52" t="str">
        <f>'Data (DO NOT EDIT!!)'!BY4</f>
        <v>Goal-oriented &amp; effective communication</v>
      </c>
      <c r="BZ4" s="52" t="str">
        <f>'Data (DO NOT EDIT!!)'!BZ4</f>
        <v>Decision-making</v>
      </c>
      <c r="CA4" s="52" t="str">
        <f>'Data (DO NOT EDIT!!)'!CA4</f>
        <v>Persuading &amp; influencing</v>
      </c>
      <c r="CB4" s="53" t="str">
        <f>'Data (DO NOT EDIT!!)'!CB4</f>
        <v>Constructive (negative) feedback &amp; bad news conversations</v>
      </c>
    </row>
    <row r="5" spans="4:80" ht="15" thickBot="1">
      <c r="E5" s="81">
        <f>'Data (DO NOT EDIT!!)'!E5</f>
        <v>1</v>
      </c>
      <c r="F5" s="82">
        <f>'Data (DO NOT EDIT!!)'!F5</f>
        <v>2</v>
      </c>
      <c r="G5" s="82">
        <f>'Data (DO NOT EDIT!!)'!G5</f>
        <v>3</v>
      </c>
      <c r="H5" s="82">
        <f>'Data (DO NOT EDIT!!)'!H5</f>
        <v>4</v>
      </c>
      <c r="I5" s="82">
        <f>'Data (DO NOT EDIT!!)'!I5</f>
        <v>5</v>
      </c>
      <c r="J5" s="83">
        <f>'Data (DO NOT EDIT!!)'!J5</f>
        <v>6</v>
      </c>
      <c r="K5" s="81">
        <f>'Data (DO NOT EDIT!!)'!K5</f>
        <v>1</v>
      </c>
      <c r="L5" s="82">
        <f>'Data (DO NOT EDIT!!)'!L5</f>
        <v>2</v>
      </c>
      <c r="M5" s="82">
        <f>'Data (DO NOT EDIT!!)'!M5</f>
        <v>3</v>
      </c>
      <c r="N5" s="82">
        <f>'Data (DO NOT EDIT!!)'!N5</f>
        <v>4</v>
      </c>
      <c r="O5" s="82">
        <f>'Data (DO NOT EDIT!!)'!O5</f>
        <v>5</v>
      </c>
      <c r="P5" s="82">
        <f>'Data (DO NOT EDIT!!)'!P5</f>
        <v>1</v>
      </c>
      <c r="Q5" s="82">
        <f>'Data (DO NOT EDIT!!)'!Q5</f>
        <v>2</v>
      </c>
      <c r="R5" s="82">
        <f>'Data (DO NOT EDIT!!)'!R5</f>
        <v>3</v>
      </c>
      <c r="S5" s="82">
        <f>'Data (DO NOT EDIT!!)'!S5</f>
        <v>4</v>
      </c>
      <c r="T5" s="82">
        <f>'Data (DO NOT EDIT!!)'!T5</f>
        <v>1</v>
      </c>
      <c r="U5" s="82">
        <f>'Data (DO NOT EDIT!!)'!U5</f>
        <v>2</v>
      </c>
      <c r="V5" s="82">
        <f>'Data (DO NOT EDIT!!)'!V5</f>
        <v>3</v>
      </c>
      <c r="W5" s="82">
        <f>'Data (DO NOT EDIT!!)'!W5</f>
        <v>4</v>
      </c>
      <c r="X5" s="82">
        <f>'Data (DO NOT EDIT!!)'!X5</f>
        <v>5</v>
      </c>
      <c r="Y5" s="82">
        <f>'Data (DO NOT EDIT!!)'!Y5</f>
        <v>1</v>
      </c>
      <c r="Z5" s="82">
        <f>'Data (DO NOT EDIT!!)'!Z5</f>
        <v>2</v>
      </c>
      <c r="AA5" s="82">
        <f>'Data (DO NOT EDIT!!)'!AA5</f>
        <v>3</v>
      </c>
      <c r="AB5" s="82">
        <f>'Data (DO NOT EDIT!!)'!AB5</f>
        <v>4</v>
      </c>
      <c r="AC5" s="82">
        <f>'Data (DO NOT EDIT!!)'!AC5</f>
        <v>5</v>
      </c>
      <c r="AD5" s="82">
        <f>'Data (DO NOT EDIT!!)'!AD5</f>
        <v>1</v>
      </c>
      <c r="AE5" s="82">
        <f>'Data (DO NOT EDIT!!)'!AE5</f>
        <v>2</v>
      </c>
      <c r="AF5" s="82">
        <f>'Data (DO NOT EDIT!!)'!AF5</f>
        <v>3</v>
      </c>
      <c r="AG5" s="82">
        <f>'Data (DO NOT EDIT!!)'!AG5</f>
        <v>4</v>
      </c>
      <c r="AH5" s="82">
        <f>'Data (DO NOT EDIT!!)'!AH5</f>
        <v>5</v>
      </c>
      <c r="AI5" s="82">
        <f>'Data (DO NOT EDIT!!)'!AI5</f>
        <v>1</v>
      </c>
      <c r="AJ5" s="82">
        <f>'Data (DO NOT EDIT!!)'!AJ5</f>
        <v>2</v>
      </c>
      <c r="AK5" s="82">
        <f>'Data (DO NOT EDIT!!)'!AK5</f>
        <v>3</v>
      </c>
      <c r="AL5" s="82">
        <f>'Data (DO NOT EDIT!!)'!AL5</f>
        <v>4</v>
      </c>
      <c r="AM5" s="82">
        <f>'Data (DO NOT EDIT!!)'!AM5</f>
        <v>5</v>
      </c>
      <c r="AN5" s="82">
        <f>'Data (DO NOT EDIT!!)'!AN5</f>
        <v>6</v>
      </c>
      <c r="AO5" s="82">
        <f>'Data (DO NOT EDIT!!)'!AO5</f>
        <v>7</v>
      </c>
      <c r="AP5" s="82">
        <f>'Data (DO NOT EDIT!!)'!AP5</f>
        <v>8</v>
      </c>
      <c r="AQ5" s="82">
        <f>'Data (DO NOT EDIT!!)'!AQ5</f>
        <v>1</v>
      </c>
      <c r="AR5" s="82">
        <f>'Data (DO NOT EDIT!!)'!AR5</f>
        <v>2</v>
      </c>
      <c r="AS5" s="82">
        <f>'Data (DO NOT EDIT!!)'!AS5</f>
        <v>3</v>
      </c>
      <c r="AT5" s="82">
        <f>'Data (DO NOT EDIT!!)'!AT5</f>
        <v>4</v>
      </c>
      <c r="AU5" s="82">
        <f>'Data (DO NOT EDIT!!)'!AU5</f>
        <v>5</v>
      </c>
      <c r="AV5" s="82">
        <f>'Data (DO NOT EDIT!!)'!AV5</f>
        <v>1</v>
      </c>
      <c r="AW5" s="82">
        <f>'Data (DO NOT EDIT!!)'!AW5</f>
        <v>2</v>
      </c>
      <c r="AX5" s="83">
        <f>'Data (DO NOT EDIT!!)'!AX5</f>
        <v>3</v>
      </c>
      <c r="AY5" s="81">
        <f>'Data (DO NOT EDIT!!)'!AY5</f>
        <v>1</v>
      </c>
      <c r="AZ5" s="82">
        <f>'Data (DO NOT EDIT!!)'!AZ5</f>
        <v>2</v>
      </c>
      <c r="BA5" s="82">
        <f>'Data (DO NOT EDIT!!)'!BA5</f>
        <v>3</v>
      </c>
      <c r="BB5" s="82">
        <f>'Data (DO NOT EDIT!!)'!BB5</f>
        <v>4</v>
      </c>
      <c r="BC5" s="82">
        <f>'Data (DO NOT EDIT!!)'!BC5</f>
        <v>5</v>
      </c>
      <c r="BD5" s="82">
        <f>'Data (DO NOT EDIT!!)'!BD5</f>
        <v>6</v>
      </c>
      <c r="BE5" s="82">
        <f>'Data (DO NOT EDIT!!)'!BE5</f>
        <v>7</v>
      </c>
      <c r="BF5" s="82">
        <f>'Data (DO NOT EDIT!!)'!BF5</f>
        <v>8</v>
      </c>
      <c r="BG5" s="82">
        <f>'Data (DO NOT EDIT!!)'!BG5</f>
        <v>9</v>
      </c>
      <c r="BH5" s="82">
        <f>'Data (DO NOT EDIT!!)'!BH5</f>
        <v>10</v>
      </c>
      <c r="BI5" s="82">
        <f>'Data (DO NOT EDIT!!)'!BI5</f>
        <v>11</v>
      </c>
      <c r="BJ5" s="82">
        <f>'Data (DO NOT EDIT!!)'!BJ5</f>
        <v>12</v>
      </c>
      <c r="BK5" s="82">
        <f>'Data (DO NOT EDIT!!)'!BK5</f>
        <v>13</v>
      </c>
      <c r="BL5" s="82">
        <f>'Data (DO NOT EDIT!!)'!BL5</f>
        <v>14</v>
      </c>
      <c r="BM5" s="83">
        <f>'Data (DO NOT EDIT!!)'!BM5</f>
        <v>15</v>
      </c>
      <c r="BN5" s="81">
        <f>'Data (DO NOT EDIT!!)'!BN5</f>
        <v>1</v>
      </c>
      <c r="BO5" s="82">
        <f>'Data (DO NOT EDIT!!)'!BO5</f>
        <v>2</v>
      </c>
      <c r="BP5" s="82">
        <f>'Data (DO NOT EDIT!!)'!BP5</f>
        <v>3</v>
      </c>
      <c r="BQ5" s="82">
        <f>'Data (DO NOT EDIT!!)'!BQ5</f>
        <v>4</v>
      </c>
      <c r="BR5" s="83">
        <f>'Data (DO NOT EDIT!!)'!BR5</f>
        <v>5</v>
      </c>
      <c r="BS5" s="81">
        <f>'Data (DO NOT EDIT!!)'!BS5</f>
        <v>1</v>
      </c>
      <c r="BT5" s="82">
        <f>'Data (DO NOT EDIT!!)'!BT5</f>
        <v>2</v>
      </c>
      <c r="BU5" s="82">
        <f>'Data (DO NOT EDIT!!)'!BU5</f>
        <v>3</v>
      </c>
      <c r="BV5" s="82">
        <f>'Data (DO NOT EDIT!!)'!BV5</f>
        <v>4</v>
      </c>
      <c r="BW5" s="83">
        <f>'Data (DO NOT EDIT!!)'!BW5</f>
        <v>5</v>
      </c>
      <c r="BX5" s="81">
        <f>'Data (DO NOT EDIT!!)'!BX5</f>
        <v>1</v>
      </c>
      <c r="BY5" s="82">
        <f>'Data (DO NOT EDIT!!)'!BY5</f>
        <v>2</v>
      </c>
      <c r="BZ5" s="82">
        <f>'Data (DO NOT EDIT!!)'!BZ5</f>
        <v>3</v>
      </c>
      <c r="CA5" s="82">
        <f>'Data (DO NOT EDIT!!)'!CA5</f>
        <v>4</v>
      </c>
      <c r="CB5" s="83">
        <f>'Data (DO NOT EDIT!!)'!CB5</f>
        <v>5</v>
      </c>
    </row>
    <row r="6" spans="4:80" ht="15" thickBot="1">
      <c r="AE6" s="56"/>
      <c r="AF6" s="56"/>
      <c r="AG6" s="56"/>
      <c r="AH6" s="56"/>
      <c r="AI6" s="56"/>
      <c r="AJ6" s="56"/>
      <c r="AK6" s="56"/>
      <c r="AL6" s="56"/>
      <c r="AM6" s="56"/>
      <c r="AN6" s="56"/>
      <c r="AO6" s="56"/>
      <c r="AP6" s="56"/>
      <c r="AQ6" s="56"/>
      <c r="AR6" s="56"/>
      <c r="AS6" s="56"/>
      <c r="AT6" s="56"/>
      <c r="AU6" s="56"/>
      <c r="AV6" s="56"/>
      <c r="AW6" s="56"/>
      <c r="AX6" s="56"/>
      <c r="AY6" s="56"/>
      <c r="AZ6" s="56"/>
      <c r="BA6" s="56"/>
      <c r="BB6" s="56"/>
      <c r="BC6" s="56"/>
      <c r="BD6" s="56"/>
      <c r="BE6" s="56"/>
      <c r="BF6" s="56"/>
      <c r="BG6" s="56"/>
      <c r="BH6" s="56"/>
      <c r="BI6" s="56"/>
      <c r="BJ6" s="56"/>
      <c r="BK6" s="56"/>
      <c r="BL6" s="56"/>
      <c r="BM6" s="56"/>
      <c r="BN6" s="56"/>
      <c r="BO6" s="56"/>
      <c r="BP6" s="56"/>
      <c r="BQ6" s="56"/>
      <c r="BR6" s="56"/>
      <c r="BS6" s="56"/>
      <c r="BT6" s="56"/>
      <c r="BU6" s="56"/>
      <c r="BV6" s="56"/>
      <c r="BW6" s="56"/>
      <c r="BX6" s="56"/>
      <c r="BY6" s="56"/>
      <c r="BZ6" s="56"/>
      <c r="CA6" s="56"/>
      <c r="CB6" s="56"/>
    </row>
    <row r="7" spans="4:80">
      <c r="D7" s="103" t="s">
        <v>281</v>
      </c>
      <c r="E7" s="87">
        <f>'Data (DO NOT EDIT!!)'!E7</f>
        <v>0</v>
      </c>
      <c r="F7" s="88">
        <f>'Data (DO NOT EDIT!!)'!F7</f>
        <v>0</v>
      </c>
      <c r="G7" s="88">
        <f>'Data (DO NOT EDIT!!)'!G7</f>
        <v>0</v>
      </c>
      <c r="H7" s="88">
        <f>'Data (DO NOT EDIT!!)'!H7</f>
        <v>0</v>
      </c>
      <c r="I7" s="88">
        <f>'Data (DO NOT EDIT!!)'!I7</f>
        <v>0</v>
      </c>
      <c r="J7" s="90">
        <f>'Data (DO NOT EDIT!!)'!J7</f>
        <v>0</v>
      </c>
      <c r="K7" s="87">
        <f>'Data (DO NOT EDIT!!)'!K7</f>
        <v>0</v>
      </c>
      <c r="L7" s="88">
        <f>'Data (DO NOT EDIT!!)'!L7</f>
        <v>0</v>
      </c>
      <c r="M7" s="88">
        <f>'Data (DO NOT EDIT!!)'!M7</f>
        <v>0</v>
      </c>
      <c r="N7" s="88">
        <f>'Data (DO NOT EDIT!!)'!N7</f>
        <v>0</v>
      </c>
      <c r="O7" s="88">
        <f>'Data (DO NOT EDIT!!)'!O7</f>
        <v>0</v>
      </c>
      <c r="P7" s="88">
        <f>'Data (DO NOT EDIT!!)'!P7</f>
        <v>0</v>
      </c>
      <c r="Q7" s="88">
        <f>'Data (DO NOT EDIT!!)'!Q7</f>
        <v>0</v>
      </c>
      <c r="R7" s="88">
        <f>'Data (DO NOT EDIT!!)'!R7</f>
        <v>0</v>
      </c>
      <c r="S7" s="88">
        <f>'Data (DO NOT EDIT!!)'!S7</f>
        <v>0</v>
      </c>
      <c r="T7" s="88">
        <f>'Data (DO NOT EDIT!!)'!T7</f>
        <v>0</v>
      </c>
      <c r="U7" s="88">
        <f>'Data (DO NOT EDIT!!)'!U7</f>
        <v>0</v>
      </c>
      <c r="V7" s="88">
        <f>'Data (DO NOT EDIT!!)'!V7</f>
        <v>0</v>
      </c>
      <c r="W7" s="88">
        <f>'Data (DO NOT EDIT!!)'!W7</f>
        <v>0</v>
      </c>
      <c r="X7" s="89">
        <f>'Data (DO NOT EDIT!!)'!X7</f>
        <v>0</v>
      </c>
      <c r="Y7" s="88">
        <f>'Data (DO NOT EDIT!!)'!Y7</f>
        <v>0</v>
      </c>
      <c r="Z7" s="88">
        <f>'Data (DO NOT EDIT!!)'!Z7</f>
        <v>0</v>
      </c>
      <c r="AA7" s="88">
        <f>'Data (DO NOT EDIT!!)'!AA7</f>
        <v>0</v>
      </c>
      <c r="AB7" s="88">
        <f>'Data (DO NOT EDIT!!)'!AB7</f>
        <v>0</v>
      </c>
      <c r="AC7" s="89">
        <f>'Data (DO NOT EDIT!!)'!AC7</f>
        <v>0</v>
      </c>
      <c r="AD7" s="88">
        <f>'Data (DO NOT EDIT!!)'!AD7</f>
        <v>0</v>
      </c>
      <c r="AE7" s="88">
        <f>'Data (DO NOT EDIT!!)'!AE7</f>
        <v>0</v>
      </c>
      <c r="AF7" s="88">
        <f>'Data (DO NOT EDIT!!)'!AF7</f>
        <v>0</v>
      </c>
      <c r="AG7" s="88">
        <f>'Data (DO NOT EDIT!!)'!AG7</f>
        <v>0</v>
      </c>
      <c r="AH7" s="89">
        <f>'Data (DO NOT EDIT!!)'!AH7</f>
        <v>0</v>
      </c>
      <c r="AI7" s="88">
        <f>'Data (DO NOT EDIT!!)'!AI7</f>
        <v>0</v>
      </c>
      <c r="AJ7" s="88">
        <f>'Data (DO NOT EDIT!!)'!AJ7</f>
        <v>0</v>
      </c>
      <c r="AK7" s="88">
        <f>'Data (DO NOT EDIT!!)'!AK7</f>
        <v>0</v>
      </c>
      <c r="AL7" s="88">
        <f>'Data (DO NOT EDIT!!)'!AL7</f>
        <v>0</v>
      </c>
      <c r="AM7" s="88">
        <f>'Data (DO NOT EDIT!!)'!AM7</f>
        <v>0</v>
      </c>
      <c r="AN7" s="88">
        <f>'Data (DO NOT EDIT!!)'!AN7</f>
        <v>0</v>
      </c>
      <c r="AO7" s="88">
        <f>'Data (DO NOT EDIT!!)'!AO7</f>
        <v>0</v>
      </c>
      <c r="AP7" s="89">
        <f>'Data (DO NOT EDIT!!)'!AP7</f>
        <v>0</v>
      </c>
      <c r="AQ7" s="88">
        <f>'Data (DO NOT EDIT!!)'!AQ7</f>
        <v>0</v>
      </c>
      <c r="AR7" s="88">
        <f>'Data (DO NOT EDIT!!)'!AR7</f>
        <v>0</v>
      </c>
      <c r="AS7" s="88">
        <f>'Data (DO NOT EDIT!!)'!AS7</f>
        <v>0</v>
      </c>
      <c r="AT7" s="88">
        <f>'Data (DO NOT EDIT!!)'!AT7</f>
        <v>0</v>
      </c>
      <c r="AU7" s="89">
        <f>'Data (DO NOT EDIT!!)'!AU7</f>
        <v>0</v>
      </c>
      <c r="AV7" s="88">
        <f>'Data (DO NOT EDIT!!)'!AV7</f>
        <v>0</v>
      </c>
      <c r="AW7" s="88">
        <f>'Data (DO NOT EDIT!!)'!AW7</f>
        <v>0</v>
      </c>
      <c r="AX7" s="96">
        <f>'Data (DO NOT EDIT!!)'!AX7</f>
        <v>0</v>
      </c>
      <c r="AY7" s="87">
        <f>'Data (DO NOT EDIT!!)'!AY7</f>
        <v>0</v>
      </c>
      <c r="AZ7" s="88">
        <f>'Data (DO NOT EDIT!!)'!AZ7</f>
        <v>0</v>
      </c>
      <c r="BA7" s="88">
        <f>'Data (DO NOT EDIT!!)'!BA7</f>
        <v>0</v>
      </c>
      <c r="BB7" s="88">
        <f>'Data (DO NOT EDIT!!)'!BB7</f>
        <v>0</v>
      </c>
      <c r="BC7" s="88">
        <f>'Data (DO NOT EDIT!!)'!BC7</f>
        <v>0</v>
      </c>
      <c r="BD7" s="88">
        <f>'Data (DO NOT EDIT!!)'!BD7</f>
        <v>0</v>
      </c>
      <c r="BE7" s="88">
        <f>'Data (DO NOT EDIT!!)'!BE7</f>
        <v>0</v>
      </c>
      <c r="BF7" s="88">
        <f>'Data (DO NOT EDIT!!)'!BF7</f>
        <v>0</v>
      </c>
      <c r="BG7" s="88">
        <f>'Data (DO NOT EDIT!!)'!BG7</f>
        <v>0</v>
      </c>
      <c r="BH7" s="88">
        <f>'Data (DO NOT EDIT!!)'!BH7</f>
        <v>0</v>
      </c>
      <c r="BI7" s="88">
        <f>'Data (DO NOT EDIT!!)'!BI7</f>
        <v>0</v>
      </c>
      <c r="BJ7" s="88">
        <f>'Data (DO NOT EDIT!!)'!BJ7</f>
        <v>0</v>
      </c>
      <c r="BK7" s="88">
        <f>'Data (DO NOT EDIT!!)'!BK7</f>
        <v>0</v>
      </c>
      <c r="BL7" s="88">
        <f>'Data (DO NOT EDIT!!)'!BL7</f>
        <v>0</v>
      </c>
      <c r="BM7" s="90">
        <f>'Data (DO NOT EDIT!!)'!BM7</f>
        <v>0</v>
      </c>
      <c r="BN7" s="87">
        <f>'Data (DO NOT EDIT!!)'!BN7</f>
        <v>0</v>
      </c>
      <c r="BO7" s="88">
        <f>'Data (DO NOT EDIT!!)'!BO7</f>
        <v>0</v>
      </c>
      <c r="BP7" s="88">
        <f>'Data (DO NOT EDIT!!)'!BP7</f>
        <v>0</v>
      </c>
      <c r="BQ7" s="88">
        <f>'Data (DO NOT EDIT!!)'!BQ7</f>
        <v>0</v>
      </c>
      <c r="BR7" s="90">
        <f>'Data (DO NOT EDIT!!)'!BR7</f>
        <v>0</v>
      </c>
      <c r="BS7" s="87">
        <f>'Data (DO NOT EDIT!!)'!BS7</f>
        <v>0</v>
      </c>
      <c r="BT7" s="88">
        <f>'Data (DO NOT EDIT!!)'!BT7</f>
        <v>0</v>
      </c>
      <c r="BU7" s="88">
        <f>'Data (DO NOT EDIT!!)'!BU7</f>
        <v>0</v>
      </c>
      <c r="BV7" s="88">
        <f>'Data (DO NOT EDIT!!)'!BV7</f>
        <v>0</v>
      </c>
      <c r="BW7" s="90">
        <f>'Data (DO NOT EDIT!!)'!BW7</f>
        <v>0</v>
      </c>
      <c r="BX7" s="87">
        <f>'Data (DO NOT EDIT!!)'!BX7</f>
        <v>0</v>
      </c>
      <c r="BY7" s="88">
        <f>'Data (DO NOT EDIT!!)'!BY7</f>
        <v>0</v>
      </c>
      <c r="BZ7" s="88">
        <f>'Data (DO NOT EDIT!!)'!BZ7</f>
        <v>0</v>
      </c>
      <c r="CA7" s="88">
        <f>'Data (DO NOT EDIT!!)'!CA7</f>
        <v>0</v>
      </c>
      <c r="CB7" s="90">
        <f>'Data (DO NOT EDIT!!)'!CB7</f>
        <v>0</v>
      </c>
    </row>
    <row r="8" spans="4:80">
      <c r="D8" s="78" t="s">
        <v>282</v>
      </c>
      <c r="E8" s="91"/>
      <c r="F8" s="55"/>
      <c r="G8" s="55"/>
      <c r="H8" s="55"/>
      <c r="I8" s="55"/>
      <c r="J8" s="92"/>
      <c r="K8" s="91"/>
      <c r="L8" s="55"/>
      <c r="M8" s="55"/>
      <c r="N8" s="55"/>
      <c r="O8" s="99">
        <f>AVERAGE(K7:O7)</f>
        <v>0</v>
      </c>
      <c r="P8" s="100"/>
      <c r="Q8" s="55"/>
      <c r="R8" s="55"/>
      <c r="S8" s="99">
        <f>AVERAGE(P7:S7)</f>
        <v>0</v>
      </c>
      <c r="T8" s="100"/>
      <c r="U8" s="55"/>
      <c r="V8" s="55"/>
      <c r="W8" s="55"/>
      <c r="X8" s="86">
        <f>AVERAGE(T7:X7)</f>
        <v>0</v>
      </c>
      <c r="Y8" s="100"/>
      <c r="Z8" s="55"/>
      <c r="AA8" s="55"/>
      <c r="AB8" s="55"/>
      <c r="AC8" s="86">
        <f>AVERAGE(Y7:AC7)</f>
        <v>0</v>
      </c>
      <c r="AD8" s="100"/>
      <c r="AE8" s="55"/>
      <c r="AF8" s="55"/>
      <c r="AG8" s="55"/>
      <c r="AH8" s="86">
        <f>AVERAGE(AD7:AH7)</f>
        <v>0</v>
      </c>
      <c r="AI8" s="100"/>
      <c r="AJ8" s="55"/>
      <c r="AK8" s="55"/>
      <c r="AL8" s="55"/>
      <c r="AM8" s="55"/>
      <c r="AN8" s="55"/>
      <c r="AO8" s="55"/>
      <c r="AP8" s="86">
        <f>AVERAGE(AI7:AP7)</f>
        <v>0</v>
      </c>
      <c r="AQ8" s="100"/>
      <c r="AR8" s="55"/>
      <c r="AS8" s="55"/>
      <c r="AT8" s="55"/>
      <c r="AU8" s="86">
        <f>AVERAGE(AQ7:AU7)</f>
        <v>0</v>
      </c>
      <c r="AV8" s="100"/>
      <c r="AW8" s="55"/>
      <c r="AX8" s="97">
        <f>AVERAGE(V7:AX7)</f>
        <v>0</v>
      </c>
      <c r="AY8" s="91"/>
      <c r="AZ8" s="55"/>
      <c r="BA8" s="55"/>
      <c r="BB8" s="55"/>
      <c r="BC8" s="55"/>
      <c r="BD8" s="55"/>
      <c r="BE8" s="55"/>
      <c r="BF8" s="55"/>
      <c r="BG8" s="55"/>
      <c r="BH8" s="55"/>
      <c r="BI8" s="55"/>
      <c r="BJ8" s="55"/>
      <c r="BK8" s="55"/>
      <c r="BL8" s="55"/>
      <c r="BM8" s="92"/>
      <c r="BN8" s="91"/>
      <c r="BO8" s="55"/>
      <c r="BP8" s="55"/>
      <c r="BQ8" s="55"/>
      <c r="BR8" s="92"/>
      <c r="BS8" s="91"/>
      <c r="BT8" s="55"/>
      <c r="BU8" s="55"/>
      <c r="BV8" s="55"/>
      <c r="BW8" s="92"/>
      <c r="BX8" s="91"/>
      <c r="BY8" s="55"/>
      <c r="BZ8" s="55"/>
      <c r="CA8" s="55"/>
      <c r="CB8" s="92"/>
    </row>
    <row r="9" spans="4:80" ht="15" thickBot="1">
      <c r="D9" s="104" t="s">
        <v>283</v>
      </c>
      <c r="E9" s="93"/>
      <c r="F9" s="94"/>
      <c r="G9" s="94"/>
      <c r="H9" s="94"/>
      <c r="I9" s="94"/>
      <c r="J9" s="98">
        <f>AVERAGE(E7:J7)</f>
        <v>0</v>
      </c>
      <c r="K9" s="93"/>
      <c r="L9" s="94"/>
      <c r="M9" s="94"/>
      <c r="N9" s="94"/>
      <c r="O9" s="101"/>
      <c r="P9" s="102"/>
      <c r="Q9" s="94"/>
      <c r="R9" s="94"/>
      <c r="S9" s="101"/>
      <c r="T9" s="102"/>
      <c r="U9" s="94"/>
      <c r="V9" s="94"/>
      <c r="W9" s="94"/>
      <c r="X9" s="101"/>
      <c r="Y9" s="102"/>
      <c r="Z9" s="94"/>
      <c r="AA9" s="94"/>
      <c r="AB9" s="94"/>
      <c r="AC9" s="101"/>
      <c r="AD9" s="102"/>
      <c r="AE9" s="94"/>
      <c r="AF9" s="94"/>
      <c r="AG9" s="94"/>
      <c r="AH9" s="101"/>
      <c r="AI9" s="102"/>
      <c r="AJ9" s="94"/>
      <c r="AK9" s="94"/>
      <c r="AL9" s="94"/>
      <c r="AM9" s="94"/>
      <c r="AN9" s="94"/>
      <c r="AO9" s="94"/>
      <c r="AP9" s="101"/>
      <c r="AQ9" s="102"/>
      <c r="AR9" s="94"/>
      <c r="AS9" s="94"/>
      <c r="AT9" s="94"/>
      <c r="AU9" s="101"/>
      <c r="AV9" s="102"/>
      <c r="AW9" s="94"/>
      <c r="AX9" s="95">
        <f>AVERAGE(K7:AX7)</f>
        <v>0</v>
      </c>
      <c r="AY9" s="93"/>
      <c r="AZ9" s="94"/>
      <c r="BA9" s="94"/>
      <c r="BB9" s="94"/>
      <c r="BC9" s="94"/>
      <c r="BD9" s="94"/>
      <c r="BE9" s="94"/>
      <c r="BF9" s="94"/>
      <c r="BG9" s="94"/>
      <c r="BH9" s="94"/>
      <c r="BI9" s="94"/>
      <c r="BJ9" s="94"/>
      <c r="BK9" s="94"/>
      <c r="BL9" s="94"/>
      <c r="BM9" s="95">
        <f>AVERAGE(AY7:BM7)</f>
        <v>0</v>
      </c>
      <c r="BN9" s="93"/>
      <c r="BO9" s="94"/>
      <c r="BP9" s="94"/>
      <c r="BQ9" s="94"/>
      <c r="BR9" s="95">
        <f>AVERAGE(BN7:BR7)</f>
        <v>0</v>
      </c>
      <c r="BS9" s="93"/>
      <c r="BT9" s="94"/>
      <c r="BU9" s="94"/>
      <c r="BV9" s="94"/>
      <c r="BW9" s="95">
        <f>AVERAGE(BS7:BW7)</f>
        <v>0</v>
      </c>
      <c r="BX9" s="93"/>
      <c r="BY9" s="94"/>
      <c r="BZ9" s="94"/>
      <c r="CA9" s="94"/>
      <c r="CB9" s="95">
        <f>AVERAGE(BX7:CB7)</f>
        <v>0</v>
      </c>
    </row>
    <row r="10" spans="4:80" ht="15" thickBot="1">
      <c r="D10" s="54"/>
      <c r="E10" s="55"/>
      <c r="F10" s="55"/>
      <c r="G10" s="55"/>
      <c r="H10" s="55"/>
      <c r="I10" s="55"/>
      <c r="J10" s="55"/>
      <c r="K10" s="55"/>
      <c r="L10" s="55"/>
      <c r="M10" s="55"/>
      <c r="N10" s="55"/>
      <c r="O10" s="55"/>
      <c r="P10" s="55"/>
      <c r="Q10" s="55"/>
      <c r="R10" s="55"/>
      <c r="S10" s="55"/>
      <c r="T10" s="55"/>
      <c r="U10" s="55"/>
      <c r="V10" s="55"/>
      <c r="W10" s="55"/>
      <c r="X10" s="55"/>
      <c r="Y10" s="55"/>
      <c r="Z10" s="55"/>
      <c r="AA10" s="55"/>
      <c r="AB10" s="55"/>
      <c r="AC10" s="55"/>
      <c r="AD10" s="55"/>
      <c r="AE10" s="55"/>
      <c r="AF10" s="55"/>
      <c r="AG10" s="55"/>
      <c r="AH10" s="55"/>
      <c r="AI10" s="55"/>
      <c r="AJ10" s="55"/>
      <c r="AK10" s="55"/>
      <c r="AL10" s="55"/>
      <c r="AM10" s="55"/>
      <c r="AN10" s="55"/>
      <c r="AO10" s="55"/>
      <c r="AP10" s="55"/>
      <c r="AQ10" s="55"/>
      <c r="AR10" s="55"/>
      <c r="AS10" s="55"/>
      <c r="AT10" s="55"/>
      <c r="AU10" s="55"/>
      <c r="AV10" s="55"/>
      <c r="AW10" s="55"/>
      <c r="AX10" s="55"/>
      <c r="AY10" s="55"/>
      <c r="AZ10" s="55"/>
      <c r="BA10" s="55"/>
      <c r="BB10" s="55"/>
      <c r="BC10" s="55"/>
      <c r="BD10" s="55"/>
      <c r="BE10" s="55"/>
      <c r="BF10" s="55"/>
      <c r="BG10" s="55"/>
      <c r="BH10" s="55"/>
      <c r="BI10" s="55"/>
      <c r="BJ10" s="55"/>
      <c r="BK10" s="55"/>
      <c r="BL10" s="55"/>
      <c r="BM10" s="55"/>
      <c r="BN10" s="55"/>
      <c r="BO10" s="55"/>
      <c r="BP10" s="55"/>
      <c r="BQ10" s="55"/>
      <c r="BR10" s="55"/>
      <c r="BS10" s="55"/>
      <c r="BT10" s="55"/>
      <c r="BU10" s="55"/>
      <c r="BV10" s="55"/>
      <c r="BW10" s="55"/>
      <c r="BX10" s="55"/>
      <c r="BY10" s="55"/>
      <c r="BZ10" s="55"/>
      <c r="CA10" s="55"/>
      <c r="CB10" s="55"/>
    </row>
    <row r="11" spans="4:80">
      <c r="D11" s="103" t="s">
        <v>284</v>
      </c>
      <c r="E11" s="87">
        <f>'Data (DO NOT EDIT!!)'!E20</f>
        <v>0</v>
      </c>
      <c r="F11" s="88">
        <f>'Data (DO NOT EDIT!!)'!F20</f>
        <v>0</v>
      </c>
      <c r="G11" s="88">
        <f>'Data (DO NOT EDIT!!)'!G20</f>
        <v>0</v>
      </c>
      <c r="H11" s="88">
        <f>'Data (DO NOT EDIT!!)'!H20</f>
        <v>0</v>
      </c>
      <c r="I11" s="88">
        <f>'Data (DO NOT EDIT!!)'!I20</f>
        <v>0</v>
      </c>
      <c r="J11" s="90">
        <f>'Data (DO NOT EDIT!!)'!J20</f>
        <v>0</v>
      </c>
      <c r="K11" s="87">
        <f>'Data (DO NOT EDIT!!)'!K20</f>
        <v>0</v>
      </c>
      <c r="L11" s="88">
        <f>'Data (DO NOT EDIT!!)'!L20</f>
        <v>0</v>
      </c>
      <c r="M11" s="88">
        <f>'Data (DO NOT EDIT!!)'!M20</f>
        <v>0</v>
      </c>
      <c r="N11" s="88">
        <f>'Data (DO NOT EDIT!!)'!N20</f>
        <v>0</v>
      </c>
      <c r="O11" s="89">
        <f>'Data (DO NOT EDIT!!)'!O20</f>
        <v>0</v>
      </c>
      <c r="P11" s="88">
        <f>'Data (DO NOT EDIT!!)'!P20</f>
        <v>0</v>
      </c>
      <c r="Q11" s="88">
        <f>'Data (DO NOT EDIT!!)'!Q20</f>
        <v>0</v>
      </c>
      <c r="R11" s="88">
        <f>'Data (DO NOT EDIT!!)'!R20</f>
        <v>0</v>
      </c>
      <c r="S11" s="89">
        <f>'Data (DO NOT EDIT!!)'!S20</f>
        <v>0</v>
      </c>
      <c r="T11" s="88">
        <f>'Data (DO NOT EDIT!!)'!T20</f>
        <v>0</v>
      </c>
      <c r="U11" s="88">
        <f>'Data (DO NOT EDIT!!)'!U20</f>
        <v>0</v>
      </c>
      <c r="V11" s="88">
        <f>'Data (DO NOT EDIT!!)'!V20</f>
        <v>0</v>
      </c>
      <c r="W11" s="88">
        <f>'Data (DO NOT EDIT!!)'!W20</f>
        <v>0</v>
      </c>
      <c r="X11" s="89">
        <f>'Data (DO NOT EDIT!!)'!X20</f>
        <v>0</v>
      </c>
      <c r="Y11" s="88">
        <f>'Data (DO NOT EDIT!!)'!Y20</f>
        <v>0</v>
      </c>
      <c r="Z11" s="88">
        <f>'Data (DO NOT EDIT!!)'!Z20</f>
        <v>0</v>
      </c>
      <c r="AA11" s="88">
        <f>'Data (DO NOT EDIT!!)'!AA20</f>
        <v>0</v>
      </c>
      <c r="AB11" s="88">
        <f>'Data (DO NOT EDIT!!)'!AB20</f>
        <v>0</v>
      </c>
      <c r="AC11" s="89">
        <f>'Data (DO NOT EDIT!!)'!AC20</f>
        <v>0</v>
      </c>
      <c r="AD11" s="88">
        <f>'Data (DO NOT EDIT!!)'!AD20</f>
        <v>0</v>
      </c>
      <c r="AE11" s="88">
        <f>'Data (DO NOT EDIT!!)'!AE20</f>
        <v>0</v>
      </c>
      <c r="AF11" s="88">
        <f>'Data (DO NOT EDIT!!)'!AF20</f>
        <v>0</v>
      </c>
      <c r="AG11" s="88">
        <f>'Data (DO NOT EDIT!!)'!AG20</f>
        <v>0</v>
      </c>
      <c r="AH11" s="89">
        <f>'Data (DO NOT EDIT!!)'!AH20</f>
        <v>0</v>
      </c>
      <c r="AI11" s="88">
        <f>'Data (DO NOT EDIT!!)'!AI20</f>
        <v>0</v>
      </c>
      <c r="AJ11" s="88">
        <f>'Data (DO NOT EDIT!!)'!AJ20</f>
        <v>0</v>
      </c>
      <c r="AK11" s="88">
        <f>'Data (DO NOT EDIT!!)'!AK20</f>
        <v>0</v>
      </c>
      <c r="AL11" s="88">
        <f>'Data (DO NOT EDIT!!)'!AL20</f>
        <v>0</v>
      </c>
      <c r="AM11" s="88">
        <f>'Data (DO NOT EDIT!!)'!AM20</f>
        <v>0</v>
      </c>
      <c r="AN11" s="88">
        <f>'Data (DO NOT EDIT!!)'!AN20</f>
        <v>0</v>
      </c>
      <c r="AO11" s="88">
        <f>'Data (DO NOT EDIT!!)'!AO20</f>
        <v>0</v>
      </c>
      <c r="AP11" s="89">
        <f>'Data (DO NOT EDIT!!)'!AP20</f>
        <v>0</v>
      </c>
      <c r="AQ11" s="88">
        <f>'Data (DO NOT EDIT!!)'!AQ20</f>
        <v>0</v>
      </c>
      <c r="AR11" s="88">
        <f>'Data (DO NOT EDIT!!)'!AR20</f>
        <v>0</v>
      </c>
      <c r="AS11" s="88">
        <f>'Data (DO NOT EDIT!!)'!AS20</f>
        <v>0</v>
      </c>
      <c r="AT11" s="88">
        <f>'Data (DO NOT EDIT!!)'!AT20</f>
        <v>0</v>
      </c>
      <c r="AU11" s="89">
        <f>'Data (DO NOT EDIT!!)'!AU20</f>
        <v>0</v>
      </c>
      <c r="AV11" s="88">
        <f>'Data (DO NOT EDIT!!)'!AV20</f>
        <v>0</v>
      </c>
      <c r="AW11" s="88">
        <f>'Data (DO NOT EDIT!!)'!AW20</f>
        <v>0</v>
      </c>
      <c r="AX11" s="96">
        <f>'Data (DO NOT EDIT!!)'!AX20</f>
        <v>0</v>
      </c>
      <c r="AY11" s="87">
        <f>'Data (DO NOT EDIT!!)'!AY20</f>
        <v>0</v>
      </c>
      <c r="AZ11" s="88">
        <f>'Data (DO NOT EDIT!!)'!AZ20</f>
        <v>0</v>
      </c>
      <c r="BA11" s="88">
        <f>'Data (DO NOT EDIT!!)'!BA20</f>
        <v>0</v>
      </c>
      <c r="BB11" s="88">
        <f>'Data (DO NOT EDIT!!)'!BB20</f>
        <v>0</v>
      </c>
      <c r="BC11" s="88">
        <f>'Data (DO NOT EDIT!!)'!BC20</f>
        <v>0</v>
      </c>
      <c r="BD11" s="88">
        <f>'Data (DO NOT EDIT!!)'!BD20</f>
        <v>0</v>
      </c>
      <c r="BE11" s="88">
        <f>'Data (DO NOT EDIT!!)'!BE20</f>
        <v>0</v>
      </c>
      <c r="BF11" s="88">
        <f>'Data (DO NOT EDIT!!)'!BF20</f>
        <v>0</v>
      </c>
      <c r="BG11" s="88">
        <f>'Data (DO NOT EDIT!!)'!BG20</f>
        <v>0</v>
      </c>
      <c r="BH11" s="88">
        <f>'Data (DO NOT EDIT!!)'!BH20</f>
        <v>0</v>
      </c>
      <c r="BI11" s="88">
        <f>'Data (DO NOT EDIT!!)'!BI20</f>
        <v>0</v>
      </c>
      <c r="BJ11" s="88">
        <f>'Data (DO NOT EDIT!!)'!BJ20</f>
        <v>0</v>
      </c>
      <c r="BK11" s="88">
        <f>'Data (DO NOT EDIT!!)'!BK20</f>
        <v>0</v>
      </c>
      <c r="BL11" s="88">
        <f>'Data (DO NOT EDIT!!)'!BL20</f>
        <v>0</v>
      </c>
      <c r="BM11" s="90">
        <f>'Data (DO NOT EDIT!!)'!BM20</f>
        <v>0</v>
      </c>
      <c r="BN11" s="87">
        <f>'Data (DO NOT EDIT!!)'!BN20</f>
        <v>0</v>
      </c>
      <c r="BO11" s="88">
        <f>'Data (DO NOT EDIT!!)'!BO20</f>
        <v>0</v>
      </c>
      <c r="BP11" s="88">
        <f>'Data (DO NOT EDIT!!)'!BP20</f>
        <v>0</v>
      </c>
      <c r="BQ11" s="88">
        <f>'Data (DO NOT EDIT!!)'!BQ20</f>
        <v>0</v>
      </c>
      <c r="BR11" s="90">
        <f>'Data (DO NOT EDIT!!)'!BR20</f>
        <v>0</v>
      </c>
      <c r="BS11" s="87">
        <f>'Data (DO NOT EDIT!!)'!BS20</f>
        <v>0</v>
      </c>
      <c r="BT11" s="88">
        <f>'Data (DO NOT EDIT!!)'!BT20</f>
        <v>0</v>
      </c>
      <c r="BU11" s="88">
        <f>'Data (DO NOT EDIT!!)'!BU20</f>
        <v>0</v>
      </c>
      <c r="BV11" s="88">
        <f>'Data (DO NOT EDIT!!)'!BV20</f>
        <v>0</v>
      </c>
      <c r="BW11" s="90">
        <f>'Data (DO NOT EDIT!!)'!BW20</f>
        <v>0</v>
      </c>
      <c r="BX11" s="87">
        <f>'Data (DO NOT EDIT!!)'!BX20</f>
        <v>0</v>
      </c>
      <c r="BY11" s="88">
        <f>'Data (DO NOT EDIT!!)'!BY20</f>
        <v>0</v>
      </c>
      <c r="BZ11" s="88">
        <f>'Data (DO NOT EDIT!!)'!BZ20</f>
        <v>0</v>
      </c>
      <c r="CA11" s="88">
        <f>'Data (DO NOT EDIT!!)'!CA20</f>
        <v>0</v>
      </c>
      <c r="CB11" s="90">
        <f>'Data (DO NOT EDIT!!)'!CB20</f>
        <v>0</v>
      </c>
    </row>
    <row r="12" spans="4:80">
      <c r="D12" s="78" t="s">
        <v>282</v>
      </c>
      <c r="E12" s="91"/>
      <c r="F12" s="55"/>
      <c r="G12" s="55"/>
      <c r="H12" s="55"/>
      <c r="I12" s="55"/>
      <c r="J12" s="92"/>
      <c r="K12" s="91"/>
      <c r="L12" s="55"/>
      <c r="M12" s="55"/>
      <c r="N12" s="55"/>
      <c r="O12" s="86">
        <f>AVERAGE(K11:O11)</f>
        <v>0</v>
      </c>
      <c r="P12" s="100"/>
      <c r="Q12" s="55"/>
      <c r="R12" s="55"/>
      <c r="S12" s="86">
        <f>AVERAGE(P11:S11)</f>
        <v>0</v>
      </c>
      <c r="T12" s="100"/>
      <c r="U12" s="55"/>
      <c r="V12" s="55"/>
      <c r="W12" s="55"/>
      <c r="X12" s="86">
        <f>AVERAGE(T11:X11)</f>
        <v>0</v>
      </c>
      <c r="Y12" s="99"/>
      <c r="Z12" s="100"/>
      <c r="AA12" s="55"/>
      <c r="AB12" s="55"/>
      <c r="AC12" s="86">
        <f>AVERAGE(Y11:AC11)</f>
        <v>0</v>
      </c>
      <c r="AD12" s="100"/>
      <c r="AE12" s="55"/>
      <c r="AF12" s="55"/>
      <c r="AG12" s="55"/>
      <c r="AH12" s="86">
        <f>AVERAGE(AD11:AH11)</f>
        <v>0</v>
      </c>
      <c r="AI12" s="100"/>
      <c r="AJ12" s="55"/>
      <c r="AK12" s="55"/>
      <c r="AL12" s="55"/>
      <c r="AM12" s="55"/>
      <c r="AN12" s="55"/>
      <c r="AO12" s="55"/>
      <c r="AP12" s="86">
        <f>AVERAGE(AI11:AP11)</f>
        <v>0</v>
      </c>
      <c r="AQ12" s="100"/>
      <c r="AR12" s="55"/>
      <c r="AS12" s="55"/>
      <c r="AT12" s="55"/>
      <c r="AU12" s="86">
        <f>AVERAGE(AQ11:AU11)</f>
        <v>0</v>
      </c>
      <c r="AV12" s="100"/>
      <c r="AW12" s="55"/>
      <c r="AX12" s="97">
        <f>AVERAGE(V11:AX11)</f>
        <v>0</v>
      </c>
      <c r="AY12" s="91"/>
      <c r="AZ12" s="55"/>
      <c r="BA12" s="55"/>
      <c r="BB12" s="55"/>
      <c r="BC12" s="55"/>
      <c r="BD12" s="55"/>
      <c r="BE12" s="55"/>
      <c r="BF12" s="55"/>
      <c r="BG12" s="55"/>
      <c r="BH12" s="55"/>
      <c r="BI12" s="55"/>
      <c r="BJ12" s="55"/>
      <c r="BK12" s="55"/>
      <c r="BL12" s="55"/>
      <c r="BM12" s="92"/>
      <c r="BN12" s="91"/>
      <c r="BO12" s="55"/>
      <c r="BP12" s="55"/>
      <c r="BQ12" s="55"/>
      <c r="BR12" s="92"/>
      <c r="BS12" s="91"/>
      <c r="BT12" s="55"/>
      <c r="BU12" s="55"/>
      <c r="BV12" s="55"/>
      <c r="BW12" s="92"/>
      <c r="BX12" s="91"/>
      <c r="BY12" s="55"/>
      <c r="BZ12" s="55"/>
      <c r="CA12" s="55"/>
      <c r="CB12" s="92"/>
    </row>
    <row r="13" spans="4:80" ht="15" thickBot="1">
      <c r="D13" s="104" t="s">
        <v>283</v>
      </c>
      <c r="E13" s="93"/>
      <c r="F13" s="94"/>
      <c r="G13" s="94"/>
      <c r="H13" s="94"/>
      <c r="I13" s="94"/>
      <c r="J13" s="95">
        <f>AVERAGE(E11:J11)</f>
        <v>0</v>
      </c>
      <c r="K13" s="93"/>
      <c r="L13" s="94"/>
      <c r="M13" s="94"/>
      <c r="N13" s="94"/>
      <c r="O13" s="101"/>
      <c r="P13" s="102"/>
      <c r="Q13" s="94"/>
      <c r="R13" s="94"/>
      <c r="S13" s="101"/>
      <c r="T13" s="102"/>
      <c r="U13" s="94"/>
      <c r="V13" s="94"/>
      <c r="W13" s="94"/>
      <c r="X13" s="94"/>
      <c r="Y13" s="101"/>
      <c r="Z13" s="102"/>
      <c r="AA13" s="94"/>
      <c r="AB13" s="94"/>
      <c r="AC13" s="101"/>
      <c r="AD13" s="102"/>
      <c r="AE13" s="94"/>
      <c r="AF13" s="94"/>
      <c r="AG13" s="94"/>
      <c r="AH13" s="101"/>
      <c r="AI13" s="102"/>
      <c r="AJ13" s="94"/>
      <c r="AK13" s="94"/>
      <c r="AL13" s="94"/>
      <c r="AM13" s="94"/>
      <c r="AN13" s="94"/>
      <c r="AO13" s="94"/>
      <c r="AP13" s="101"/>
      <c r="AQ13" s="102"/>
      <c r="AR13" s="94"/>
      <c r="AS13" s="94"/>
      <c r="AT13" s="94"/>
      <c r="AU13" s="101"/>
      <c r="AV13" s="102"/>
      <c r="AW13" s="94"/>
      <c r="AX13" s="95">
        <f>AVERAGE(K11:AX11)</f>
        <v>0</v>
      </c>
      <c r="AY13" s="93"/>
      <c r="AZ13" s="94"/>
      <c r="BA13" s="94"/>
      <c r="BB13" s="94"/>
      <c r="BC13" s="94"/>
      <c r="BD13" s="94"/>
      <c r="BE13" s="94"/>
      <c r="BF13" s="94"/>
      <c r="BG13" s="94"/>
      <c r="BH13" s="94"/>
      <c r="BI13" s="94"/>
      <c r="BJ13" s="94"/>
      <c r="BK13" s="94"/>
      <c r="BL13" s="94"/>
      <c r="BM13" s="95">
        <f>AVERAGE(AY11:BM11)</f>
        <v>0</v>
      </c>
      <c r="BN13" s="93"/>
      <c r="BO13" s="94"/>
      <c r="BP13" s="94"/>
      <c r="BQ13" s="94"/>
      <c r="BR13" s="95">
        <f>AVERAGE(BN11:BR11)</f>
        <v>0</v>
      </c>
      <c r="BS13" s="93"/>
      <c r="BT13" s="94"/>
      <c r="BU13" s="94"/>
      <c r="BV13" s="94"/>
      <c r="BW13" s="95">
        <f>AVERAGE(BS11:BW11)</f>
        <v>0</v>
      </c>
      <c r="BX13" s="93"/>
      <c r="BY13" s="94"/>
      <c r="BZ13" s="94"/>
      <c r="CA13" s="94"/>
      <c r="CB13" s="95">
        <f>AVERAGE(BX11:CB11)</f>
        <v>0</v>
      </c>
    </row>
    <row r="16" spans="4:80" ht="18.600000000000001">
      <c r="D16" s="79" t="s">
        <v>285</v>
      </c>
      <c r="AB16" s="46"/>
      <c r="AC16" s="46"/>
      <c r="AD16" s="46"/>
    </row>
    <row r="17" spans="4:30">
      <c r="D17" s="56"/>
      <c r="AB17" s="46"/>
      <c r="AC17" s="46"/>
      <c r="AD17" s="46"/>
    </row>
    <row r="18" spans="4:30">
      <c r="D18" s="56"/>
      <c r="AB18" s="46"/>
      <c r="AC18" s="46"/>
      <c r="AD18" s="46"/>
    </row>
    <row r="19" spans="4:30">
      <c r="D19" s="56"/>
      <c r="AB19" s="46"/>
      <c r="AC19" s="46"/>
      <c r="AD19" s="46"/>
    </row>
    <row r="20" spans="4:30">
      <c r="D20" s="56"/>
      <c r="AB20" s="46"/>
      <c r="AC20" s="46"/>
      <c r="AD20" s="46"/>
    </row>
    <row r="21" spans="4:30">
      <c r="D21" s="56"/>
      <c r="AB21" s="46"/>
      <c r="AC21" s="46"/>
      <c r="AD21" s="46"/>
    </row>
    <row r="22" spans="4:30">
      <c r="D22" s="56"/>
      <c r="AB22" s="46"/>
      <c r="AC22" s="46"/>
      <c r="AD22" s="46"/>
    </row>
    <row r="23" spans="4:30">
      <c r="D23" s="56"/>
      <c r="AB23" s="46"/>
      <c r="AC23" s="46"/>
      <c r="AD23" s="46"/>
    </row>
    <row r="24" spans="4:30">
      <c r="D24" s="56"/>
      <c r="AB24" s="46"/>
      <c r="AC24" s="46"/>
      <c r="AD24" s="46"/>
    </row>
    <row r="25" spans="4:30">
      <c r="D25" s="56"/>
      <c r="AB25" s="46"/>
      <c r="AC25" s="46"/>
      <c r="AD25" s="46"/>
    </row>
    <row r="26" spans="4:30">
      <c r="D26" s="56"/>
      <c r="AB26" s="46"/>
      <c r="AC26" s="46"/>
      <c r="AD26" s="46"/>
    </row>
    <row r="27" spans="4:30">
      <c r="D27" s="56"/>
      <c r="AB27" s="46"/>
      <c r="AC27" s="46"/>
      <c r="AD27" s="46"/>
    </row>
    <row r="28" spans="4:30">
      <c r="D28" s="56"/>
      <c r="AB28" s="46"/>
      <c r="AC28" s="46"/>
      <c r="AD28" s="46"/>
    </row>
    <row r="29" spans="4:30">
      <c r="D29" s="56"/>
      <c r="AB29" s="46"/>
      <c r="AC29" s="46"/>
      <c r="AD29" s="46"/>
    </row>
    <row r="30" spans="4:30">
      <c r="D30" s="56"/>
      <c r="AB30" s="46"/>
      <c r="AC30" s="46"/>
      <c r="AD30" s="46"/>
    </row>
    <row r="31" spans="4:30">
      <c r="D31" s="56"/>
      <c r="AB31" s="46"/>
      <c r="AC31" s="46"/>
      <c r="AD31" s="46"/>
    </row>
    <row r="32" spans="4:30">
      <c r="D32" s="56"/>
      <c r="AB32" s="46"/>
      <c r="AC32" s="46"/>
      <c r="AD32" s="46"/>
    </row>
    <row r="33" spans="4:30">
      <c r="D33" s="56"/>
      <c r="AB33" s="46"/>
      <c r="AC33" s="46"/>
      <c r="AD33" s="46"/>
    </row>
    <row r="34" spans="4:30" ht="18.600000000000001">
      <c r="D34" s="79" t="s">
        <v>286</v>
      </c>
      <c r="E34" s="80"/>
      <c r="AB34" s="46"/>
      <c r="AC34" s="46"/>
      <c r="AD34" s="46"/>
    </row>
    <row r="35" spans="4:30">
      <c r="D35" s="56"/>
      <c r="Z35" s="46"/>
      <c r="AA35" s="46"/>
      <c r="AB35" s="46"/>
      <c r="AC35" s="46"/>
      <c r="AD35" s="46"/>
    </row>
    <row r="36" spans="4:30">
      <c r="D36" s="56"/>
      <c r="Z36" s="46"/>
      <c r="AA36" s="46"/>
      <c r="AB36" s="46"/>
      <c r="AC36" s="46"/>
      <c r="AD36" s="46"/>
    </row>
    <row r="37" spans="4:30">
      <c r="D37" s="56"/>
      <c r="Z37" s="46"/>
      <c r="AA37" s="46"/>
      <c r="AB37" s="46"/>
      <c r="AC37" s="46"/>
      <c r="AD37" s="46"/>
    </row>
    <row r="38" spans="4:30">
      <c r="D38" s="56"/>
      <c r="Z38" s="46"/>
      <c r="AA38" s="46"/>
      <c r="AB38" s="46"/>
      <c r="AC38" s="46"/>
      <c r="AD38" s="46"/>
    </row>
    <row r="39" spans="4:30">
      <c r="D39" s="56"/>
      <c r="Z39" s="46"/>
      <c r="AA39" s="46"/>
      <c r="AB39" s="46"/>
      <c r="AC39" s="46"/>
      <c r="AD39" s="46"/>
    </row>
    <row r="40" spans="4:30">
      <c r="D40" s="56"/>
      <c r="Z40" s="46"/>
      <c r="AA40" s="46"/>
      <c r="AB40" s="46"/>
      <c r="AC40" s="46"/>
      <c r="AD40" s="46"/>
    </row>
    <row r="41" spans="4:30">
      <c r="D41" s="56"/>
      <c r="Z41" s="46"/>
      <c r="AA41" s="46"/>
      <c r="AB41" s="46"/>
      <c r="AC41" s="46"/>
      <c r="AD41" s="46"/>
    </row>
    <row r="42" spans="4:30">
      <c r="D42" s="56"/>
      <c r="Z42" s="46"/>
      <c r="AA42" s="46"/>
      <c r="AB42" s="46"/>
      <c r="AC42" s="46"/>
      <c r="AD42" s="46"/>
    </row>
    <row r="43" spans="4:30">
      <c r="D43" s="56"/>
      <c r="Z43" s="46"/>
      <c r="AA43" s="46"/>
      <c r="AB43" s="46"/>
      <c r="AC43" s="46"/>
      <c r="AD43" s="46"/>
    </row>
    <row r="44" spans="4:30">
      <c r="D44" s="56"/>
      <c r="Z44" s="46"/>
      <c r="AA44" s="46"/>
      <c r="AB44" s="46"/>
      <c r="AC44" s="46"/>
      <c r="AD44" s="46"/>
    </row>
    <row r="45" spans="4:30">
      <c r="D45" s="56"/>
      <c r="Z45" s="46"/>
      <c r="AA45" s="46"/>
      <c r="AB45" s="46"/>
      <c r="AC45" s="46"/>
      <c r="AD45" s="46"/>
    </row>
    <row r="46" spans="4:30">
      <c r="D46" s="56"/>
      <c r="Z46" s="46"/>
      <c r="AA46" s="46"/>
      <c r="AB46" s="46"/>
      <c r="AC46" s="46"/>
      <c r="AD46" s="46"/>
    </row>
    <row r="47" spans="4:30">
      <c r="D47" s="56"/>
      <c r="Z47" s="46"/>
      <c r="AA47" s="46"/>
      <c r="AB47" s="46"/>
      <c r="AC47" s="46"/>
      <c r="AD47" s="46"/>
    </row>
    <row r="48" spans="4:30">
      <c r="D48" s="56"/>
      <c r="Z48" s="46"/>
      <c r="AA48" s="46"/>
      <c r="AB48" s="46"/>
      <c r="AC48" s="46"/>
      <c r="AD48" s="46"/>
    </row>
    <row r="49" spans="4:30">
      <c r="D49" s="56"/>
      <c r="Z49" s="46"/>
      <c r="AA49" s="46"/>
      <c r="AB49" s="46"/>
      <c r="AC49" s="46"/>
      <c r="AD49" s="46"/>
    </row>
    <row r="50" spans="4:30">
      <c r="D50" s="56"/>
      <c r="Z50" s="46"/>
      <c r="AA50" s="46"/>
      <c r="AB50" s="46"/>
      <c r="AC50" s="46"/>
      <c r="AD50" s="46"/>
    </row>
    <row r="51" spans="4:30">
      <c r="D51" s="56"/>
      <c r="Z51" s="46"/>
      <c r="AA51" s="46"/>
      <c r="AB51" s="46"/>
      <c r="AC51" s="46"/>
      <c r="AD51" s="46"/>
    </row>
    <row r="52" spans="4:30">
      <c r="D52" s="56"/>
      <c r="Z52" s="46"/>
      <c r="AA52" s="46"/>
      <c r="AB52" s="46"/>
      <c r="AC52" s="46"/>
      <c r="AD52" s="46"/>
    </row>
    <row r="53" spans="4:30">
      <c r="D53" s="56"/>
      <c r="Z53" s="46"/>
      <c r="AA53" s="46"/>
      <c r="AB53" s="46"/>
      <c r="AC53" s="46"/>
      <c r="AD53" s="46"/>
    </row>
    <row r="54" spans="4:30">
      <c r="D54" s="56"/>
      <c r="Z54" s="46"/>
      <c r="AA54" s="46"/>
      <c r="AB54" s="46"/>
      <c r="AC54" s="46"/>
      <c r="AD54" s="46"/>
    </row>
    <row r="55" spans="4:30">
      <c r="D55" s="56"/>
      <c r="Z55" s="46"/>
      <c r="AA55" s="46"/>
      <c r="AB55" s="46"/>
      <c r="AC55" s="46"/>
      <c r="AD55" s="46"/>
    </row>
    <row r="56" spans="4:30">
      <c r="D56" s="56"/>
      <c r="Z56" s="46"/>
      <c r="AA56" s="46"/>
      <c r="AB56" s="46"/>
      <c r="AC56" s="46"/>
      <c r="AD56" s="46"/>
    </row>
    <row r="57" spans="4:30">
      <c r="D57" s="56"/>
      <c r="Z57" s="46"/>
      <c r="AA57" s="46"/>
      <c r="AB57" s="46"/>
      <c r="AC57" s="46"/>
      <c r="AD57" s="46"/>
    </row>
    <row r="58" spans="4:30">
      <c r="D58" s="56"/>
      <c r="Z58" s="46"/>
      <c r="AA58" s="46"/>
      <c r="AB58" s="46"/>
      <c r="AC58" s="46"/>
      <c r="AD58" s="46"/>
    </row>
    <row r="59" spans="4:30">
      <c r="D59" s="56"/>
      <c r="Z59" s="46"/>
      <c r="AA59" s="46"/>
      <c r="AB59" s="46"/>
      <c r="AC59" s="46"/>
      <c r="AD59" s="46"/>
    </row>
    <row r="60" spans="4:30">
      <c r="D60" s="56"/>
      <c r="Z60" s="46"/>
      <c r="AA60" s="46"/>
      <c r="AB60" s="46"/>
      <c r="AC60" s="46"/>
      <c r="AD60" s="46"/>
    </row>
    <row r="61" spans="4:30">
      <c r="D61" s="56"/>
      <c r="Z61" s="46"/>
      <c r="AA61" s="46"/>
      <c r="AB61" s="46"/>
      <c r="AC61" s="46"/>
      <c r="AD61" s="46"/>
    </row>
    <row r="62" spans="4:30">
      <c r="D62" s="56"/>
      <c r="Z62" s="46"/>
      <c r="AA62" s="46"/>
      <c r="AB62" s="46"/>
      <c r="AC62" s="46"/>
      <c r="AD62" s="46"/>
    </row>
    <row r="63" spans="4:30">
      <c r="D63" s="56"/>
      <c r="Z63" s="46"/>
      <c r="AA63" s="46"/>
      <c r="AB63" s="46"/>
      <c r="AC63" s="46"/>
      <c r="AD63" s="46"/>
    </row>
    <row r="64" spans="4:30">
      <c r="D64" s="56"/>
      <c r="Z64" s="46"/>
      <c r="AA64" s="46"/>
      <c r="AB64" s="46"/>
      <c r="AC64" s="46"/>
      <c r="AD64" s="46"/>
    </row>
    <row r="65" spans="4:30">
      <c r="D65" s="56"/>
      <c r="Z65" s="46"/>
      <c r="AA65" s="46"/>
      <c r="AB65" s="46"/>
      <c r="AC65" s="46"/>
      <c r="AD65" s="46"/>
    </row>
    <row r="66" spans="4:30">
      <c r="D66" s="56"/>
      <c r="AB66" s="46"/>
      <c r="AC66" s="46"/>
      <c r="AD66" s="46"/>
    </row>
    <row r="67" spans="4:30" ht="18.600000000000001">
      <c r="D67" s="79" t="s">
        <v>287</v>
      </c>
      <c r="AA67" s="46"/>
      <c r="AB67" s="46"/>
      <c r="AC67" s="46"/>
      <c r="AD67" s="46"/>
    </row>
    <row r="68" spans="4:30">
      <c r="D68" s="56"/>
      <c r="AA68" s="46"/>
      <c r="AB68" s="46"/>
      <c r="AC68" s="46"/>
      <c r="AD68" s="46"/>
    </row>
    <row r="69" spans="4:30">
      <c r="D69" s="56"/>
      <c r="AA69" s="46"/>
      <c r="AB69" s="46"/>
      <c r="AC69" s="46"/>
      <c r="AD69" s="46"/>
    </row>
    <row r="70" spans="4:30">
      <c r="D70" s="56"/>
      <c r="AA70" s="46"/>
      <c r="AB70" s="46"/>
      <c r="AC70" s="46"/>
      <c r="AD70" s="46"/>
    </row>
    <row r="71" spans="4:30">
      <c r="D71" s="56"/>
      <c r="AA71" s="46"/>
      <c r="AB71" s="46"/>
      <c r="AC71" s="46"/>
      <c r="AD71" s="46"/>
    </row>
    <row r="72" spans="4:30">
      <c r="D72" s="56"/>
      <c r="AA72" s="46"/>
      <c r="AB72" s="46"/>
      <c r="AC72" s="46"/>
      <c r="AD72" s="46"/>
    </row>
    <row r="73" spans="4:30">
      <c r="D73" s="56"/>
      <c r="AA73" s="46"/>
      <c r="AB73" s="46"/>
      <c r="AC73" s="46"/>
      <c r="AD73" s="46"/>
    </row>
    <row r="74" spans="4:30">
      <c r="D74" s="56"/>
      <c r="AA74" s="46"/>
      <c r="AB74" s="46"/>
      <c r="AC74" s="46"/>
      <c r="AD74" s="46"/>
    </row>
    <row r="75" spans="4:30">
      <c r="D75" s="56"/>
      <c r="AA75" s="46"/>
      <c r="AB75" s="46"/>
      <c r="AC75" s="46"/>
      <c r="AD75" s="46"/>
    </row>
    <row r="76" spans="4:30">
      <c r="D76" s="56"/>
      <c r="AA76" s="46"/>
      <c r="AB76" s="46"/>
      <c r="AC76" s="46"/>
      <c r="AD76" s="46"/>
    </row>
    <row r="77" spans="4:30">
      <c r="D77" s="56"/>
      <c r="AA77" s="46"/>
      <c r="AB77" s="46"/>
      <c r="AC77" s="46"/>
      <c r="AD77" s="46"/>
    </row>
    <row r="78" spans="4:30">
      <c r="D78" s="56"/>
      <c r="AA78" s="46"/>
      <c r="AB78" s="46"/>
      <c r="AC78" s="46"/>
      <c r="AD78" s="46"/>
    </row>
    <row r="79" spans="4:30">
      <c r="D79" s="56"/>
      <c r="AA79" s="46"/>
      <c r="AB79" s="46"/>
      <c r="AC79" s="46"/>
      <c r="AD79" s="46"/>
    </row>
    <row r="80" spans="4:30">
      <c r="D80" s="56"/>
      <c r="AA80" s="46"/>
      <c r="AB80" s="46"/>
      <c r="AC80" s="46"/>
      <c r="AD80" s="46"/>
    </row>
    <row r="81" spans="4:30">
      <c r="D81" s="56"/>
      <c r="AA81" s="46"/>
      <c r="AB81" s="46"/>
      <c r="AC81" s="46"/>
      <c r="AD81" s="46"/>
    </row>
    <row r="82" spans="4:30">
      <c r="D82" s="56"/>
      <c r="AA82" s="46"/>
      <c r="AB82" s="46"/>
      <c r="AC82" s="46"/>
      <c r="AD82" s="46"/>
    </row>
    <row r="83" spans="4:30">
      <c r="D83" s="56"/>
      <c r="AA83" s="46"/>
      <c r="AB83" s="46"/>
      <c r="AC83" s="46"/>
      <c r="AD83" s="46"/>
    </row>
    <row r="84" spans="4:30">
      <c r="D84" s="56"/>
      <c r="AA84" s="46"/>
      <c r="AB84" s="46"/>
      <c r="AC84" s="46"/>
      <c r="AD84" s="46"/>
    </row>
    <row r="85" spans="4:30">
      <c r="D85" s="56"/>
      <c r="AA85" s="46"/>
      <c r="AB85" s="46"/>
      <c r="AC85" s="46"/>
      <c r="AD85" s="46"/>
    </row>
    <row r="86" spans="4:30">
      <c r="D86" s="56"/>
      <c r="AA86" s="46"/>
      <c r="AB86" s="46"/>
      <c r="AC86" s="46"/>
      <c r="AD86" s="46"/>
    </row>
    <row r="87" spans="4:30">
      <c r="D87" s="56"/>
      <c r="AA87" s="46"/>
      <c r="AB87" s="46"/>
      <c r="AC87" s="46"/>
      <c r="AD87" s="46"/>
    </row>
    <row r="88" spans="4:30">
      <c r="D88" s="56"/>
      <c r="AA88" s="46"/>
      <c r="AB88" s="46"/>
      <c r="AC88" s="46"/>
      <c r="AD88" s="46"/>
    </row>
    <row r="89" spans="4:30">
      <c r="D89" s="56"/>
      <c r="AA89" s="46"/>
      <c r="AB89" s="46"/>
      <c r="AC89" s="46"/>
      <c r="AD89" s="46"/>
    </row>
    <row r="90" spans="4:30">
      <c r="D90" s="56"/>
      <c r="AA90" s="46"/>
      <c r="AB90" s="46"/>
      <c r="AC90" s="46"/>
      <c r="AD90" s="46"/>
    </row>
    <row r="91" spans="4:30">
      <c r="D91" s="56"/>
      <c r="AA91" s="46"/>
      <c r="AB91" s="46"/>
      <c r="AC91" s="46"/>
      <c r="AD91" s="46"/>
    </row>
    <row r="92" spans="4:30">
      <c r="D92" s="56"/>
      <c r="AA92" s="46"/>
      <c r="AB92" s="46"/>
      <c r="AC92" s="46"/>
      <c r="AD92" s="46"/>
    </row>
    <row r="93" spans="4:30">
      <c r="D93" s="56"/>
      <c r="AA93" s="46"/>
      <c r="AB93" s="46"/>
      <c r="AC93" s="46"/>
      <c r="AD93" s="46"/>
    </row>
    <row r="94" spans="4:30">
      <c r="D94" s="56"/>
      <c r="AA94" s="46"/>
      <c r="AB94" s="46"/>
      <c r="AC94" s="46"/>
      <c r="AD94" s="46"/>
    </row>
    <row r="95" spans="4:30">
      <c r="D95" s="56"/>
      <c r="AA95" s="46"/>
      <c r="AB95" s="46"/>
      <c r="AC95" s="46"/>
      <c r="AD95" s="46"/>
    </row>
    <row r="96" spans="4:30">
      <c r="D96" s="56"/>
      <c r="AA96" s="46"/>
      <c r="AB96" s="46"/>
      <c r="AC96" s="46"/>
      <c r="AD96" s="46"/>
    </row>
    <row r="97" spans="4:30">
      <c r="D97" s="56"/>
      <c r="AA97" s="46"/>
      <c r="AB97" s="46"/>
      <c r="AC97" s="46"/>
      <c r="AD97" s="46"/>
    </row>
    <row r="98" spans="4:30">
      <c r="D98" s="56"/>
      <c r="AA98" s="46"/>
      <c r="AB98" s="46"/>
      <c r="AC98" s="46"/>
      <c r="AD98" s="46"/>
    </row>
    <row r="99" spans="4:30">
      <c r="D99" s="56"/>
      <c r="AA99" s="46"/>
      <c r="AB99" s="46"/>
      <c r="AC99" s="46"/>
      <c r="AD99" s="46"/>
    </row>
    <row r="100" spans="4:30">
      <c r="D100" s="56"/>
      <c r="AA100" s="46"/>
      <c r="AB100" s="46"/>
      <c r="AC100" s="46"/>
      <c r="AD100" s="46"/>
    </row>
    <row r="101" spans="4:30">
      <c r="D101" s="56"/>
      <c r="AA101" s="46"/>
      <c r="AB101" s="46"/>
      <c r="AC101" s="46"/>
      <c r="AD101" s="46"/>
    </row>
    <row r="102" spans="4:30">
      <c r="D102" s="56"/>
      <c r="AA102" s="46"/>
      <c r="AB102" s="46"/>
      <c r="AC102" s="46"/>
      <c r="AD102" s="46"/>
    </row>
    <row r="103" spans="4:30">
      <c r="D103" s="56"/>
      <c r="AA103" s="46"/>
      <c r="AB103" s="46"/>
      <c r="AC103" s="46"/>
      <c r="AD103" s="46"/>
    </row>
    <row r="104" spans="4:30">
      <c r="D104" s="56"/>
      <c r="AA104" s="46"/>
      <c r="AB104" s="46"/>
      <c r="AC104" s="46"/>
      <c r="AD104" s="46"/>
    </row>
    <row r="105" spans="4:30">
      <c r="D105" s="56"/>
      <c r="AA105" s="46"/>
      <c r="AB105" s="46"/>
      <c r="AC105" s="46"/>
      <c r="AD105" s="46"/>
    </row>
    <row r="106" spans="4:30">
      <c r="D106" s="56"/>
      <c r="AA106" s="46"/>
      <c r="AB106" s="46"/>
      <c r="AC106" s="46"/>
      <c r="AD106" s="46"/>
    </row>
    <row r="107" spans="4:30">
      <c r="D107" s="56"/>
      <c r="AA107" s="46"/>
      <c r="AB107" s="46"/>
      <c r="AC107" s="46"/>
      <c r="AD107" s="46"/>
    </row>
    <row r="108" spans="4:30">
      <c r="D108" s="56"/>
      <c r="AA108" s="46"/>
      <c r="AB108" s="46"/>
      <c r="AC108" s="46"/>
      <c r="AD108" s="46"/>
    </row>
    <row r="109" spans="4:30">
      <c r="D109" s="56"/>
      <c r="AA109" s="46"/>
      <c r="AB109" s="46"/>
      <c r="AC109" s="46"/>
      <c r="AD109" s="46"/>
    </row>
    <row r="110" spans="4:30">
      <c r="D110" s="56"/>
      <c r="AA110" s="46"/>
      <c r="AB110" s="46"/>
      <c r="AC110" s="46"/>
      <c r="AD110" s="46"/>
    </row>
    <row r="111" spans="4:30">
      <c r="D111" s="56"/>
      <c r="AA111" s="46"/>
      <c r="AB111" s="46"/>
      <c r="AC111" s="46"/>
      <c r="AD111" s="46"/>
    </row>
    <row r="112" spans="4:30">
      <c r="D112" s="56"/>
      <c r="AA112" s="46"/>
      <c r="AB112" s="46"/>
      <c r="AC112" s="46"/>
      <c r="AD112" s="46"/>
    </row>
    <row r="113" spans="4:30">
      <c r="D113" s="56"/>
      <c r="AA113" s="46"/>
      <c r="AB113" s="46"/>
      <c r="AC113" s="46"/>
      <c r="AD113" s="46"/>
    </row>
    <row r="114" spans="4:30">
      <c r="D114" s="56"/>
      <c r="AA114" s="46"/>
      <c r="AB114" s="46"/>
      <c r="AC114" s="46"/>
      <c r="AD114" s="46"/>
    </row>
    <row r="115" spans="4:30">
      <c r="D115" s="56"/>
      <c r="AA115" s="46"/>
      <c r="AB115" s="46"/>
      <c r="AC115" s="46"/>
      <c r="AD115" s="46"/>
    </row>
    <row r="116" spans="4:30">
      <c r="D116" s="56"/>
      <c r="AA116" s="46"/>
      <c r="AB116" s="46"/>
      <c r="AC116" s="46"/>
      <c r="AD116" s="46"/>
    </row>
    <row r="117" spans="4:30">
      <c r="D117" s="56"/>
      <c r="AA117" s="46"/>
      <c r="AB117" s="46"/>
      <c r="AC117" s="46"/>
      <c r="AD117" s="46"/>
    </row>
    <row r="118" spans="4:30">
      <c r="D118" s="56"/>
      <c r="AA118" s="46"/>
      <c r="AB118" s="46"/>
      <c r="AC118" s="46"/>
      <c r="AD118" s="46"/>
    </row>
    <row r="119" spans="4:30">
      <c r="D119" s="56"/>
      <c r="AA119" s="46"/>
      <c r="AB119" s="46"/>
      <c r="AC119" s="46"/>
      <c r="AD119" s="46"/>
    </row>
    <row r="120" spans="4:30">
      <c r="D120" s="56"/>
      <c r="AA120" s="46"/>
      <c r="AB120" s="46"/>
      <c r="AC120" s="46"/>
      <c r="AD120" s="46"/>
    </row>
    <row r="121" spans="4:30">
      <c r="D121" s="56"/>
      <c r="AA121" s="46"/>
      <c r="AB121" s="46"/>
      <c r="AC121" s="46"/>
      <c r="AD121" s="46"/>
    </row>
    <row r="122" spans="4:30">
      <c r="D122" s="56"/>
      <c r="AA122" s="46"/>
      <c r="AB122" s="46"/>
      <c r="AC122" s="46"/>
      <c r="AD122" s="46"/>
    </row>
    <row r="123" spans="4:30">
      <c r="D123" s="56"/>
      <c r="AA123" s="46"/>
      <c r="AB123" s="46"/>
      <c r="AC123" s="46"/>
      <c r="AD123" s="46"/>
    </row>
    <row r="124" spans="4:30">
      <c r="D124" s="56"/>
      <c r="AA124" s="46"/>
      <c r="AB124" s="46"/>
      <c r="AC124" s="46"/>
      <c r="AD124" s="46"/>
    </row>
    <row r="125" spans="4:30">
      <c r="D125" s="56"/>
      <c r="AA125" s="46"/>
      <c r="AB125" s="46"/>
      <c r="AC125" s="46"/>
      <c r="AD125" s="46"/>
    </row>
    <row r="126" spans="4:30">
      <c r="D126" s="56"/>
      <c r="AA126" s="46"/>
      <c r="AB126" s="46"/>
      <c r="AC126" s="46"/>
      <c r="AD126" s="46"/>
    </row>
    <row r="127" spans="4:30">
      <c r="D127" s="56"/>
      <c r="AA127" s="46"/>
      <c r="AB127" s="46"/>
      <c r="AC127" s="46"/>
      <c r="AD127" s="46"/>
    </row>
    <row r="128" spans="4:30">
      <c r="D128" s="56"/>
      <c r="AA128" s="46"/>
      <c r="AB128" s="46"/>
      <c r="AC128" s="46"/>
      <c r="AD128" s="46"/>
    </row>
    <row r="129" spans="4:30">
      <c r="D129" s="56"/>
      <c r="AA129" s="46"/>
      <c r="AB129" s="46"/>
      <c r="AC129" s="46"/>
      <c r="AD129" s="46"/>
    </row>
    <row r="130" spans="4:30">
      <c r="D130" s="56"/>
      <c r="AA130" s="46"/>
      <c r="AB130" s="46"/>
      <c r="AC130" s="46"/>
      <c r="AD130" s="46"/>
    </row>
    <row r="131" spans="4:30">
      <c r="D131" s="56"/>
      <c r="AA131" s="46"/>
      <c r="AB131" s="46"/>
      <c r="AC131" s="46"/>
      <c r="AD131" s="46"/>
    </row>
    <row r="132" spans="4:30">
      <c r="D132" s="56"/>
      <c r="AA132" s="46"/>
      <c r="AB132" s="46"/>
      <c r="AC132" s="46"/>
      <c r="AD132" s="46"/>
    </row>
    <row r="133" spans="4:30">
      <c r="D133" s="56"/>
      <c r="AA133" s="46"/>
      <c r="AB133" s="46"/>
      <c r="AC133" s="46"/>
      <c r="AD133" s="46"/>
    </row>
    <row r="134" spans="4:30">
      <c r="D134" s="56"/>
      <c r="AA134" s="46"/>
      <c r="AB134" s="46"/>
      <c r="AC134" s="46"/>
      <c r="AD134" s="46"/>
    </row>
    <row r="135" spans="4:30">
      <c r="D135" s="56"/>
      <c r="AA135" s="46"/>
      <c r="AB135" s="46"/>
      <c r="AC135" s="46"/>
      <c r="AD135" s="46"/>
    </row>
    <row r="136" spans="4:30">
      <c r="D136" s="56"/>
      <c r="AA136" s="46"/>
      <c r="AB136" s="46"/>
      <c r="AC136" s="46"/>
      <c r="AD136" s="46"/>
    </row>
    <row r="137" spans="4:30">
      <c r="D137" s="56"/>
      <c r="AA137" s="46"/>
      <c r="AB137" s="46"/>
      <c r="AC137" s="46"/>
      <c r="AD137" s="46"/>
    </row>
    <row r="138" spans="4:30">
      <c r="D138" s="56"/>
      <c r="AC138" s="46"/>
      <c r="AD138" s="46"/>
    </row>
    <row r="139" spans="4:30">
      <c r="D139" s="56"/>
      <c r="AC139" s="46"/>
      <c r="AD139" s="46"/>
    </row>
    <row r="140" spans="4:30">
      <c r="D140" s="56"/>
      <c r="AC140" s="46"/>
      <c r="AD140" s="46"/>
    </row>
    <row r="141" spans="4:30">
      <c r="D141" s="56"/>
      <c r="AC141" s="46"/>
      <c r="AD141" s="46"/>
    </row>
    <row r="142" spans="4:30">
      <c r="D142" s="56"/>
      <c r="AC142" s="46"/>
      <c r="AD142" s="46"/>
    </row>
    <row r="143" spans="4:30">
      <c r="D143" s="56"/>
      <c r="AC143" s="46"/>
      <c r="AD143" s="46"/>
    </row>
    <row r="144" spans="4:30">
      <c r="D144" s="56"/>
      <c r="AC144" s="46"/>
      <c r="AD144" s="46"/>
    </row>
    <row r="145" spans="4:30">
      <c r="D145" s="56"/>
      <c r="AC145" s="46"/>
      <c r="AD145" s="46"/>
    </row>
    <row r="146" spans="4:30">
      <c r="D146" s="56"/>
      <c r="AC146" s="46"/>
      <c r="AD146" s="46"/>
    </row>
    <row r="147" spans="4:30">
      <c r="D147" s="56"/>
      <c r="AC147" s="46"/>
      <c r="AD147" s="46"/>
    </row>
    <row r="148" spans="4:30">
      <c r="D148" s="56"/>
      <c r="AC148" s="46"/>
      <c r="AD148" s="46"/>
    </row>
    <row r="149" spans="4:30">
      <c r="D149" s="56"/>
      <c r="AC149" s="46"/>
      <c r="AD149" s="46"/>
    </row>
    <row r="150" spans="4:30">
      <c r="D150" s="56"/>
      <c r="AC150" s="46"/>
      <c r="AD150" s="46"/>
    </row>
    <row r="151" spans="4:30">
      <c r="D151" s="56"/>
      <c r="AC151" s="46"/>
      <c r="AD151" s="46"/>
    </row>
    <row r="152" spans="4:30">
      <c r="D152" s="56"/>
      <c r="AC152" s="46"/>
      <c r="AD152" s="46"/>
    </row>
    <row r="153" spans="4:30">
      <c r="D153" s="56"/>
      <c r="AC153" s="46"/>
      <c r="AD153" s="46"/>
    </row>
    <row r="154" spans="4:30">
      <c r="D154" s="56"/>
      <c r="AD154" s="46"/>
    </row>
    <row r="155" spans="4:30">
      <c r="D155" s="56"/>
      <c r="AD155" s="46"/>
    </row>
    <row r="156" spans="4:30">
      <c r="D156" s="56"/>
      <c r="AD156" s="46"/>
    </row>
    <row r="157" spans="4:30">
      <c r="D157" s="56"/>
      <c r="AD157" s="46"/>
    </row>
    <row r="158" spans="4:30">
      <c r="D158" s="56"/>
      <c r="AD158" s="46"/>
    </row>
    <row r="159" spans="4:30">
      <c r="D159" s="56"/>
      <c r="AD159" s="46"/>
    </row>
    <row r="160" spans="4:30">
      <c r="D160" s="56"/>
      <c r="AD160" s="46"/>
    </row>
    <row r="161" spans="4:30">
      <c r="D161" s="56"/>
      <c r="AD161" s="46"/>
    </row>
    <row r="162" spans="4:30">
      <c r="D162" s="56"/>
      <c r="AD162" s="46"/>
    </row>
    <row r="163" spans="4:30">
      <c r="D163" s="56"/>
      <c r="AD163" s="46"/>
    </row>
    <row r="164" spans="4:30">
      <c r="D164" s="56"/>
      <c r="AD164" s="46"/>
    </row>
    <row r="165" spans="4:30">
      <c r="D165" s="56"/>
      <c r="AD165" s="46"/>
    </row>
    <row r="166" spans="4:30">
      <c r="D166" s="56"/>
      <c r="AD166" s="46"/>
    </row>
    <row r="167" spans="4:30">
      <c r="D167" s="56"/>
      <c r="AD167" s="46"/>
    </row>
    <row r="168" spans="4:30">
      <c r="D168" s="56"/>
      <c r="AD168" s="46"/>
    </row>
    <row r="169" spans="4:30">
      <c r="D169" s="56"/>
      <c r="AD169" s="46"/>
    </row>
    <row r="170" spans="4:30">
      <c r="D170" s="56"/>
      <c r="AD170" s="46"/>
    </row>
    <row r="171" spans="4:30">
      <c r="D171" s="56"/>
      <c r="AD171" s="46"/>
    </row>
    <row r="172" spans="4:30">
      <c r="D172" s="56"/>
      <c r="AD172" s="46"/>
    </row>
    <row r="173" spans="4:30">
      <c r="D173" s="56"/>
      <c r="AD173" s="46"/>
    </row>
    <row r="174" spans="4:30">
      <c r="D174" s="56"/>
      <c r="AD174" s="46"/>
    </row>
    <row r="175" spans="4:30">
      <c r="D175" s="56"/>
      <c r="AD175" s="46"/>
    </row>
    <row r="176" spans="4:30">
      <c r="D176" s="56"/>
      <c r="AD176" s="46"/>
    </row>
    <row r="177" spans="4:30">
      <c r="D177" s="56"/>
      <c r="AD177" s="46"/>
    </row>
    <row r="178" spans="4:30">
      <c r="D178" s="56"/>
      <c r="AD178" s="46"/>
    </row>
    <row r="179" spans="4:30">
      <c r="D179" s="56"/>
      <c r="AD179" s="46"/>
    </row>
  </sheetData>
  <conditionalFormatting sqref="E8:N8 E7:BW7 P8:R8 T8:W8 Y8:AB8 AD8:AG8 AI8:AO8 AQ8:AT8 AV8:AW8 AY8:BW8">
    <cfRule type="colorScale" priority="43">
      <colorScale>
        <cfvo type="min"/>
        <cfvo type="percentile" val="50"/>
        <cfvo type="max"/>
        <color rgb="FFF8696B"/>
        <color rgb="FFFFEB84"/>
        <color rgb="FF63BE7B"/>
      </colorScale>
    </cfRule>
  </conditionalFormatting>
  <conditionalFormatting sqref="J9">
    <cfRule type="colorScale" priority="23">
      <colorScale>
        <cfvo type="min"/>
        <cfvo type="percentile" val="50"/>
        <cfvo type="max"/>
        <color rgb="FFF8696B"/>
        <color rgb="FFFFEB84"/>
        <color rgb="FF63BE7B"/>
      </colorScale>
    </cfRule>
  </conditionalFormatting>
  <conditionalFormatting sqref="O8">
    <cfRule type="colorScale" priority="1">
      <colorScale>
        <cfvo type="min"/>
        <cfvo type="percentile" val="50"/>
        <cfvo type="max"/>
        <color rgb="FFF8696B"/>
        <color rgb="FFFFEB84"/>
        <color rgb="FF63BE7B"/>
      </colorScale>
    </cfRule>
  </conditionalFormatting>
  <conditionalFormatting sqref="S8">
    <cfRule type="colorScale" priority="2">
      <colorScale>
        <cfvo type="min"/>
        <cfvo type="percentile" val="50"/>
        <cfvo type="max"/>
        <color rgb="FFF8696B"/>
        <color rgb="FFFFEB84"/>
        <color rgb="FF63BE7B"/>
      </colorScale>
    </cfRule>
  </conditionalFormatting>
  <conditionalFormatting sqref="X8">
    <cfRule type="colorScale" priority="3">
      <colorScale>
        <cfvo type="min"/>
        <cfvo type="percentile" val="50"/>
        <cfvo type="max"/>
        <color rgb="FFF8696B"/>
        <color rgb="FFFFEB84"/>
        <color rgb="FF63BE7B"/>
      </colorScale>
    </cfRule>
  </conditionalFormatting>
  <conditionalFormatting sqref="AC8">
    <cfRule type="colorScale" priority="4">
      <colorScale>
        <cfvo type="min"/>
        <cfvo type="percentile" val="50"/>
        <cfvo type="max"/>
        <color rgb="FFF8696B"/>
        <color rgb="FFFFEB84"/>
        <color rgb="FF63BE7B"/>
      </colorScale>
    </cfRule>
  </conditionalFormatting>
  <conditionalFormatting sqref="AH8">
    <cfRule type="colorScale" priority="5">
      <colorScale>
        <cfvo type="min"/>
        <cfvo type="percentile" val="50"/>
        <cfvo type="max"/>
        <color rgb="FFF8696B"/>
        <color rgb="FFFFEB84"/>
        <color rgb="FF63BE7B"/>
      </colorScale>
    </cfRule>
  </conditionalFormatting>
  <conditionalFormatting sqref="AP8">
    <cfRule type="colorScale" priority="6">
      <colorScale>
        <cfvo type="min"/>
        <cfvo type="percentile" val="50"/>
        <cfvo type="max"/>
        <color rgb="FFF8696B"/>
        <color rgb="FFFFEB84"/>
        <color rgb="FF63BE7B"/>
      </colorScale>
    </cfRule>
  </conditionalFormatting>
  <conditionalFormatting sqref="AU8">
    <cfRule type="colorScale" priority="7">
      <colorScale>
        <cfvo type="min"/>
        <cfvo type="percentile" val="50"/>
        <cfvo type="max"/>
        <color rgb="FFF8696B"/>
        <color rgb="FFFFEB84"/>
        <color rgb="FF63BE7B"/>
      </colorScale>
    </cfRule>
  </conditionalFormatting>
  <conditionalFormatting sqref="AX8">
    <cfRule type="colorScale" priority="8">
      <colorScale>
        <cfvo type="min"/>
        <cfvo type="percentile" val="50"/>
        <cfvo type="max"/>
        <color rgb="FFF8696B"/>
        <color rgb="FFFFEB84"/>
        <color rgb="FF63BE7B"/>
      </colorScale>
    </cfRule>
  </conditionalFormatting>
  <conditionalFormatting sqref="AX9">
    <cfRule type="colorScale" priority="13">
      <colorScale>
        <cfvo type="min"/>
        <cfvo type="percentile" val="50"/>
        <cfvo type="max"/>
        <color rgb="FFF8696B"/>
        <color rgb="FFFFEB84"/>
        <color rgb="FF63BE7B"/>
      </colorScale>
    </cfRule>
  </conditionalFormatting>
  <conditionalFormatting sqref="BM9">
    <cfRule type="colorScale" priority="12">
      <colorScale>
        <cfvo type="min"/>
        <cfvo type="percentile" val="50"/>
        <cfvo type="max"/>
        <color rgb="FFF8696B"/>
        <color rgb="FFFFEB84"/>
        <color rgb="FF63BE7B"/>
      </colorScale>
    </cfRule>
  </conditionalFormatting>
  <conditionalFormatting sqref="BR9">
    <cfRule type="colorScale" priority="11">
      <colorScale>
        <cfvo type="min"/>
        <cfvo type="percentile" val="50"/>
        <cfvo type="max"/>
        <color rgb="FFF8696B"/>
        <color rgb="FFFFEB84"/>
        <color rgb="FF63BE7B"/>
      </colorScale>
    </cfRule>
  </conditionalFormatting>
  <conditionalFormatting sqref="BW9">
    <cfRule type="colorScale" priority="10">
      <colorScale>
        <cfvo type="min"/>
        <cfvo type="percentile" val="50"/>
        <cfvo type="max"/>
        <color rgb="FFF8696B"/>
        <color rgb="FFFFEB84"/>
        <color rgb="FF63BE7B"/>
      </colorScale>
    </cfRule>
  </conditionalFormatting>
  <conditionalFormatting sqref="BX7:CB8">
    <cfRule type="colorScale" priority="28">
      <colorScale>
        <cfvo type="min"/>
        <cfvo type="percentile" val="50"/>
        <cfvo type="max"/>
        <color rgb="FFF8696B"/>
        <color rgb="FFFFEB84"/>
        <color rgb="FF63BE7B"/>
      </colorScale>
    </cfRule>
  </conditionalFormatting>
  <conditionalFormatting sqref="CB9">
    <cfRule type="colorScale" priority="9">
      <colorScale>
        <cfvo type="min"/>
        <cfvo type="percentile" val="50"/>
        <cfvo type="max"/>
        <color rgb="FFF8696B"/>
        <color rgb="FFFFEB84"/>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35A3777C117E8F4490629ADC5280BDCD" ma:contentTypeVersion="14" ma:contentTypeDescription="Een nieuw document maken." ma:contentTypeScope="" ma:versionID="af06415684968a1656e1bba475aafabb">
  <xsd:schema xmlns:xsd="http://www.w3.org/2001/XMLSchema" xmlns:xs="http://www.w3.org/2001/XMLSchema" xmlns:p="http://schemas.microsoft.com/office/2006/metadata/properties" xmlns:ns2="0b4895a4-109c-4734-9b5c-08e0b57b8d04" xmlns:ns3="9b040ff4-24fd-4220-8396-ee1f6ad4992d" targetNamespace="http://schemas.microsoft.com/office/2006/metadata/properties" ma:root="true" ma:fieldsID="00e3554c49079c8e18863c8e75532588" ns2:_="" ns3:_="">
    <xsd:import namespace="0b4895a4-109c-4734-9b5c-08e0b57b8d04"/>
    <xsd:import namespace="9b040ff4-24fd-4220-8396-ee1f6ad4992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b4895a4-109c-4734-9b5c-08e0b57b8d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393bc292-4470-415f-891b-16f65066b5a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b040ff4-24fd-4220-8396-ee1f6ad4992d"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4" nillable="true" ma:displayName="Taxonomy Catch All Column" ma:hidden="true" ma:list="{06873769-555d-45d4-9f27-c001d2ff8a92}" ma:internalName="TaxCatchAll" ma:showField="CatchAllData" ma:web="9b040ff4-24fd-4220-8396-ee1f6ad4992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b040ff4-24fd-4220-8396-ee1f6ad4992d" xsi:nil="true"/>
    <lcf76f155ced4ddcb4097134ff3c332f xmlns="0b4895a4-109c-4734-9b5c-08e0b57b8d04">
      <Terms xmlns="http://schemas.microsoft.com/office/infopath/2007/PartnerControls"/>
    </lcf76f155ced4ddcb4097134ff3c332f>
    <SharedWithUsers xmlns="9b040ff4-24fd-4220-8396-ee1f6ad4992d">
      <UserInfo>
        <DisplayName/>
        <AccountId xsi:nil="true"/>
        <AccountType/>
      </UserInfo>
    </SharedWithUsers>
    <MediaLengthInSeconds xmlns="0b4895a4-109c-4734-9b5c-08e0b57b8d04" xsi:nil="true"/>
  </documentManagement>
</p:properties>
</file>

<file path=customXml/itemProps1.xml><?xml version="1.0" encoding="utf-8"?>
<ds:datastoreItem xmlns:ds="http://schemas.openxmlformats.org/officeDocument/2006/customXml" ds:itemID="{B931CFB9-F32C-49D5-B8D0-53B29C36566D}"/>
</file>

<file path=customXml/itemProps2.xml><?xml version="1.0" encoding="utf-8"?>
<ds:datastoreItem xmlns:ds="http://schemas.openxmlformats.org/officeDocument/2006/customXml" ds:itemID="{D26BC474-D44D-4864-ABF5-E79B124C6B3A}"/>
</file>

<file path=customXml/itemProps3.xml><?xml version="1.0" encoding="utf-8"?>
<ds:datastoreItem xmlns:ds="http://schemas.openxmlformats.org/officeDocument/2006/customXml" ds:itemID="{2345B4F2-3B30-4162-9FB0-76A0A8117CF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Chantal</dc:creator>
  <cp:keywords/>
  <dc:description/>
  <cp:lastModifiedBy>Kimberley Ho</cp:lastModifiedBy>
  <cp:revision/>
  <dcterms:created xsi:type="dcterms:W3CDTF">2020-11-26T09:31:06Z</dcterms:created>
  <dcterms:modified xsi:type="dcterms:W3CDTF">2023-05-17T11:14:18Z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0x01010035A3777C117E8F4490629ADC5280BDCD</vt:lpwstr>
  </property>
  <property fmtid="{D5CDD505-2E9C-101B-9397-08002B2CF9AE}" pid="3" name="MediaServiceImageTags">
    <vt:lpwstr/>
  </property>
  <property fmtid="{D5CDD505-2E9C-101B-9397-08002B2CF9AE}" pid="4" name="Order">
    <vt:r8>45359000</vt:r8>
  </property>
  <property fmtid="{D5CDD505-2E9C-101B-9397-08002B2CF9AE}" pid="5" name="xd_Signature">
    <vt:bool>false</vt:bool>
  </property>
  <property fmtid="{D5CDD505-2E9C-101B-9397-08002B2CF9AE}" pid="6" name="xd_ProgID">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y fmtid="{D5CDD505-2E9C-101B-9397-08002B2CF9AE}" pid="10" name="_ExtendedDescription">
    <vt:lpwstr/>
  </property>
</Properties>
</file>