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8"/>
  <workbookPr defaultThemeVersion="166925"/>
  <mc:AlternateContent xmlns:mc="http://schemas.openxmlformats.org/markup-compatibility/2006">
    <mc:Choice Requires="x15">
      <x15ac:absPath xmlns:x15ac="http://schemas.microsoft.com/office/spreadsheetml/2010/11/ac" url="https://digitalpower.sharepoint.com/sites/Organisatie/Gedeelde documenten/Development/Competence assessment/"/>
    </mc:Choice>
  </mc:AlternateContent>
  <xr:revisionPtr revIDLastSave="487" documentId="8_{72F693DC-A3B8-4B3A-9EBE-B2565D4C68DA}" xr6:coauthVersionLast="47" xr6:coauthVersionMax="47" xr10:uidLastSave="{E011FDE4-472C-49D2-A555-AF3A6012F3BC}"/>
  <bookViews>
    <workbookView xWindow="-108" yWindow="-108" windowWidth="27096" windowHeight="16296" firstSheet="3" activeTab="1" xr2:uid="{1F9F934B-3F76-4FFB-9890-B75BF435F439}"/>
  </bookViews>
  <sheets>
    <sheet name="Theory" sheetId="4" r:id="rId1"/>
    <sheet name="Questions" sheetId="1" r:id="rId2"/>
    <sheet name="Data (DO NOT EDIT!!)" sheetId="3" r:id="rId3"/>
    <sheet name="Results (DO NOT EDIT!!)" sheetId="2" r:id="rId4"/>
  </sheets>
  <definedNames>
    <definedName name="_xlnm.Print_Area" localSheetId="1">Questions!$A$12:$D$196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5" i="3" l="1"/>
  <c r="Q4" i="2" s="1"/>
  <c r="AI18" i="3"/>
  <c r="AF7" i="2" s="1"/>
  <c r="AH18" i="3"/>
  <c r="AE7" i="2" s="1"/>
  <c r="AG18" i="3"/>
  <c r="AD7" i="2" s="1"/>
  <c r="AF18" i="3"/>
  <c r="AC7" i="2" s="1"/>
  <c r="AE18" i="3"/>
  <c r="AB7" i="2" s="1"/>
  <c r="AD18" i="3"/>
  <c r="AA7" i="2" s="1"/>
  <c r="AC18" i="3"/>
  <c r="Z7" i="2" s="1"/>
  <c r="AB18" i="3"/>
  <c r="Y7" i="2" s="1"/>
  <c r="AA18" i="3"/>
  <c r="X7" i="2" s="1"/>
  <c r="Z18" i="3"/>
  <c r="W7" i="2" s="1"/>
  <c r="Y18" i="3"/>
  <c r="V7" i="2" s="1"/>
  <c r="X18" i="3"/>
  <c r="U7" i="2" s="1"/>
  <c r="W18" i="3"/>
  <c r="T7" i="2" s="1"/>
  <c r="V18" i="3"/>
  <c r="S7" i="2" s="1"/>
  <c r="U18" i="3"/>
  <c r="R7" i="2" s="1"/>
  <c r="T18" i="3"/>
  <c r="Q7" i="2" s="1"/>
  <c r="S18" i="3"/>
  <c r="P7" i="2" s="1"/>
  <c r="R18" i="3"/>
  <c r="O7" i="2" s="1"/>
  <c r="Q18" i="3"/>
  <c r="N7" i="2" s="1"/>
  <c r="P18" i="3"/>
  <c r="M7" i="2" s="1"/>
  <c r="O18" i="3"/>
  <c r="L7" i="2" s="1"/>
  <c r="N18" i="3"/>
  <c r="K7" i="2" s="1"/>
  <c r="M18" i="3"/>
  <c r="J7" i="2" s="1"/>
  <c r="L18" i="3"/>
  <c r="I7" i="2" s="1"/>
  <c r="K18" i="3"/>
  <c r="H7" i="2" s="1"/>
  <c r="J18" i="3"/>
  <c r="G7" i="2" s="1"/>
  <c r="I18" i="3"/>
  <c r="F7" i="2" s="1"/>
  <c r="H18" i="3"/>
  <c r="E7" i="2" s="1"/>
  <c r="G18" i="3"/>
  <c r="D7" i="2" s="1"/>
  <c r="F18" i="3"/>
  <c r="C7" i="2" s="1"/>
  <c r="E18" i="3"/>
  <c r="B7" i="2" s="1"/>
  <c r="E5" i="3"/>
  <c r="B4" i="2" s="1"/>
  <c r="G5" i="2" s="1"/>
  <c r="L5" i="3"/>
  <c r="I4" i="2" s="1"/>
  <c r="Q5" i="3"/>
  <c r="N4" i="2" s="1"/>
  <c r="I1" i="2"/>
  <c r="I2" i="2"/>
  <c r="N1" i="2"/>
  <c r="N2" i="2"/>
  <c r="C27" i="3"/>
  <c r="C26" i="3"/>
  <c r="C25" i="3"/>
  <c r="C24" i="3"/>
  <c r="C23" i="3"/>
  <c r="C22" i="3"/>
  <c r="C21" i="3"/>
  <c r="C20" i="3"/>
  <c r="C19" i="3"/>
  <c r="C18" i="3"/>
  <c r="AI5" i="3"/>
  <c r="AF4" i="2" s="1"/>
  <c r="AH5" i="3"/>
  <c r="AE4" i="2" s="1"/>
  <c r="AG5" i="3"/>
  <c r="AD4" i="2" s="1"/>
  <c r="AF5" i="3"/>
  <c r="AC4" i="2" s="1"/>
  <c r="AE5" i="3"/>
  <c r="AB4" i="2" s="1"/>
  <c r="AF5" i="2" s="1"/>
  <c r="AD5" i="3"/>
  <c r="AA4" i="2" s="1"/>
  <c r="AC5" i="3"/>
  <c r="Z4" i="2" s="1"/>
  <c r="AB5" i="3"/>
  <c r="Y4" i="2" s="1"/>
  <c r="AA5" i="3"/>
  <c r="X4" i="2" s="1"/>
  <c r="Z5" i="3"/>
  <c r="W4" i="2" s="1"/>
  <c r="Y5" i="3"/>
  <c r="V4" i="2" s="1"/>
  <c r="X5" i="3"/>
  <c r="U4" i="2" s="1"/>
  <c r="W5" i="3"/>
  <c r="T4" i="2" s="1"/>
  <c r="V5" i="3"/>
  <c r="S4" i="2" s="1"/>
  <c r="U5" i="3"/>
  <c r="R4" i="2" s="1"/>
  <c r="S5" i="3"/>
  <c r="P4" i="2" s="1"/>
  <c r="R5" i="3"/>
  <c r="O4" i="2" s="1"/>
  <c r="P5" i="3"/>
  <c r="M4" i="2" s="1"/>
  <c r="O5" i="3"/>
  <c r="L4" i="2" s="1"/>
  <c r="N5" i="3"/>
  <c r="K4" i="2" s="1"/>
  <c r="M5" i="3"/>
  <c r="J4" i="2" s="1"/>
  <c r="K5" i="3"/>
  <c r="H4" i="2" s="1"/>
  <c r="L5" i="2" s="1"/>
  <c r="J5" i="3"/>
  <c r="G4" i="2" s="1"/>
  <c r="I5" i="3"/>
  <c r="F4" i="2" s="1"/>
  <c r="H5" i="3"/>
  <c r="E4" i="2" s="1"/>
  <c r="G5" i="3"/>
  <c r="D4" i="2" s="1"/>
  <c r="F5" i="3"/>
  <c r="C4" i="2" s="1"/>
  <c r="AA5" i="2" l="1"/>
  <c r="V5" i="2"/>
  <c r="Q5" i="2"/>
  <c r="V8" i="2"/>
  <c r="Q8" i="2"/>
  <c r="AA8" i="2"/>
  <c r="AF8" i="2"/>
  <c r="L8" i="2"/>
  <c r="G8" i="2"/>
  <c r="AF2" i="2"/>
  <c r="AE2" i="2"/>
  <c r="AD2" i="2"/>
  <c r="AC2" i="2"/>
  <c r="AB2" i="2"/>
  <c r="AA2" i="2"/>
  <c r="Z2" i="2"/>
  <c r="Y2" i="2"/>
  <c r="X2" i="2"/>
  <c r="W2" i="2"/>
  <c r="V2" i="2"/>
  <c r="U2" i="2"/>
  <c r="T2" i="2"/>
  <c r="S2" i="2"/>
  <c r="R2" i="2"/>
  <c r="Q2" i="2"/>
  <c r="P2" i="2"/>
  <c r="O2" i="2"/>
  <c r="M2" i="2"/>
  <c r="L2" i="2"/>
  <c r="K2" i="2"/>
  <c r="J2" i="2"/>
  <c r="H2" i="2"/>
  <c r="G2" i="2"/>
  <c r="F2" i="2"/>
  <c r="E2" i="2"/>
  <c r="D2" i="2"/>
  <c r="C2" i="2"/>
  <c r="AF1" i="2"/>
  <c r="AE1" i="2"/>
  <c r="AD1" i="2"/>
  <c r="AC1" i="2"/>
  <c r="AB1" i="2"/>
  <c r="AA1" i="2"/>
  <c r="Z1" i="2"/>
  <c r="Y1" i="2"/>
  <c r="X1" i="2"/>
  <c r="W1" i="2"/>
  <c r="V1" i="2"/>
  <c r="U1" i="2"/>
  <c r="T1" i="2"/>
  <c r="S1" i="2"/>
  <c r="R1" i="2"/>
  <c r="Q1" i="2"/>
  <c r="P1" i="2"/>
  <c r="O1" i="2"/>
  <c r="M1" i="2"/>
  <c r="L1" i="2"/>
  <c r="K1" i="2"/>
  <c r="J1" i="2"/>
  <c r="H1" i="2"/>
  <c r="G1" i="2"/>
  <c r="F1" i="2"/>
  <c r="E1" i="2"/>
  <c r="D1" i="2"/>
  <c r="C1" i="2"/>
  <c r="B2" i="2"/>
  <c r="B1" i="2"/>
  <c r="A23" i="3"/>
  <c r="B23" i="3"/>
  <c r="D23" i="3"/>
  <c r="A24" i="3"/>
  <c r="B24" i="3"/>
  <c r="D24" i="3"/>
  <c r="A25" i="3"/>
  <c r="B25" i="3"/>
  <c r="D25" i="3"/>
  <c r="A26" i="3"/>
  <c r="B26" i="3"/>
  <c r="D26" i="3"/>
  <c r="A27" i="3"/>
  <c r="B27" i="3"/>
  <c r="D27" i="3"/>
  <c r="A22" i="3"/>
  <c r="B22" i="3"/>
  <c r="D22" i="3"/>
  <c r="D19" i="3" l="1"/>
  <c r="D20" i="3"/>
  <c r="B21" i="3"/>
  <c r="D21" i="3"/>
  <c r="D18" i="3"/>
  <c r="A19" i="3" l="1"/>
  <c r="A20" i="3"/>
  <c r="A21" i="3"/>
  <c r="A18" i="3"/>
</calcChain>
</file>

<file path=xl/sharedStrings.xml><?xml version="1.0" encoding="utf-8"?>
<sst xmlns="http://schemas.openxmlformats.org/spreadsheetml/2006/main" count="383" uniqueCount="224">
  <si>
    <t>Digital Power Competentiehuis</t>
  </si>
  <si>
    <t>Competentiegebieden</t>
  </si>
  <si>
    <t>Question list</t>
  </si>
  <si>
    <t>Example competence area</t>
  </si>
  <si>
    <t>For each situation, enter the corresponding value for the most appropriate competency description</t>
  </si>
  <si>
    <t>Instructions</t>
  </si>
  <si>
    <t>Example competency</t>
  </si>
  <si>
    <t>Competency level to date</t>
  </si>
  <si>
    <t>Desired competency level</t>
  </si>
  <si>
    <t>Input value</t>
  </si>
  <si>
    <t>Each competency area (6), which can be recognized by the different colours, consists of a number of specific competencies.
Determine for each competency where your ambition (desired competency level) lies and where you are now (competency level to date).
- Do this by scoring yourself on the indicated scale (see example)
- If you have no ambition (yet) for a competence, you keep the score that reflects toward your current competency level.
Determine for each competency which description best fits the situation (present/desired). Do not only look at knowledge and skills, but also at the sphere of influence and degree of (personal) leadership in your role with the customer.
Create your desired profile based on your ambition! And develop those competencies that give substance to the realization of this ambition.
The aim is not to test whether or not you are a good consultant within this domain. The goal is that you develop competencies that match your ambition.
Be realistic when filling it out. Only then will you use it to its full potential.
Good luck!</t>
  </si>
  <si>
    <t>Competency description example: Acts on competency A with customers.</t>
  </si>
  <si>
    <t>Competency description example: Acts with customers in addition to competency A, also on competency B.</t>
  </si>
  <si>
    <t>Competency description example: Acts with customers in addition to competency A , B,  and also on competency C.</t>
  </si>
  <si>
    <t>Competency description example: Acts with customers in addition to competency A, B, C, and also on competency D.</t>
  </si>
  <si>
    <t>Competency description example: Acts with customers in addition to competency A, B, C, D and also on competency E.</t>
  </si>
  <si>
    <t>Digital Power basic competencies</t>
  </si>
  <si>
    <t>Learning &amp; reflection</t>
  </si>
  <si>
    <t xml:space="preserve">Has a growth mindset </t>
  </si>
  <si>
    <t>Receives positive and constructive feedback with an open attitude, is able to use this for self-reflection, incorporate it into their own development and undertake the necessary development with training and courses.</t>
  </si>
  <si>
    <t>In addition to the indicated external stimulus (feedback from others), is able to remain critical of their own knowledge and lack of experience. Takes the necessary actions in this respect and takes control of their own development.</t>
  </si>
  <si>
    <t>Takes on an exemplary role in the previously indicated competencies and also actively promotes them by taking on a guiding role to juniors and mediors.</t>
  </si>
  <si>
    <t>Takes on a leadership role in the indicated competencies and actively carries this  out in the role of supervisor and/or by taking responsibility within the organisation.</t>
  </si>
  <si>
    <t>Support &amp; collaboration</t>
  </si>
  <si>
    <t>Has a collaborative mindset</t>
  </si>
  <si>
    <t>Is helpful and involved with both internal and external colleagues</t>
  </si>
  <si>
    <t>Actively seeks cooperation. Both within and outside the team that they are (temporarily) part of.</t>
  </si>
  <si>
    <t>Acts like an example in seeking cooperation. Takes responsibility to support others and provides assistance to ensure team members become self-reliant in their work.</t>
  </si>
  <si>
    <t>-</t>
  </si>
  <si>
    <t>Entrepreneurial &amp; result-oriented</t>
  </si>
  <si>
    <t>Has an entrepreneurial &amp; result-oriented mindset</t>
  </si>
  <si>
    <t>Focused on acting effectively and delivering agreed work on time, within the agreed timeframe.</t>
  </si>
  <si>
    <t>In addition to the previously mentioned competencies, is able to recognize opportunities and be proactive in helping customers and/or furthering profile of DiP. Is able to translate customer objectives into concrete and practical actions.</t>
  </si>
  <si>
    <t>In addition to the previously mentioned competencies, able to increase commercial activities (such as increasing hours, generating additional assignments, etc.). Develops projects within DiP and oversees and/or guides them towards the intended result.</t>
  </si>
  <si>
    <t>In addition to the previously mentioned competencies, is responsible for the development of a specialism within DiP. This includes ensuring expertise in this domain continuously develops and stays up-to-date with the market.</t>
  </si>
  <si>
    <t>Customer-oriented</t>
  </si>
  <si>
    <t>Has a customer-oriented mindset</t>
  </si>
  <si>
    <t>Recognizes customer needs and interests; adopts a helpful attitude and takes the needs and interests of the customer into account in their work.</t>
  </si>
  <si>
    <t>In addition to the previously mentioned competencies, actively thinks along with the client. Shares insights of the client organization within DiP in order to further expand commercial activities. Actively strives to increase customer satisfaction and improve quality of work.</t>
  </si>
  <si>
    <t>In addition to the previously mentioned competencies, stimulates and facilitates others to actively act in a customer-oriented manner. Is able to expand customer activity through expertise. Exceeds customer expectations.</t>
  </si>
  <si>
    <t>In addition to the previously mentioned competencies, bears responsibility for a customer-oriented approach. Is committed to maintaining a high level of customer focus on a structural basis.</t>
  </si>
  <si>
    <t>Knowledge sharing</t>
  </si>
  <si>
    <t>Actively learns from the DiP organisation.</t>
  </si>
  <si>
    <t>Learns from the DiP organization and actively shares own experiences with colleagues.</t>
  </si>
  <si>
    <t>In addition to the previously stated competencies, actively shares own experiences and knowledge in DiP meet-ups, peer groups and provides training, etc. Also shares knowledge externally in meet-ups, conferences, training courses, blogs, inspiration sessions, etc.</t>
  </si>
  <si>
    <t>In addition to the previously stated activities, can act as a source of information for other consultants through acquired knowledge and experience. Also contributes to the team spirit.</t>
  </si>
  <si>
    <t>In addition to the previously mentioned activities, bears responsibility for the level of knowledge sharing. Ensures that knowledge sharing remains up to date in terms of content and frequency.</t>
  </si>
  <si>
    <t>Coaching &amp; guidance</t>
  </si>
  <si>
    <t>Has never (in)formally provided coaching or guidance in a professional field</t>
  </si>
  <si>
    <t>Has followed one or more trainings/courses about coaching and/or guiding in a professional field.</t>
  </si>
  <si>
    <t>Has informally coached and/or supervised one or more colleagues (within DiP) in the professional field.</t>
  </si>
  <si>
    <t>Formally supervises one or more junior/medior consultants (within DiP) in their professional development.</t>
  </si>
  <si>
    <t>Has formally supervised one or more junior/medior/senior consultants in their professional development (within DiP) for more than 4 years.</t>
  </si>
  <si>
    <t>Data Analytics domain competencies</t>
  </si>
  <si>
    <t>Domain knowledge</t>
  </si>
  <si>
    <t>Has educational experience in processing and interpreting data</t>
  </si>
  <si>
    <t>Has some work experience. Can estimate which variables are necessary for an isssue, how to validate them, and apply them</t>
  </si>
  <si>
    <t>Has gained experience with several clients &amp; fields of work</t>
  </si>
  <si>
    <t>Has knowledge of multiple disciplines next to DA and can make proposals to achieve synergy between disciplines in the organisation</t>
  </si>
  <si>
    <t>Is actively working on improving the collaboration between different disciplines within organisations</t>
  </si>
  <si>
    <t>Metrics, KPI's and goals</t>
  </si>
  <si>
    <t xml:space="preserve">Understands the importance of data and measurability </t>
  </si>
  <si>
    <t>Understands the difference between KPIs and regular metrics</t>
  </si>
  <si>
    <t>Can translate goals into measurable KPIs, for example in a KPI framework (north-star, etc)</t>
  </si>
  <si>
    <t>Actively takes responsibility and guides clients, departments or colleagues in steering towards KPIs that align with business goals</t>
  </si>
  <si>
    <t>Is relentless in emphasizing and pushing organization-wide KPIs and how these are manifested in the lower layers of the organization. Does not run away from discussions on negotiating (ghost)KPIs that affect personnel without these being officially labelled as organization-wide KPI</t>
  </si>
  <si>
    <t>Mathematics &amp; statistics</t>
  </si>
  <si>
    <t xml:space="preserve">Knows the basics of statistics, mathematics and arithmetics </t>
  </si>
  <si>
    <t>Has basic knowledge of mathematics (e.g. weighted average, order of operations) and statistics (e.g. z-test, regression, significance)</t>
  </si>
  <si>
    <t>Knows which statistical test or analysis to use and knows how to perform it independently</t>
  </si>
  <si>
    <t>Can present themselves as a medior data scientist on a statistical level (apart from coding skills)</t>
  </si>
  <si>
    <t>Can present themselves as a senior data scientist on a statistical level (apart from coding skills)</t>
  </si>
  <si>
    <t>Data interpretation &amp; analysis</t>
  </si>
  <si>
    <t>Is aware of what assumptions are and how you can test these against certain variables</t>
  </si>
  <si>
    <t>Correctly uses the analysis process</t>
  </si>
  <si>
    <t>Has applied various methods of analysis (funnel, clustering, heatmaps)
Has basic knowledge of R/Python and the possibilities within DA
Has knowledge of query tools (SQL, Big Query)</t>
  </si>
  <si>
    <t>Can argue for required methods of analysis to tacke the problem at hand, and in doing so ensures the alignment of definitions and measurements/methods. Is responsible for the analysis process and providing advice on business operations beyond the department. Focuses on new research directions and hypotheses.</t>
  </si>
  <si>
    <t>Is responsible for the analysis process and proactive in pushing uniformity in measurement methods and defintions within the organization. Ensures action is taken on data-driven conclusions. Spots opportunities for organization-wide optimizations based on analyses</t>
  </si>
  <si>
    <t>Dashboarding &amp; reporting</t>
  </si>
  <si>
    <t>Understands the purpose of a dashboard, knows how to read and interpret it</t>
  </si>
  <si>
    <t>Is actively engaged in visualizing data and continuously looking for the best way to let the data speak for itself using visualization guidelines</t>
  </si>
  <si>
    <t>Actively engages in transferring data in presentations/reports/dashboards. Can gather requirements from stakeholders and process them iteratively. Knows how to increase the adoption of a dashboard</t>
  </si>
  <si>
    <t>Tests all metrics that emerge in presentations/dashboards/reports in an organization. Focuses on why we want to know this/why we want to measure this/what do we want to do with this</t>
  </si>
  <si>
    <t>Actively advises organizations to visualize and report their KPIs and ascribes importance to making these insights available throughout the organization</t>
  </si>
  <si>
    <t>Data Analytics Hardskills</t>
  </si>
  <si>
    <t>Tool knowledge</t>
  </si>
  <si>
    <t>Has basic experience with Word/Powerpoint/Excel or similar tools</t>
  </si>
  <si>
    <t>Has work experience with 1 or 2 recent analysis tools and has basic knowledge of related tools other than analysis tools (Ad management, tag management, A|B-testing, voice of customer, etc.)</t>
  </si>
  <si>
    <t>Has work experience with multiple analysis tools and is skilled in at least one of them to the extent that they have given/can give training about it internally/externally</t>
  </si>
  <si>
    <t>Is seen as an expert in several recent tools and is therefore often a point of contact (POC) for questions about this/these tool(s). Has provided training in multiple tools or skills</t>
  </si>
  <si>
    <t>In addition to the above, has given advice on (purchase of) tools</t>
  </si>
  <si>
    <t>Implementation &amp; data collection</t>
  </si>
  <si>
    <t>Has global understanding of where data can come from (web/app/server/api)</t>
  </si>
  <si>
    <t>Has basic knowledge of tagging, global understanding of the technical part of web/app</t>
  </si>
  <si>
    <t>Is critical of data/context/data quality
Has an understanding of technical structure web/app
Competent in drawing up tag/measurement plans
Competent in implementing tag/measurement plans
Can suggest improvements to these points</t>
  </si>
  <si>
    <t>Has experience in applying/improving/implementing information facilities in large organizations (where requirements and coordination go beyond the team)</t>
  </si>
  <si>
    <t>Has led projects in which an organization transitioned/started with new implementation of a data collection system</t>
  </si>
  <si>
    <t>Data processing</t>
  </si>
  <si>
    <t>Understands the concepts of where data can come from (web/app/server/api)</t>
  </si>
  <si>
    <t>Knows how data can be made usable for analysis or other (visualisation) purpose(s) and can also execute this themselves</t>
  </si>
  <si>
    <t>Has knowledge of query tools (e.g. SQL, BigQuery) and has combined multiple data sources for analyses. Has basic knowledge of R &amp; Python and possibilities within DA</t>
  </si>
  <si>
    <t xml:space="preserve">Can independently combine multiple data sources and knows how to correctly prepare this data for use in analyses </t>
  </si>
  <si>
    <t>Can create and link data sources themselves and advises organizations on how best to make data available (towards DE)</t>
  </si>
  <si>
    <t>Data visualisation</t>
  </si>
  <si>
    <t>Has visualized data in presentations/Word/Excel/Powerpoint/InDesign/etc.</t>
  </si>
  <si>
    <t>Has basic knowledge of one analytics- and visualization tool (Firebase/GA/Adobe/etc.)</t>
  </si>
  <si>
    <t>Expert in at least one analytics- and visualization tool</t>
  </si>
  <si>
    <t>Has worked with multiple analytics- and visualization tools and is aware of the differences between tools. Can advise customers on which one is most suitable for them</t>
  </si>
  <si>
    <t>Can visualize data in multiple ways and is not limited to SaaS solutions, knows how to visualize data in other ways. Can advise in choice of visualization tool.</t>
  </si>
  <si>
    <t>Legal &amp; ethical boundaries</t>
  </si>
  <si>
    <t>Is aware of the existence of the GDPR</t>
  </si>
  <si>
    <t>Is familiar with the legal requirements regarding privacy (GDPR, data storage, data collection, data breach, etc.) and takes these into account in own work</t>
  </si>
  <si>
    <t>Proactively advises clients on legal requirements and implications surrounding privacy</t>
  </si>
  <si>
    <t>In addition to the above, also takes into account ethical considerations and implications in own work. Notifies others of this aspect.</t>
  </si>
  <si>
    <t>Proactively advises clients on the ethical considerations and implications of choices made.</t>
  </si>
  <si>
    <t>Basic consultancy competencies</t>
  </si>
  <si>
    <t>Advising</t>
  </si>
  <si>
    <t>Gives advice on questions from the direct business (stakeholders). Mostly operationally.</t>
  </si>
  <si>
    <t>In addition to the previously mentioned competencies, provides proactive advice on related analyses and insights. Is able to view insights from perspectives other than their own business (stakeholders) and involves them in the process.</t>
  </si>
  <si>
    <t>In addition to the previously mentioned competencies, provides advice with an organization-wide impact.</t>
  </si>
  <si>
    <t>In addition to the previously mentioned competencies, gives advice at management and/or organizational level.</t>
  </si>
  <si>
    <t xml:space="preserve">Decisive &amp; problem-solving </t>
  </si>
  <si>
    <t>Has a curious and pragmatic mindset.</t>
  </si>
  <si>
    <t>Able to ask critical questions within your department/project. Able to come up with a suitable solution for your own business (stakeholders).</t>
  </si>
  <si>
    <t>In addition to the previously mentioned competencies, is able to get to the core of the problem with a departmental and/or assignment-transcending impact. Able to address this and come to a solution that is more widely supported.</t>
  </si>
  <si>
    <t>In addition to the previously mentioned competencies, able to get to the core of the problem with an organization-wide impact.</t>
  </si>
  <si>
    <t>In addition to the previously mentioned competencies, able to get to the core of the problem with an organization-wide impact. Able to address this and come to a solution that is supported throughout the organization.</t>
  </si>
  <si>
    <t>Interpersonal communication</t>
  </si>
  <si>
    <t>Has an accessible attitude.</t>
  </si>
  <si>
    <t>Has a visible and approachable demeanor. Is a good listener and provides feedback and is able to put themselves in others' shoes.</t>
  </si>
  <si>
    <t>In addition to the previously mentioned competencies, adopts an assertive attitude and maintains a healthy balance between moving along with the client and guarding one's own boundaries.</t>
  </si>
  <si>
    <t>In addition to the previously mentioned competencies, actively promotes communication between yourself and your client(s). And also with the team(s) and department(s) you work with.</t>
  </si>
  <si>
    <t>In addition to the previously mentioned competencies, actively provides tools and resources to shape and promote communication between teams and departments.</t>
  </si>
  <si>
    <t>Expectation management</t>
  </si>
  <si>
    <t>Tests expectations of his/her work; way of working, scope, goal, timelines, content, etc.</t>
  </si>
  <si>
    <t>In addition to the previously mentioned competency, makes an inventory of the underlying interests. Takes this information into account when setting priorities and proactively communicates this.</t>
  </si>
  <si>
    <t>Sets and discusses expectations from personal and/or DiP interests and takes the initiative in determining cooperation, scope, priorities, goal, timelines, content, etc.</t>
  </si>
  <si>
    <t>Sets expectations and actively ensures that the interests and expectations of all parties involved are expressed and coordinated in the best possible way.</t>
  </si>
  <si>
    <t>Written and oral communication (presentation, proposal, result, advice)</t>
  </si>
  <si>
    <t>Speaks ánd writes comprehensible and correct Dutch and English for a business target group. Is well understood in both volume and pronunciation.</t>
  </si>
  <si>
    <t>In addition to the previously mentioned competencies, adjusts the speaking and/or writing style to the intended goal or target group. Is clear and to-the-point, so that the message is well understood. Checks whether the message has come across correctly.</t>
  </si>
  <si>
    <t>In addition to the previously mentioned competencies, is able to make complex subjects understandable to others and displays a collaborative attitude.</t>
  </si>
  <si>
    <t>Applies situational communication in addition to the previously mentioned competencies. You give implicit guidance to the outcome of the verbal transaction (presentation, bila, conversation, advice, etc.)</t>
  </si>
  <si>
    <t>In addition to the previously mentioned competencies, applies situational leadership in which implicit control shifts to explicit control or leadership.</t>
  </si>
  <si>
    <t>Business competencies</t>
  </si>
  <si>
    <t>Organizational and management identification</t>
  </si>
  <si>
    <t>Has no/little knowledge of organizational structure at a client.</t>
  </si>
  <si>
    <t>Has knowledge of organizational structure at a client.</t>
  </si>
  <si>
    <t>Has a sense of relationships within the organization. Recognizes interests of stakeholders.</t>
  </si>
  <si>
    <t>Has feeling for relationships within the organization. Recognizes stakeholder interests and overlooks consequences of approach and makes connections with other stakeholders and/or issues.</t>
  </si>
  <si>
    <t>Is positioned as Business Analyst</t>
  </si>
  <si>
    <t>Strategic conceptualization</t>
  </si>
  <si>
    <t>Is able to recognize operational strategy and goals</t>
  </si>
  <si>
    <t>Is able to connect and conceptualize operational strategy and goals</t>
  </si>
  <si>
    <t>Is able to connect and conceptualize strategy and goals of management and operations</t>
  </si>
  <si>
    <t>Is able to connect and conceptualize strategy and goals of the board, management and operations</t>
  </si>
  <si>
    <t>Is positioned as a Strategist</t>
  </si>
  <si>
    <t>Project management</t>
  </si>
  <si>
    <t>Kept client and/or stakeholders informed of progress on own assignment or project schedule</t>
  </si>
  <si>
    <t>Kept client and stakeholders informed of progress on project or assignment schedule</t>
  </si>
  <si>
    <t>Has managed one or more projects without using a methodical approach</t>
  </si>
  <si>
    <t>Has managed one or more projects using project management methods such as (Agile, Scrum, Kanban, Lean, Six Sigma, Prince2, etc.)</t>
  </si>
  <si>
    <t>Is positioned as a Project Manager/ Product Owner</t>
  </si>
  <si>
    <t>Change management (towards data-driven work)</t>
  </si>
  <si>
    <t>Has never experienced a change process toward data-driven work</t>
  </si>
  <si>
    <t>Has participated and played an active role in one or more change processes towards data-driven work</t>
  </si>
  <si>
    <t>Has led one or more change processes towards data-driven work, without using a methodical approach</t>
  </si>
  <si>
    <t>Has led one or more change processes towards data-driven work using a methodical approach</t>
  </si>
  <si>
    <t>Is positioned as a Change Manager</t>
  </si>
  <si>
    <t>Leadership</t>
  </si>
  <si>
    <t>Has never (in)formally led in the field of data</t>
  </si>
  <si>
    <t>Participated in assignments and/or projects in the field of data</t>
  </si>
  <si>
    <t>Recognizes strategic data opportunities and has actively participated in this by taking on an advisory role</t>
  </si>
  <si>
    <t>Demonstrates leadership and has acted as the driving force behind strategic data choices in one or more assignments</t>
  </si>
  <si>
    <t>Has acted from a leadership position in one or more assignments as a driving force behind strategic choices in the area of data</t>
  </si>
  <si>
    <t>Expert consultancy competencies</t>
  </si>
  <si>
    <t>Situational communication</t>
  </si>
  <si>
    <t>Adopts a communication style that is true to themselves.</t>
  </si>
  <si>
    <t>Is aware of own communication style and effect on conversational partners.</t>
  </si>
  <si>
    <t xml:space="preserve">In addition to the above, has knowledge of different situations and communication styles and actively uses this knowledge to adapt own communication. </t>
  </si>
  <si>
    <t>In addition to previously mentioned competencies, uses situational communication/situational leadership to provide direction.</t>
  </si>
  <si>
    <t>In addition to previously mentioned, uses situational leadership in management.</t>
  </si>
  <si>
    <t>Goal-oriented &amp; effective communication</t>
  </si>
  <si>
    <t>Communicates in a structured manner and avoids technical jargon.</t>
  </si>
  <si>
    <t>In addition to the above, communicates in a no-nonsense, purposeful way, so that content, goal, and expectations are clear to (all) partners and/or participants within the project.</t>
  </si>
  <si>
    <t xml:space="preserve">Uses the above mentioned competencies on a cross-departmental level. Knows how to bring the parties involved towards the intended goal by means of catchy examples, stimulating propositions and outlining (implication) scenarios. </t>
  </si>
  <si>
    <t>Uses previously mentioned competencies at the organizational level.</t>
  </si>
  <si>
    <t>Decision-making</t>
  </si>
  <si>
    <t>Makes independent, informed decisions and is accountable for them.</t>
  </si>
  <si>
    <t>In addition to previously mentioned, has made decisions that require courage and boldness due to the difficult nature of the decision, within your project or assignment.</t>
  </si>
  <si>
    <t>In addition to the above-mentioned setting, has to take difficult decisions that have an impact on the project or assignment.</t>
  </si>
  <si>
    <t>In addition to the above-mentioned setting, has to take difficult decisions that have a cross-departmental impact.</t>
  </si>
  <si>
    <t>In addition to previously mentioned setting, had to make difficult decisions that had organization-wide impact.</t>
  </si>
  <si>
    <t>Persuading &amp; influencing</t>
  </si>
  <si>
    <t>Has confidence in own ability and judgment when presenting findings and opinions.</t>
  </si>
  <si>
    <t>In addition to the competencies mentioned above, acts with self-confidence when explaining (their own) views and opinions. Listens and seeks connection to create a win-win situation.</t>
  </si>
  <si>
    <t>In addition to previously mentioned competencies, when persuading and influencing, makes active use of thought-provoking statements and illustrations to promote position taking. Is able to recognize communication and behavioral styles and to adapt his/her own communication and/or behavioral style accordingly.</t>
  </si>
  <si>
    <t>Uses previously mentioned competencies to effectively provide direction and leadership in a broader setting (team, department, organization, etc.)</t>
  </si>
  <si>
    <t>Constructive (negative) feedback &amp; bad news conversations</t>
  </si>
  <si>
    <t>Has given constructive feedback when asked.</t>
  </si>
  <si>
    <t>In addition to the previously mentioned, has given unsolicited constructive feedback when dealing with an equal power relationship (peers/ consultants).</t>
  </si>
  <si>
    <t>In addition to the mentioned competencies, has given unsolicited constructive feedback in an unequal power relationship (manager/client) and has been able to turn this into a future-proof situation and/or relationship.</t>
  </si>
  <si>
    <t>In addition to the previously mentioned, has held a bad news conversation in the role of supervising consultant/manager, has had to take a position and turn it into a future-proof situation.</t>
  </si>
  <si>
    <t>In addition to previously mentioned, has held a bad news conversation from the supervising consultant/leadership role, had to take a stand in it and make a negative decision.</t>
  </si>
  <si>
    <t>1. Digital Power Basic Skills</t>
  </si>
  <si>
    <t>2. Domain Skills</t>
  </si>
  <si>
    <t>3. Hardskills</t>
  </si>
  <si>
    <t>4. Basic Consultancy Skills</t>
  </si>
  <si>
    <t>5. Business Skills</t>
  </si>
  <si>
    <t>6. Expert Consultancy Skills</t>
  </si>
  <si>
    <t>Written and oral communication</t>
  </si>
  <si>
    <t>Change management</t>
  </si>
  <si>
    <t>ID</t>
  </si>
  <si>
    <t>Name</t>
  </si>
  <si>
    <t>Function</t>
  </si>
  <si>
    <t>Specialization</t>
  </si>
  <si>
    <t>Current</t>
  </si>
  <si>
    <t>You (mandatory)</t>
  </si>
  <si>
    <t>Reviewer 1 (optional)</t>
  </si>
  <si>
    <t>Reviewer 2 (optional)</t>
  </si>
  <si>
    <t>Ambition</t>
  </si>
  <si>
    <t>Score current situation</t>
  </si>
  <si>
    <t>Total average</t>
  </si>
  <si>
    <t>Score ambition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</si>
</sst>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font>
      <sz val="11"/>
      <color theme="1"/>
      <name val="Calibri"/>
      <family val="2"/>
      <scheme val="minor"/>
    </font>
    <font>
      <sz val="11"/>
      <color theme="1"/>
      <name val="Calibri"/>
      <family val="2"/>
      <scheme val="minor"/>
    </font>
    <font>
      <sz val="8"/>
      <name val="Calibri"/>
      <family val="2"/>
      <scheme val="minor"/>
    </font>
    <font>
      <b/>
      <sz val="16"/>
      <color theme="1"/>
      <name val="Calibri"/>
      <family val="2"/>
      <scheme val="minor"/>
    </font>
    <font>
      <b/>
      <sz val="11"/>
      <color theme="1"/>
      <name val="Calibri"/>
      <family val="2"/>
      <scheme val="minor"/>
    </font>
    <font>
      <i/>
      <sz val="11"/>
      <color theme="1"/>
      <name val="Calibri"/>
      <family val="2"/>
      <scheme val="minor"/>
    </font>
    <font>
      <sz val="11"/>
      <color theme="1"/>
      <name val="Calibri Light"/>
      <family val="2"/>
      <scheme val="major"/>
    </font>
    <font>
      <b/>
      <sz val="20"/>
      <color theme="1"/>
      <name val="Calibri"/>
      <family val="2"/>
      <scheme val="minor"/>
    </font>
    <font>
      <i/>
      <sz val="11"/>
      <color theme="0" tint="-0.34998626667073579"/>
      <name val="Calibri"/>
      <family val="2"/>
      <scheme val="minor"/>
    </font>
    <font>
      <b/>
      <sz val="11"/>
      <color theme="0"/>
      <name val="Calibri"/>
      <family val="2"/>
      <scheme val="minor"/>
    </font>
    <font>
      <b/>
      <sz val="18"/>
      <color theme="1"/>
      <name val="Calibri"/>
      <family val="2"/>
      <scheme val="minor"/>
    </font>
    <font>
      <b/>
      <sz val="18"/>
      <color theme="0"/>
      <name val="Calibri"/>
      <family val="2"/>
      <scheme val="minor"/>
    </font>
    <font>
      <u/>
      <sz val="11"/>
      <color theme="1"/>
      <name val="Calibri"/>
      <family val="2"/>
      <scheme val="minor"/>
    </font>
    <font>
      <b/>
      <i/>
      <sz val="11"/>
      <color theme="1"/>
      <name val="Calibri"/>
      <family val="2"/>
      <scheme val="minor"/>
    </font>
    <font>
      <b/>
      <i/>
      <sz val="18"/>
      <color theme="1"/>
      <name val="Calibri"/>
      <family val="2"/>
      <scheme val="minor"/>
    </font>
    <font>
      <i/>
      <strike/>
      <sz val="11"/>
      <color rgb="FFFF0000"/>
      <name val="Calibri"/>
      <family val="2"/>
      <scheme val="minor"/>
    </font>
    <font>
      <sz val="11"/>
      <color rgb="FF000000"/>
      <name val="Calibri"/>
      <family val="2"/>
    </font>
  </fonts>
  <fills count="12">
    <fill>
      <patternFill patternType="none"/>
    </fill>
    <fill>
      <patternFill patternType="gray125"/>
    </fill>
    <fill>
      <patternFill patternType="solid">
        <fgColor theme="0" tint="-0.14999847407452621"/>
        <bgColor indexed="64"/>
      </patternFill>
    </fill>
    <fill>
      <patternFill patternType="solid">
        <fgColor rgb="FF92D050"/>
        <bgColor indexed="64"/>
      </patternFill>
    </fill>
    <fill>
      <patternFill patternType="solid">
        <fgColor theme="5"/>
        <bgColor indexed="64"/>
      </patternFill>
    </fill>
    <fill>
      <patternFill patternType="solid">
        <fgColor rgb="FFFF0000"/>
        <bgColor indexed="64"/>
      </patternFill>
    </fill>
    <fill>
      <patternFill patternType="solid">
        <fgColor theme="0"/>
        <bgColor indexed="64"/>
      </patternFill>
    </fill>
    <fill>
      <patternFill patternType="solid">
        <fgColor rgb="FF5A8A26"/>
        <bgColor indexed="64"/>
      </patternFill>
    </fill>
    <fill>
      <patternFill patternType="solid">
        <fgColor theme="7"/>
        <bgColor indexed="64"/>
      </patternFill>
    </fill>
    <fill>
      <patternFill patternType="solid">
        <fgColor rgb="FFC0E399"/>
        <bgColor indexed="64"/>
      </patternFill>
    </fill>
    <fill>
      <patternFill patternType="solid">
        <fgColor rgb="FF00B0F0"/>
        <bgColor indexed="64"/>
      </patternFill>
    </fill>
    <fill>
      <patternFill patternType="solid">
        <fgColor rgb="FF43661C"/>
        <bgColor indexed="64"/>
      </patternFill>
    </fill>
  </fills>
  <borders count="4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medium">
        <color indexed="64"/>
      </right>
      <top style="thin">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top style="hair">
        <color indexed="64"/>
      </top>
      <bottom/>
      <diagonal/>
    </border>
    <border>
      <left/>
      <right/>
      <top style="hair">
        <color indexed="64"/>
      </top>
      <bottom/>
      <diagonal/>
    </border>
    <border>
      <left/>
      <right style="medium">
        <color indexed="64"/>
      </right>
      <top style="thin">
        <color indexed="64"/>
      </top>
      <bottom style="medium">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thin">
        <color indexed="64"/>
      </top>
      <bottom/>
      <diagonal/>
    </border>
    <border>
      <left style="medium">
        <color indexed="64"/>
      </left>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hair">
        <color indexed="64"/>
      </left>
      <right/>
      <top style="thin">
        <color indexed="64"/>
      </top>
      <bottom style="hair">
        <color indexed="64"/>
      </bottom>
      <diagonal/>
    </border>
    <border>
      <left/>
      <right/>
      <top style="hair">
        <color indexed="64"/>
      </top>
      <bottom style="hair">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s>
  <cellStyleXfs count="2">
    <xf numFmtId="0" fontId="0" fillId="0" borderId="0"/>
    <xf numFmtId="9" fontId="1" fillId="0" borderId="0" applyFont="0" applyFill="0" applyBorder="0" applyAlignment="0" applyProtection="0"/>
  </cellStyleXfs>
  <cellXfs count="142">
    <xf numFmtId="0" fontId="0" fillId="0" borderId="0" xfId="0"/>
    <xf numFmtId="0" fontId="0" fillId="0" borderId="0" xfId="0" applyAlignment="1">
      <alignment wrapText="1"/>
    </xf>
    <xf numFmtId="0" fontId="0" fillId="0" borderId="1" xfId="0" applyBorder="1"/>
    <xf numFmtId="0" fontId="0" fillId="0" borderId="2" xfId="0" applyBorder="1"/>
    <xf numFmtId="0" fontId="0" fillId="0" borderId="3" xfId="0" applyBorder="1"/>
    <xf numFmtId="0" fontId="0" fillId="2" borderId="3" xfId="0" applyFill="1" applyBorder="1"/>
    <xf numFmtId="0" fontId="0" fillId="0" borderId="5" xfId="0" applyBorder="1"/>
    <xf numFmtId="0" fontId="0" fillId="0" borderId="9" xfId="0" applyBorder="1"/>
    <xf numFmtId="0" fontId="0" fillId="0" borderId="5" xfId="0" applyBorder="1" applyAlignment="1">
      <alignment textRotation="90" wrapText="1"/>
    </xf>
    <xf numFmtId="0" fontId="0" fillId="0" borderId="1" xfId="0" applyBorder="1" applyAlignment="1">
      <alignment textRotation="90" wrapText="1"/>
    </xf>
    <xf numFmtId="0" fontId="0" fillId="0" borderId="2" xfId="0" applyBorder="1" applyAlignment="1">
      <alignment textRotation="90" wrapText="1"/>
    </xf>
    <xf numFmtId="0" fontId="0" fillId="0" borderId="5" xfId="0" applyBorder="1" applyAlignment="1">
      <alignment horizontal="center" textRotation="90" wrapText="1"/>
    </xf>
    <xf numFmtId="0" fontId="0" fillId="0" borderId="1" xfId="0" applyBorder="1" applyAlignment="1">
      <alignment horizontal="center" textRotation="90" wrapText="1"/>
    </xf>
    <xf numFmtId="0" fontId="0" fillId="0" borderId="6"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5" xfId="0" applyBorder="1" applyAlignment="1">
      <alignment horizontal="center"/>
    </xf>
    <xf numFmtId="0" fontId="0" fillId="0" borderId="1" xfId="0" applyBorder="1" applyAlignment="1">
      <alignment horizontal="center"/>
    </xf>
    <xf numFmtId="0" fontId="0" fillId="0" borderId="6" xfId="0" applyBorder="1" applyAlignment="1">
      <alignment horizontal="center"/>
    </xf>
    <xf numFmtId="0" fontId="0" fillId="0" borderId="4" xfId="0" applyBorder="1" applyAlignment="1">
      <alignment horizontal="center"/>
    </xf>
    <xf numFmtId="0" fontId="0" fillId="0" borderId="2" xfId="0" applyBorder="1" applyAlignment="1">
      <alignment horizontal="center"/>
    </xf>
    <xf numFmtId="0" fontId="0" fillId="2" borderId="7" xfId="0" applyFill="1" applyBorder="1" applyAlignment="1">
      <alignment horizontal="center"/>
    </xf>
    <xf numFmtId="0" fontId="0" fillId="2" borderId="3" xfId="0" applyFill="1" applyBorder="1" applyAlignment="1">
      <alignment horizontal="center"/>
    </xf>
    <xf numFmtId="0" fontId="0" fillId="2" borderId="8"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0" fillId="0" borderId="0" xfId="0" applyAlignment="1">
      <alignment horizontal="center"/>
    </xf>
    <xf numFmtId="0" fontId="0" fillId="3" borderId="1" xfId="0" applyFill="1" applyBorder="1"/>
    <xf numFmtId="0" fontId="0" fillId="0" borderId="27" xfId="0" applyBorder="1" applyAlignment="1">
      <alignment horizontal="center"/>
    </xf>
    <xf numFmtId="0" fontId="0" fillId="0" borderId="28" xfId="0" applyBorder="1" applyAlignment="1">
      <alignment horizontal="center"/>
    </xf>
    <xf numFmtId="164" fontId="0" fillId="0" borderId="20" xfId="0" applyNumberFormat="1" applyBorder="1" applyAlignment="1">
      <alignment horizontal="center"/>
    </xf>
    <xf numFmtId="164" fontId="0" fillId="0" borderId="19" xfId="0" applyNumberFormat="1" applyBorder="1" applyAlignment="1">
      <alignment horizontal="center"/>
    </xf>
    <xf numFmtId="0" fontId="4" fillId="2" borderId="7" xfId="0" applyFont="1" applyFill="1" applyBorder="1"/>
    <xf numFmtId="0" fontId="0" fillId="4" borderId="1" xfId="0" applyFill="1" applyBorder="1"/>
    <xf numFmtId="0" fontId="0" fillId="0" borderId="34" xfId="0" applyBorder="1" applyAlignment="1">
      <alignment horizontal="center"/>
    </xf>
    <xf numFmtId="0" fontId="0" fillId="0" borderId="10" xfId="0" applyBorder="1" applyAlignment="1">
      <alignment textRotation="90" wrapText="1"/>
    </xf>
    <xf numFmtId="0" fontId="0" fillId="0" borderId="11" xfId="0" applyBorder="1" applyAlignment="1">
      <alignment textRotation="90" wrapText="1"/>
    </xf>
    <xf numFmtId="0" fontId="0" fillId="0" borderId="12" xfId="0" applyBorder="1" applyAlignment="1">
      <alignment textRotation="90" wrapText="1"/>
    </xf>
    <xf numFmtId="0" fontId="0" fillId="0" borderId="10" xfId="0" applyBorder="1" applyAlignment="1">
      <alignment horizontal="center" textRotation="90" wrapText="1"/>
    </xf>
    <xf numFmtId="0" fontId="0" fillId="0" borderId="11" xfId="0" applyBorder="1" applyAlignment="1">
      <alignment horizontal="center" textRotation="90" wrapText="1"/>
    </xf>
    <xf numFmtId="0" fontId="0" fillId="0" borderId="12" xfId="0" applyBorder="1" applyAlignment="1">
      <alignment horizontal="center" textRotation="90" wrapText="1"/>
    </xf>
    <xf numFmtId="0" fontId="0" fillId="0" borderId="13" xfId="0" applyBorder="1" applyAlignment="1">
      <alignment horizontal="center" textRotation="90" wrapText="1"/>
    </xf>
    <xf numFmtId="0" fontId="0" fillId="0" borderId="14" xfId="0" applyBorder="1" applyAlignment="1">
      <alignment horizontal="center" textRotation="90" wrapText="1"/>
    </xf>
    <xf numFmtId="0" fontId="0" fillId="5" borderId="15" xfId="0" applyFill="1" applyBorder="1" applyAlignment="1">
      <alignment horizontal="center"/>
    </xf>
    <xf numFmtId="0" fontId="0" fillId="5" borderId="16" xfId="0" applyFill="1" applyBorder="1" applyAlignment="1">
      <alignment horizontal="center"/>
    </xf>
    <xf numFmtId="0" fontId="0" fillId="5" borderId="17" xfId="0" applyFill="1" applyBorder="1" applyAlignment="1">
      <alignment horizontal="center"/>
    </xf>
    <xf numFmtId="0" fontId="0" fillId="5" borderId="29" xfId="0" applyFill="1" applyBorder="1" applyAlignment="1">
      <alignment horizontal="center"/>
    </xf>
    <xf numFmtId="0" fontId="0" fillId="5" borderId="33" xfId="0" applyFill="1" applyBorder="1" applyAlignment="1">
      <alignment horizontal="center"/>
    </xf>
    <xf numFmtId="0" fontId="3" fillId="6" borderId="0" xfId="0" applyFont="1" applyFill="1"/>
    <xf numFmtId="0" fontId="0" fillId="6" borderId="0" xfId="0" applyFill="1"/>
    <xf numFmtId="0" fontId="0" fillId="6" borderId="0" xfId="0" applyFill="1" applyAlignment="1">
      <alignment wrapText="1"/>
    </xf>
    <xf numFmtId="0" fontId="0" fillId="6" borderId="30" xfId="0" applyFill="1" applyBorder="1"/>
    <xf numFmtId="0" fontId="0" fillId="6" borderId="10" xfId="0" applyFill="1" applyBorder="1" applyAlignment="1">
      <alignment horizontal="center" textRotation="90" wrapText="1"/>
    </xf>
    <xf numFmtId="0" fontId="0" fillId="6" borderId="11" xfId="0" applyFill="1" applyBorder="1" applyAlignment="1">
      <alignment horizontal="center" textRotation="90" wrapText="1"/>
    </xf>
    <xf numFmtId="0" fontId="0" fillId="6" borderId="12" xfId="0" applyFill="1" applyBorder="1" applyAlignment="1">
      <alignment horizontal="center" textRotation="90" wrapText="1"/>
    </xf>
    <xf numFmtId="0" fontId="0" fillId="6" borderId="13" xfId="0" applyFill="1" applyBorder="1" applyAlignment="1">
      <alignment horizontal="center" textRotation="90" wrapText="1"/>
    </xf>
    <xf numFmtId="0" fontId="0" fillId="6" borderId="14" xfId="0" applyFill="1" applyBorder="1" applyAlignment="1">
      <alignment horizontal="center" textRotation="90" wrapText="1"/>
    </xf>
    <xf numFmtId="0" fontId="0" fillId="6" borderId="9" xfId="0" applyFill="1" applyBorder="1"/>
    <xf numFmtId="0" fontId="0" fillId="6" borderId="5" xfId="0" applyFill="1" applyBorder="1" applyAlignment="1">
      <alignment horizontal="center" textRotation="90" wrapText="1"/>
    </xf>
    <xf numFmtId="0" fontId="0" fillId="6" borderId="1" xfId="0" applyFill="1" applyBorder="1" applyAlignment="1">
      <alignment horizontal="center" textRotation="90" wrapText="1"/>
    </xf>
    <xf numFmtId="0" fontId="0" fillId="6" borderId="2" xfId="0" applyFill="1" applyBorder="1" applyAlignment="1">
      <alignment horizontal="center" textRotation="90" wrapText="1"/>
    </xf>
    <xf numFmtId="0" fontId="0" fillId="6" borderId="6" xfId="0" applyFill="1" applyBorder="1" applyAlignment="1">
      <alignment horizontal="center" textRotation="90" wrapText="1"/>
    </xf>
    <xf numFmtId="0" fontId="0" fillId="6" borderId="4" xfId="0" applyFill="1" applyBorder="1" applyAlignment="1">
      <alignment horizontal="center" textRotation="90" wrapText="1"/>
    </xf>
    <xf numFmtId="0" fontId="0" fillId="6" borderId="5" xfId="0" applyFill="1" applyBorder="1" applyAlignment="1">
      <alignment horizontal="center" wrapText="1"/>
    </xf>
    <xf numFmtId="0" fontId="0" fillId="6" borderId="1" xfId="0" applyFill="1" applyBorder="1" applyAlignment="1">
      <alignment horizontal="center" wrapText="1"/>
    </xf>
    <xf numFmtId="0" fontId="0" fillId="6" borderId="2" xfId="0" applyFill="1" applyBorder="1" applyAlignment="1">
      <alignment horizontal="center" wrapText="1"/>
    </xf>
    <xf numFmtId="0" fontId="0" fillId="6" borderId="6" xfId="0" applyFill="1" applyBorder="1" applyAlignment="1">
      <alignment horizontal="center" wrapText="1"/>
    </xf>
    <xf numFmtId="0" fontId="0" fillId="6" borderId="4" xfId="0" applyFill="1" applyBorder="1" applyAlignment="1">
      <alignment horizontal="center" wrapText="1"/>
    </xf>
    <xf numFmtId="164" fontId="0" fillId="6" borderId="31" xfId="0" applyNumberFormat="1" applyFill="1" applyBorder="1"/>
    <xf numFmtId="164" fontId="0" fillId="6" borderId="18" xfId="1" applyNumberFormat="1" applyFont="1" applyFill="1" applyBorder="1" applyAlignment="1">
      <alignment horizontal="center" wrapText="1"/>
    </xf>
    <xf numFmtId="164" fontId="0" fillId="6" borderId="19" xfId="1" applyNumberFormat="1" applyFont="1" applyFill="1" applyBorder="1" applyAlignment="1">
      <alignment horizontal="center" wrapText="1"/>
    </xf>
    <xf numFmtId="164" fontId="0" fillId="6" borderId="27" xfId="1" applyNumberFormat="1" applyFont="1" applyFill="1" applyBorder="1" applyAlignment="1">
      <alignment horizontal="center" wrapText="1"/>
    </xf>
    <xf numFmtId="164" fontId="0" fillId="6" borderId="20" xfId="1" applyNumberFormat="1" applyFont="1" applyFill="1" applyBorder="1" applyAlignment="1">
      <alignment horizontal="center" wrapText="1"/>
    </xf>
    <xf numFmtId="164" fontId="0" fillId="6" borderId="32" xfId="0" applyNumberFormat="1" applyFill="1" applyBorder="1"/>
    <xf numFmtId="164" fontId="0" fillId="6" borderId="21" xfId="1" applyNumberFormat="1" applyFont="1" applyFill="1" applyBorder="1" applyAlignment="1">
      <alignment horizontal="center" wrapText="1"/>
    </xf>
    <xf numFmtId="164" fontId="0" fillId="6" borderId="22" xfId="1" applyNumberFormat="1" applyFont="1" applyFill="1" applyBorder="1" applyAlignment="1">
      <alignment horizontal="center" wrapText="1"/>
    </xf>
    <xf numFmtId="164" fontId="0" fillId="6" borderId="26" xfId="1" applyNumberFormat="1" applyFont="1" applyFill="1" applyBorder="1" applyAlignment="1">
      <alignment horizontal="center" wrapText="1"/>
    </xf>
    <xf numFmtId="164" fontId="0" fillId="6" borderId="0" xfId="0" applyNumberFormat="1" applyFill="1"/>
    <xf numFmtId="164" fontId="0" fillId="6" borderId="0" xfId="1" applyNumberFormat="1" applyFont="1" applyFill="1" applyBorder="1" applyAlignment="1">
      <alignment horizontal="center" wrapText="1"/>
    </xf>
    <xf numFmtId="164" fontId="0" fillId="6" borderId="8" xfId="0" applyNumberFormat="1" applyFill="1" applyBorder="1"/>
    <xf numFmtId="164" fontId="0" fillId="6" borderId="23" xfId="0" applyNumberFormat="1" applyFill="1" applyBorder="1"/>
    <xf numFmtId="164" fontId="0" fillId="6" borderId="24" xfId="1" applyNumberFormat="1" applyFont="1" applyFill="1" applyBorder="1" applyAlignment="1">
      <alignment horizontal="center" wrapText="1"/>
    </xf>
    <xf numFmtId="164" fontId="0" fillId="6" borderId="25" xfId="1" applyNumberFormat="1" applyFont="1" applyFill="1" applyBorder="1" applyAlignment="1">
      <alignment horizontal="center" wrapText="1"/>
    </xf>
    <xf numFmtId="0" fontId="0" fillId="6" borderId="0" xfId="0" applyFill="1" applyAlignment="1">
      <alignment horizontal="center" wrapText="1"/>
    </xf>
    <xf numFmtId="0" fontId="8" fillId="0" borderId="1" xfId="0" applyFont="1" applyBorder="1" applyAlignment="1">
      <alignment vertical="center" wrapText="1"/>
    </xf>
    <xf numFmtId="0" fontId="0" fillId="0" borderId="0" xfId="0" applyAlignment="1">
      <alignment vertical="center" wrapText="1"/>
    </xf>
    <xf numFmtId="0" fontId="0" fillId="0" borderId="0" xfId="0" applyAlignment="1">
      <alignment horizontal="center" vertical="center" wrapText="1"/>
    </xf>
    <xf numFmtId="0" fontId="6" fillId="0" borderId="0" xfId="0" quotePrefix="1" applyFont="1" applyAlignment="1">
      <alignment vertical="center" wrapText="1"/>
    </xf>
    <xf numFmtId="0" fontId="5"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8" fillId="0" borderId="1" xfId="0" applyFont="1" applyBorder="1" applyAlignment="1">
      <alignment horizontal="center" vertical="center" wrapText="1"/>
    </xf>
    <xf numFmtId="0" fontId="5" fillId="0" borderId="0" xfId="0" applyFont="1" applyAlignment="1">
      <alignment horizontal="center" vertical="center" wrapText="1"/>
    </xf>
    <xf numFmtId="0" fontId="9" fillId="11" borderId="1" xfId="0" applyFont="1" applyFill="1" applyBorder="1" applyAlignment="1">
      <alignment vertical="center" wrapText="1"/>
    </xf>
    <xf numFmtId="0" fontId="4" fillId="10" borderId="1" xfId="0" applyFont="1" applyFill="1" applyBorder="1" applyAlignment="1">
      <alignment vertical="center" wrapText="1"/>
    </xf>
    <xf numFmtId="0" fontId="4" fillId="9" borderId="1" xfId="0" applyFont="1" applyFill="1" applyBorder="1" applyAlignment="1">
      <alignment vertical="center" wrapText="1"/>
    </xf>
    <xf numFmtId="0" fontId="4" fillId="8" borderId="1" xfId="0" applyFont="1" applyFill="1" applyBorder="1" applyAlignment="1">
      <alignment vertical="center" wrapText="1"/>
    </xf>
    <xf numFmtId="0" fontId="4" fillId="4" borderId="1" xfId="0" applyFont="1" applyFill="1" applyBorder="1" applyAlignment="1">
      <alignment vertical="center" wrapText="1"/>
    </xf>
    <xf numFmtId="0" fontId="13" fillId="2" borderId="1" xfId="0" applyFont="1" applyFill="1" applyBorder="1" applyAlignment="1">
      <alignment vertical="center" wrapText="1"/>
    </xf>
    <xf numFmtId="0" fontId="9" fillId="7" borderId="1" xfId="0" applyFont="1" applyFill="1" applyBorder="1" applyAlignment="1">
      <alignment vertical="center" wrapText="1"/>
    </xf>
    <xf numFmtId="0" fontId="7" fillId="0" borderId="0" xfId="0" applyFont="1" applyAlignment="1">
      <alignment vertical="center"/>
    </xf>
    <xf numFmtId="0" fontId="12" fillId="0" borderId="0" xfId="0" applyFont="1" applyAlignment="1">
      <alignment vertical="center" wrapText="1"/>
    </xf>
    <xf numFmtId="0" fontId="4" fillId="4" borderId="1"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9" fillId="11" borderId="1" xfId="0" applyFont="1" applyFill="1" applyBorder="1" applyAlignment="1">
      <alignment horizontal="center" vertical="center" wrapText="1"/>
    </xf>
    <xf numFmtId="0" fontId="0" fillId="0" borderId="1" xfId="0" quotePrefix="1" applyBorder="1" applyAlignment="1">
      <alignment vertical="center" wrapText="1"/>
    </xf>
    <xf numFmtId="0" fontId="14" fillId="2" borderId="1" xfId="0" applyFont="1" applyFill="1" applyBorder="1" applyAlignment="1">
      <alignment vertical="center" wrapText="1"/>
    </xf>
    <xf numFmtId="0" fontId="10" fillId="4" borderId="1" xfId="0" applyFont="1" applyFill="1" applyBorder="1" applyAlignment="1">
      <alignment vertical="center" wrapText="1"/>
    </xf>
    <xf numFmtId="0" fontId="11" fillId="7" borderId="1" xfId="0" applyFont="1" applyFill="1" applyBorder="1" applyAlignment="1">
      <alignment vertical="center" wrapText="1"/>
    </xf>
    <xf numFmtId="0" fontId="10" fillId="8" borderId="1" xfId="0" applyFont="1" applyFill="1" applyBorder="1" applyAlignment="1">
      <alignment vertical="center" wrapText="1"/>
    </xf>
    <xf numFmtId="0" fontId="10" fillId="9" borderId="1" xfId="0" applyFont="1" applyFill="1" applyBorder="1" applyAlignment="1">
      <alignment vertical="center" wrapText="1"/>
    </xf>
    <xf numFmtId="0" fontId="10" fillId="10" borderId="1" xfId="0" applyFont="1" applyFill="1" applyBorder="1" applyAlignment="1">
      <alignment vertical="center" wrapText="1"/>
    </xf>
    <xf numFmtId="0" fontId="11" fillId="11" borderId="1" xfId="0" applyFont="1" applyFill="1" applyBorder="1" applyAlignment="1">
      <alignment vertical="center" wrapText="1"/>
    </xf>
    <xf numFmtId="0" fontId="6" fillId="0" borderId="0" xfId="0" quotePrefix="1" applyFont="1" applyAlignment="1">
      <alignment vertical="top" wrapText="1"/>
    </xf>
    <xf numFmtId="0" fontId="15" fillId="0" borderId="1" xfId="0" applyFont="1" applyBorder="1" applyAlignment="1">
      <alignment horizontal="center" vertical="center" wrapText="1"/>
    </xf>
    <xf numFmtId="0" fontId="0" fillId="0" borderId="1" xfId="0" applyBorder="1" applyAlignment="1">
      <alignment wrapText="1"/>
    </xf>
    <xf numFmtId="0" fontId="0" fillId="0" borderId="43" xfId="0" applyBorder="1" applyAlignment="1">
      <alignment vertical="center" wrapText="1"/>
    </xf>
    <xf numFmtId="0" fontId="16" fillId="0" borderId="44" xfId="0" applyFont="1" applyBorder="1" applyAlignment="1">
      <alignment wrapText="1"/>
    </xf>
    <xf numFmtId="0" fontId="0" fillId="0" borderId="4" xfId="0" applyBorder="1" applyAlignment="1">
      <alignment horizontal="center" vertical="center" wrapText="1"/>
    </xf>
    <xf numFmtId="0" fontId="4" fillId="4" borderId="45" xfId="0" applyFont="1" applyFill="1" applyBorder="1" applyAlignment="1">
      <alignment vertical="center" wrapText="1"/>
    </xf>
    <xf numFmtId="0" fontId="0" fillId="0" borderId="44" xfId="0" applyBorder="1" applyAlignment="1">
      <alignment vertical="center" wrapText="1"/>
    </xf>
    <xf numFmtId="0" fontId="4" fillId="9" borderId="45" xfId="0" applyFont="1" applyFill="1" applyBorder="1" applyAlignment="1">
      <alignment vertical="center" wrapText="1"/>
    </xf>
    <xf numFmtId="0" fontId="14" fillId="2" borderId="2" xfId="0" applyFont="1" applyFill="1" applyBorder="1" applyAlignment="1">
      <alignment horizontal="left" vertical="center" wrapText="1"/>
    </xf>
    <xf numFmtId="0" fontId="14" fillId="2" borderId="3" xfId="0" applyFont="1" applyFill="1" applyBorder="1" applyAlignment="1">
      <alignment horizontal="left" vertical="center" wrapText="1"/>
    </xf>
    <xf numFmtId="0" fontId="14" fillId="2" borderId="4" xfId="0" applyFont="1" applyFill="1" applyBorder="1" applyAlignment="1">
      <alignment horizontal="left" vertical="center" wrapText="1"/>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6" fillId="0" borderId="36" xfId="0" quotePrefix="1" applyFont="1" applyBorder="1" applyAlignment="1">
      <alignment horizontal="left" vertical="center" wrapText="1"/>
    </xf>
    <xf numFmtId="0" fontId="6" fillId="0" borderId="35" xfId="0" quotePrefix="1" applyFont="1" applyBorder="1" applyAlignment="1">
      <alignment horizontal="left" vertical="center" wrapText="1"/>
    </xf>
    <xf numFmtId="0" fontId="6" fillId="0" borderId="37" xfId="0" quotePrefix="1" applyFont="1" applyBorder="1" applyAlignment="1">
      <alignment horizontal="left" vertical="center" wrapText="1"/>
    </xf>
    <xf numFmtId="0" fontId="6" fillId="0" borderId="38" xfId="0" quotePrefix="1" applyFont="1" applyBorder="1" applyAlignment="1">
      <alignment horizontal="left" vertical="center" wrapText="1"/>
    </xf>
    <xf numFmtId="0" fontId="6" fillId="0" borderId="0" xfId="0" quotePrefix="1" applyFont="1" applyAlignment="1">
      <alignment horizontal="left" vertical="center" wrapText="1"/>
    </xf>
    <xf numFmtId="0" fontId="6" fillId="0" borderId="39" xfId="0" quotePrefix="1" applyFont="1" applyBorder="1" applyAlignment="1">
      <alignment horizontal="left" vertical="center" wrapText="1"/>
    </xf>
    <xf numFmtId="0" fontId="6" fillId="0" borderId="40" xfId="0" quotePrefix="1" applyFont="1" applyBorder="1" applyAlignment="1">
      <alignment horizontal="left" vertical="center" wrapText="1"/>
    </xf>
    <xf numFmtId="0" fontId="6" fillId="0" borderId="41" xfId="0" quotePrefix="1" applyFont="1" applyBorder="1" applyAlignment="1">
      <alignment horizontal="left" vertical="center" wrapText="1"/>
    </xf>
    <xf numFmtId="0" fontId="6" fillId="0" borderId="42" xfId="0" quotePrefix="1" applyFont="1" applyBorder="1" applyAlignment="1">
      <alignment horizontal="left" vertical="center" wrapText="1"/>
    </xf>
  </cellXfs>
  <cellStyles count="2">
    <cellStyle name="Normal" xfId="0" builtinId="0"/>
    <cellStyle name="Percent" xfId="1" builtinId="5"/>
  </cellStyles>
  <dxfs count="0"/>
  <tableStyles count="0" defaultTableStyle="TableStyleMedium2" defaultPivotStyle="PivotStyleLight16"/>
  <colors>
    <mruColors>
      <color rgb="FF43661C"/>
      <color rgb="FFC0E399"/>
      <color rgb="FF5A8A2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Current skills versus ambition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7594743873608794"/>
          <c:y val="0.25376519047835783"/>
          <c:w val="0.27077314927609569"/>
          <c:h val="0.57539294221170334"/>
        </c:manualLayout>
      </c:layout>
      <c:radarChart>
        <c:radarStyle val="marker"/>
        <c:varyColors val="0"/>
        <c:ser>
          <c:idx val="0"/>
          <c:order val="0"/>
          <c:tx>
            <c:v>Current</c:v>
          </c:tx>
          <c:spPr>
            <a:ln w="28575" cap="rnd">
              <a:solidFill>
                <a:schemeClr val="accent6"/>
              </a:solidFill>
              <a:round/>
            </a:ln>
            <a:effectLst/>
          </c:spPr>
          <c:marker>
            <c:symbol val="none"/>
          </c:marker>
          <c:cat>
            <c:strRef>
              <c:f>('Results (DO NOT EDIT!!)'!$B$1,'Results (DO NOT EDIT!!)'!$H$1,'Results (DO NOT EDIT!!)'!$M$1,'Results (DO NOT EDIT!!)'!$R$1,'Results (DO NOT EDIT!!)'!$W$1,'Results (DO NOT EDIT!!)'!$AB$1)</c:f>
              <c:strCache>
                <c:ptCount val="6"/>
                <c:pt idx="0">
                  <c:v>1. Digital Power Basic Skills</c:v>
                </c:pt>
                <c:pt idx="1">
                  <c:v>2. Domain Skills</c:v>
                </c:pt>
                <c:pt idx="2">
                  <c:v>3. Hardskills</c:v>
                </c:pt>
                <c:pt idx="3">
                  <c:v>4. Basic Consultancy Skills</c:v>
                </c:pt>
                <c:pt idx="4">
                  <c:v>5. Business Skills</c:v>
                </c:pt>
                <c:pt idx="5">
                  <c:v>6. Expert Consultancy Skills</c:v>
                </c:pt>
              </c:strCache>
            </c:strRef>
          </c:cat>
          <c:val>
            <c:numRef>
              <c:f>('Results (DO NOT EDIT!!)'!$G$5,'Results (DO NOT EDIT!!)'!$L$5,'Results (DO NOT EDIT!!)'!$Q$5,'Results (DO NOT EDIT!!)'!$V$5,'Results (DO NOT EDIT!!)'!$AA$5,'Results (DO NOT EDIT!!)'!$AF$5)</c:f>
              <c:numCache>
                <c:formatCode>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C5BA-4625-A9B8-C580A2F73E64}"/>
            </c:ext>
          </c:extLst>
        </c:ser>
        <c:ser>
          <c:idx val="1"/>
          <c:order val="1"/>
          <c:tx>
            <c:v>Ambition</c:v>
          </c:tx>
          <c:spPr>
            <a:ln w="28575" cap="rnd">
              <a:solidFill>
                <a:schemeClr val="accent5"/>
              </a:solidFill>
              <a:round/>
            </a:ln>
            <a:effectLst/>
          </c:spPr>
          <c:marker>
            <c:symbol val="none"/>
          </c:marker>
          <c:cat>
            <c:strRef>
              <c:f>('Results (DO NOT EDIT!!)'!$B$1,'Results (DO NOT EDIT!!)'!$H$1,'Results (DO NOT EDIT!!)'!$M$1,'Results (DO NOT EDIT!!)'!$R$1,'Results (DO NOT EDIT!!)'!$W$1,'Results (DO NOT EDIT!!)'!$AB$1)</c:f>
              <c:strCache>
                <c:ptCount val="6"/>
                <c:pt idx="0">
                  <c:v>1. Digital Power Basic Skills</c:v>
                </c:pt>
                <c:pt idx="1">
                  <c:v>2. Domain Skills</c:v>
                </c:pt>
                <c:pt idx="2">
                  <c:v>3. Hardskills</c:v>
                </c:pt>
                <c:pt idx="3">
                  <c:v>4. Basic Consultancy Skills</c:v>
                </c:pt>
                <c:pt idx="4">
                  <c:v>5. Business Skills</c:v>
                </c:pt>
                <c:pt idx="5">
                  <c:v>6. Expert Consultancy Skills</c:v>
                </c:pt>
              </c:strCache>
            </c:strRef>
          </c:cat>
          <c:val>
            <c:numRef>
              <c:f>('Results (DO NOT EDIT!!)'!$G$8,'Results (DO NOT EDIT!!)'!$L$8,'Results (DO NOT EDIT!!)'!$Q$8,'Results (DO NOT EDIT!!)'!$V$8,'Results (DO NOT EDIT!!)'!$AA$8,'Results (DO NOT EDIT!!)'!$AF$8)</c:f>
              <c:numCache>
                <c:formatCode>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2-C5BA-4625-A9B8-C580A2F73E64}"/>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Digital</a:t>
            </a:r>
            <a:r>
              <a:rPr lang="en-US" baseline="0"/>
              <a:t> Power Basic Skills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Current</c:v>
          </c:tx>
          <c:spPr>
            <a:ln w="28575" cap="rnd">
              <a:solidFill>
                <a:schemeClr val="accent6"/>
              </a:solidFill>
              <a:round/>
            </a:ln>
            <a:effectLst/>
          </c:spPr>
          <c:marker>
            <c:symbol val="none"/>
          </c:marker>
          <c:cat>
            <c:strRef>
              <c:f>'Results (DO NOT EDIT!!)'!$B$2:$G$2</c:f>
              <c:strCache>
                <c:ptCount val="6"/>
                <c:pt idx="0">
                  <c:v>Learning &amp; reflection</c:v>
                </c:pt>
                <c:pt idx="1">
                  <c:v>Support &amp; collaboration</c:v>
                </c:pt>
                <c:pt idx="2">
                  <c:v>Entrepreneurial &amp; result-oriented</c:v>
                </c:pt>
                <c:pt idx="3">
                  <c:v>Customer-oriented</c:v>
                </c:pt>
                <c:pt idx="4">
                  <c:v>Knowledge sharing</c:v>
                </c:pt>
                <c:pt idx="5">
                  <c:v>Coaching &amp; guidance</c:v>
                </c:pt>
              </c:strCache>
            </c:strRef>
          </c:cat>
          <c:val>
            <c:numRef>
              <c:f>'Results (DO NOT EDIT!!)'!$B$4:$G$4</c:f>
              <c:numCache>
                <c:formatCode>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05D7-42BA-BBE3-A651293613B5}"/>
            </c:ext>
          </c:extLst>
        </c:ser>
        <c:ser>
          <c:idx val="1"/>
          <c:order val="1"/>
          <c:tx>
            <c:v>Ambition</c:v>
          </c:tx>
          <c:spPr>
            <a:ln w="28575" cap="rnd">
              <a:solidFill>
                <a:schemeClr val="accent5"/>
              </a:solidFill>
              <a:round/>
            </a:ln>
            <a:effectLst/>
          </c:spPr>
          <c:marker>
            <c:symbol val="none"/>
          </c:marker>
          <c:cat>
            <c:strRef>
              <c:f>'Results (DO NOT EDIT!!)'!$B$2:$G$2</c:f>
              <c:strCache>
                <c:ptCount val="6"/>
                <c:pt idx="0">
                  <c:v>Learning &amp; reflection</c:v>
                </c:pt>
                <c:pt idx="1">
                  <c:v>Support &amp; collaboration</c:v>
                </c:pt>
                <c:pt idx="2">
                  <c:v>Entrepreneurial &amp; result-oriented</c:v>
                </c:pt>
                <c:pt idx="3">
                  <c:v>Customer-oriented</c:v>
                </c:pt>
                <c:pt idx="4">
                  <c:v>Knowledge sharing</c:v>
                </c:pt>
                <c:pt idx="5">
                  <c:v>Coaching &amp; guidance</c:v>
                </c:pt>
              </c:strCache>
            </c:strRef>
          </c:cat>
          <c:val>
            <c:numRef>
              <c:f>'Results (DO NOT EDIT!!)'!$B$7:$G$7</c:f>
              <c:numCache>
                <c:formatCode>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05D7-42BA-BBE3-A651293613B5}"/>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Domain Skills (DA)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Current</c:v>
          </c:tx>
          <c:spPr>
            <a:ln w="28575" cap="rnd">
              <a:solidFill>
                <a:schemeClr val="accent6"/>
              </a:solidFill>
              <a:round/>
            </a:ln>
            <a:effectLst/>
          </c:spPr>
          <c:marker>
            <c:symbol val="none"/>
          </c:marker>
          <c:cat>
            <c:strRef>
              <c:f>'Results (DO NOT EDIT!!)'!$H$2:$L$2</c:f>
              <c:strCache>
                <c:ptCount val="5"/>
                <c:pt idx="0">
                  <c:v>Domain knowledge</c:v>
                </c:pt>
                <c:pt idx="1">
                  <c:v>Metrics, KPI's and goals</c:v>
                </c:pt>
                <c:pt idx="2">
                  <c:v>Mathematics &amp; statistics</c:v>
                </c:pt>
                <c:pt idx="3">
                  <c:v>Data interpretation &amp; analysis</c:v>
                </c:pt>
                <c:pt idx="4">
                  <c:v>Dashboarding &amp; reporting</c:v>
                </c:pt>
              </c:strCache>
            </c:strRef>
          </c:cat>
          <c:val>
            <c:numRef>
              <c:f>'Results (DO NOT EDIT!!)'!$H$4:$L$4</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4121-458C-ABA3-856BD7FC94F5}"/>
            </c:ext>
          </c:extLst>
        </c:ser>
        <c:ser>
          <c:idx val="1"/>
          <c:order val="1"/>
          <c:tx>
            <c:v>Ambition</c:v>
          </c:tx>
          <c:spPr>
            <a:ln w="28575" cap="rnd">
              <a:solidFill>
                <a:schemeClr val="accent5"/>
              </a:solidFill>
              <a:round/>
            </a:ln>
            <a:effectLst/>
          </c:spPr>
          <c:marker>
            <c:symbol val="none"/>
          </c:marker>
          <c:cat>
            <c:strRef>
              <c:f>'Results (DO NOT EDIT!!)'!$H$2:$L$2</c:f>
              <c:strCache>
                <c:ptCount val="5"/>
                <c:pt idx="0">
                  <c:v>Domain knowledge</c:v>
                </c:pt>
                <c:pt idx="1">
                  <c:v>Metrics, KPI's and goals</c:v>
                </c:pt>
                <c:pt idx="2">
                  <c:v>Mathematics &amp; statistics</c:v>
                </c:pt>
                <c:pt idx="3">
                  <c:v>Data interpretation &amp; analysis</c:v>
                </c:pt>
                <c:pt idx="4">
                  <c:v>Dashboarding &amp; reporting</c:v>
                </c:pt>
              </c:strCache>
            </c:strRef>
          </c:cat>
          <c:val>
            <c:numRef>
              <c:f>'Results (DO NOT EDIT!!)'!$H$7:$L$7</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1-4121-458C-ABA3-856BD7FC94F5}"/>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Hardskills (DA)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Current</c:v>
          </c:tx>
          <c:spPr>
            <a:ln w="28575" cap="rnd">
              <a:solidFill>
                <a:schemeClr val="accent6"/>
              </a:solidFill>
              <a:round/>
            </a:ln>
            <a:effectLst/>
          </c:spPr>
          <c:marker>
            <c:symbol val="none"/>
          </c:marker>
          <c:cat>
            <c:strRef>
              <c:f>'Results (DO NOT EDIT!!)'!$M$2:$Q$2</c:f>
              <c:strCache>
                <c:ptCount val="5"/>
                <c:pt idx="0">
                  <c:v>Tool knowledge</c:v>
                </c:pt>
                <c:pt idx="1">
                  <c:v>Implementation &amp; data collection</c:v>
                </c:pt>
                <c:pt idx="2">
                  <c:v>Data processing</c:v>
                </c:pt>
                <c:pt idx="3">
                  <c:v>Data visualisation</c:v>
                </c:pt>
                <c:pt idx="4">
                  <c:v>Legal &amp; ethical boundaries</c:v>
                </c:pt>
              </c:strCache>
            </c:strRef>
          </c:cat>
          <c:val>
            <c:numRef>
              <c:f>'Results (DO NOT EDIT!!)'!$M$4:$Q$4</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F4D2-4679-8459-1DD705E21CE1}"/>
            </c:ext>
          </c:extLst>
        </c:ser>
        <c:ser>
          <c:idx val="1"/>
          <c:order val="1"/>
          <c:tx>
            <c:v>Ambition</c:v>
          </c:tx>
          <c:spPr>
            <a:ln w="28575" cap="rnd">
              <a:solidFill>
                <a:schemeClr val="accent5"/>
              </a:solidFill>
              <a:round/>
            </a:ln>
            <a:effectLst/>
          </c:spPr>
          <c:marker>
            <c:symbol val="none"/>
          </c:marker>
          <c:cat>
            <c:strRef>
              <c:f>'Results (DO NOT EDIT!!)'!$M$2:$Q$2</c:f>
              <c:strCache>
                <c:ptCount val="5"/>
                <c:pt idx="0">
                  <c:v>Tool knowledge</c:v>
                </c:pt>
                <c:pt idx="1">
                  <c:v>Implementation &amp; data collection</c:v>
                </c:pt>
                <c:pt idx="2">
                  <c:v>Data processing</c:v>
                </c:pt>
                <c:pt idx="3">
                  <c:v>Data visualisation</c:v>
                </c:pt>
                <c:pt idx="4">
                  <c:v>Legal &amp; ethical boundaries</c:v>
                </c:pt>
              </c:strCache>
            </c:strRef>
          </c:cat>
          <c:val>
            <c:numRef>
              <c:f>'Results (DO NOT EDIT!!)'!$M$7:$Q$7</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1-F4D2-4679-8459-1DD705E21CE1}"/>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Basic</a:t>
            </a:r>
            <a:r>
              <a:rPr lang="en-US" baseline="0"/>
              <a:t> Consultancy Skills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Current</c:v>
          </c:tx>
          <c:spPr>
            <a:ln w="28575" cap="rnd">
              <a:solidFill>
                <a:schemeClr val="accent6"/>
              </a:solidFill>
              <a:round/>
            </a:ln>
            <a:effectLst/>
          </c:spPr>
          <c:marker>
            <c:symbol val="none"/>
          </c:marker>
          <c:cat>
            <c:strRef>
              <c:f>'Results (DO NOT EDIT!!)'!$R$2:$V$2</c:f>
              <c:strCache>
                <c:ptCount val="5"/>
                <c:pt idx="0">
                  <c:v>Advising</c:v>
                </c:pt>
                <c:pt idx="1">
                  <c:v>Decisive &amp; problem-solving </c:v>
                </c:pt>
                <c:pt idx="2">
                  <c:v>Interpersonal communication</c:v>
                </c:pt>
                <c:pt idx="3">
                  <c:v>Expectation management</c:v>
                </c:pt>
                <c:pt idx="4">
                  <c:v>Written and oral communication</c:v>
                </c:pt>
              </c:strCache>
            </c:strRef>
          </c:cat>
          <c:val>
            <c:numRef>
              <c:f>'Results (DO NOT EDIT!!)'!$R$4:$V$4</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0266-483F-84F6-987AC3E8328C}"/>
            </c:ext>
          </c:extLst>
        </c:ser>
        <c:ser>
          <c:idx val="1"/>
          <c:order val="1"/>
          <c:tx>
            <c:v>Ambition</c:v>
          </c:tx>
          <c:spPr>
            <a:ln w="28575" cap="rnd">
              <a:solidFill>
                <a:schemeClr val="accent5"/>
              </a:solidFill>
              <a:round/>
            </a:ln>
            <a:effectLst/>
          </c:spPr>
          <c:marker>
            <c:symbol val="none"/>
          </c:marker>
          <c:cat>
            <c:strRef>
              <c:f>'Results (DO NOT EDIT!!)'!$R$2:$V$2</c:f>
              <c:strCache>
                <c:ptCount val="5"/>
                <c:pt idx="0">
                  <c:v>Advising</c:v>
                </c:pt>
                <c:pt idx="1">
                  <c:v>Decisive &amp; problem-solving </c:v>
                </c:pt>
                <c:pt idx="2">
                  <c:v>Interpersonal communication</c:v>
                </c:pt>
                <c:pt idx="3">
                  <c:v>Expectation management</c:v>
                </c:pt>
                <c:pt idx="4">
                  <c:v>Written and oral communication</c:v>
                </c:pt>
              </c:strCache>
            </c:strRef>
          </c:cat>
          <c:val>
            <c:numRef>
              <c:f>'Results (DO NOT EDIT!!)'!$R$7:$V$7</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1-0266-483F-84F6-987AC3E8328C}"/>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Spread current versus ambition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filled"/>
        <c:varyColors val="0"/>
        <c:ser>
          <c:idx val="0"/>
          <c:order val="0"/>
          <c:tx>
            <c:strRef>
              <c:f>'Results (DO NOT EDIT!!)'!$A$7</c:f>
              <c:strCache>
                <c:ptCount val="1"/>
                <c:pt idx="0">
                  <c:v>Score ambition</c:v>
                </c:pt>
              </c:strCache>
            </c:strRef>
          </c:tx>
          <c:spPr>
            <a:solidFill>
              <a:schemeClr val="accent6"/>
            </a:solidFill>
            <a:ln w="25400">
              <a:noFill/>
            </a:ln>
            <a:effectLst/>
          </c:spPr>
          <c:cat>
            <c:strRef>
              <c:f>'Results (DO NOT EDIT!!)'!$B$2:$AF$2</c:f>
              <c:strCache>
                <c:ptCount val="31"/>
                <c:pt idx="0">
                  <c:v>Learning &amp; reflection</c:v>
                </c:pt>
                <c:pt idx="1">
                  <c:v>Support &amp; collaboration</c:v>
                </c:pt>
                <c:pt idx="2">
                  <c:v>Entrepreneurial &amp; result-oriented</c:v>
                </c:pt>
                <c:pt idx="3">
                  <c:v>Customer-oriented</c:v>
                </c:pt>
                <c:pt idx="4">
                  <c:v>Knowledge sharing</c:v>
                </c:pt>
                <c:pt idx="5">
                  <c:v>Coaching &amp; guidance</c:v>
                </c:pt>
                <c:pt idx="6">
                  <c:v>Domain knowledge</c:v>
                </c:pt>
                <c:pt idx="7">
                  <c:v>Metrics, KPI's and goals</c:v>
                </c:pt>
                <c:pt idx="8">
                  <c:v>Mathematics &amp; statistics</c:v>
                </c:pt>
                <c:pt idx="9">
                  <c:v>Data interpretation &amp; analysis</c:v>
                </c:pt>
                <c:pt idx="10">
                  <c:v>Dashboarding &amp; reporting</c:v>
                </c:pt>
                <c:pt idx="11">
                  <c:v>Tool knowledge</c:v>
                </c:pt>
                <c:pt idx="12">
                  <c:v>Implementation &amp; data collection</c:v>
                </c:pt>
                <c:pt idx="13">
                  <c:v>Data processing</c:v>
                </c:pt>
                <c:pt idx="14">
                  <c:v>Data visualisation</c:v>
                </c:pt>
                <c:pt idx="15">
                  <c:v>Legal &amp; ethical boundaries</c:v>
                </c:pt>
                <c:pt idx="16">
                  <c:v>Advising</c:v>
                </c:pt>
                <c:pt idx="17">
                  <c:v>Decisive &amp; problem-solving </c:v>
                </c:pt>
                <c:pt idx="18">
                  <c:v>Interpersonal communication</c:v>
                </c:pt>
                <c:pt idx="19">
                  <c:v>Expectation management</c:v>
                </c:pt>
                <c:pt idx="20">
                  <c:v>Written and oral communication</c:v>
                </c:pt>
                <c:pt idx="21">
                  <c:v>Organizational and management identification</c:v>
                </c:pt>
                <c:pt idx="22">
                  <c:v>Strategic conceptualization</c:v>
                </c:pt>
                <c:pt idx="23">
                  <c:v>Project management</c:v>
                </c:pt>
                <c:pt idx="24">
                  <c:v>Change management</c:v>
                </c:pt>
                <c:pt idx="25">
                  <c:v>Leadership</c:v>
                </c:pt>
                <c:pt idx="26">
                  <c:v>Situational communication</c:v>
                </c:pt>
                <c:pt idx="27">
                  <c:v>Goal-oriented &amp; effective communication</c:v>
                </c:pt>
                <c:pt idx="28">
                  <c:v>Decision-making</c:v>
                </c:pt>
                <c:pt idx="29">
                  <c:v>Persuading &amp; influencing</c:v>
                </c:pt>
                <c:pt idx="30">
                  <c:v>Constructive (negative) feedback &amp; bad news conversations</c:v>
                </c:pt>
              </c:strCache>
            </c:strRef>
          </c:cat>
          <c:val>
            <c:numRef>
              <c:f>'Results (DO NOT EDIT!!)'!$B$7:$AF$7</c:f>
              <c:numCache>
                <c:formatCod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1-C510-45C6-AE4C-93012B94423C}"/>
            </c:ext>
          </c:extLst>
        </c:ser>
        <c:ser>
          <c:idx val="1"/>
          <c:order val="1"/>
          <c:tx>
            <c:strRef>
              <c:f>'Results (DO NOT EDIT!!)'!$A$4</c:f>
              <c:strCache>
                <c:ptCount val="1"/>
                <c:pt idx="0">
                  <c:v>Score current situation</c:v>
                </c:pt>
              </c:strCache>
            </c:strRef>
          </c:tx>
          <c:spPr>
            <a:solidFill>
              <a:schemeClr val="accent5"/>
            </a:solidFill>
            <a:ln w="25400">
              <a:noFill/>
            </a:ln>
            <a:effectLst/>
          </c:spPr>
          <c:cat>
            <c:strRef>
              <c:f>'Results (DO NOT EDIT!!)'!$B$2:$AF$2</c:f>
              <c:strCache>
                <c:ptCount val="31"/>
                <c:pt idx="0">
                  <c:v>Learning &amp; reflection</c:v>
                </c:pt>
                <c:pt idx="1">
                  <c:v>Support &amp; collaboration</c:v>
                </c:pt>
                <c:pt idx="2">
                  <c:v>Entrepreneurial &amp; result-oriented</c:v>
                </c:pt>
                <c:pt idx="3">
                  <c:v>Customer-oriented</c:v>
                </c:pt>
                <c:pt idx="4">
                  <c:v>Knowledge sharing</c:v>
                </c:pt>
                <c:pt idx="5">
                  <c:v>Coaching &amp; guidance</c:v>
                </c:pt>
                <c:pt idx="6">
                  <c:v>Domain knowledge</c:v>
                </c:pt>
                <c:pt idx="7">
                  <c:v>Metrics, KPI's and goals</c:v>
                </c:pt>
                <c:pt idx="8">
                  <c:v>Mathematics &amp; statistics</c:v>
                </c:pt>
                <c:pt idx="9">
                  <c:v>Data interpretation &amp; analysis</c:v>
                </c:pt>
                <c:pt idx="10">
                  <c:v>Dashboarding &amp; reporting</c:v>
                </c:pt>
                <c:pt idx="11">
                  <c:v>Tool knowledge</c:v>
                </c:pt>
                <c:pt idx="12">
                  <c:v>Implementation &amp; data collection</c:v>
                </c:pt>
                <c:pt idx="13">
                  <c:v>Data processing</c:v>
                </c:pt>
                <c:pt idx="14">
                  <c:v>Data visualisation</c:v>
                </c:pt>
                <c:pt idx="15">
                  <c:v>Legal &amp; ethical boundaries</c:v>
                </c:pt>
                <c:pt idx="16">
                  <c:v>Advising</c:v>
                </c:pt>
                <c:pt idx="17">
                  <c:v>Decisive &amp; problem-solving </c:v>
                </c:pt>
                <c:pt idx="18">
                  <c:v>Interpersonal communication</c:v>
                </c:pt>
                <c:pt idx="19">
                  <c:v>Expectation management</c:v>
                </c:pt>
                <c:pt idx="20">
                  <c:v>Written and oral communication</c:v>
                </c:pt>
                <c:pt idx="21">
                  <c:v>Organizational and management identification</c:v>
                </c:pt>
                <c:pt idx="22">
                  <c:v>Strategic conceptualization</c:v>
                </c:pt>
                <c:pt idx="23">
                  <c:v>Project management</c:v>
                </c:pt>
                <c:pt idx="24">
                  <c:v>Change management</c:v>
                </c:pt>
                <c:pt idx="25">
                  <c:v>Leadership</c:v>
                </c:pt>
                <c:pt idx="26">
                  <c:v>Situational communication</c:v>
                </c:pt>
                <c:pt idx="27">
                  <c:v>Goal-oriented &amp; effective communication</c:v>
                </c:pt>
                <c:pt idx="28">
                  <c:v>Decision-making</c:v>
                </c:pt>
                <c:pt idx="29">
                  <c:v>Persuading &amp; influencing</c:v>
                </c:pt>
                <c:pt idx="30">
                  <c:v>Constructive (negative) feedback &amp; bad news conversations</c:v>
                </c:pt>
              </c:strCache>
            </c:strRef>
          </c:cat>
          <c:val>
            <c:numRef>
              <c:f>'Results (DO NOT EDIT!!)'!$B$4:$AF$4</c:f>
              <c:numCache>
                <c:formatCod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1-29D5-489B-AF4E-547551B81992}"/>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Business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Current</c:v>
          </c:tx>
          <c:spPr>
            <a:ln w="28575" cap="rnd">
              <a:solidFill>
                <a:schemeClr val="accent6"/>
              </a:solidFill>
              <a:round/>
            </a:ln>
            <a:effectLst/>
          </c:spPr>
          <c:marker>
            <c:symbol val="none"/>
          </c:marker>
          <c:cat>
            <c:strRef>
              <c:f>'Results (DO NOT EDIT!!)'!$W$2:$AA$2</c:f>
              <c:strCache>
                <c:ptCount val="5"/>
                <c:pt idx="0">
                  <c:v>Organizational and management identification</c:v>
                </c:pt>
                <c:pt idx="1">
                  <c:v>Strategic conceptualization</c:v>
                </c:pt>
                <c:pt idx="2">
                  <c:v>Project management</c:v>
                </c:pt>
                <c:pt idx="3">
                  <c:v>Change management</c:v>
                </c:pt>
                <c:pt idx="4">
                  <c:v>Leadership</c:v>
                </c:pt>
              </c:strCache>
            </c:strRef>
          </c:cat>
          <c:val>
            <c:numRef>
              <c:f>'Results (DO NOT EDIT!!)'!$W$4:$AA$4</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324E-4105-8DFF-CB15C206019F}"/>
            </c:ext>
          </c:extLst>
        </c:ser>
        <c:ser>
          <c:idx val="1"/>
          <c:order val="1"/>
          <c:tx>
            <c:v>Ambition</c:v>
          </c:tx>
          <c:spPr>
            <a:ln w="28575" cap="rnd">
              <a:solidFill>
                <a:schemeClr val="accent5"/>
              </a:solidFill>
              <a:round/>
            </a:ln>
            <a:effectLst/>
          </c:spPr>
          <c:marker>
            <c:symbol val="none"/>
          </c:marker>
          <c:cat>
            <c:strRef>
              <c:f>'Results (DO NOT EDIT!!)'!$W$2:$AA$2</c:f>
              <c:strCache>
                <c:ptCount val="5"/>
                <c:pt idx="0">
                  <c:v>Organizational and management identification</c:v>
                </c:pt>
                <c:pt idx="1">
                  <c:v>Strategic conceptualization</c:v>
                </c:pt>
                <c:pt idx="2">
                  <c:v>Project management</c:v>
                </c:pt>
                <c:pt idx="3">
                  <c:v>Change management</c:v>
                </c:pt>
                <c:pt idx="4">
                  <c:v>Leadership</c:v>
                </c:pt>
              </c:strCache>
            </c:strRef>
          </c:cat>
          <c:val>
            <c:numRef>
              <c:f>'Results (DO NOT EDIT!!)'!$W$7:$AA$7</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1-324E-4105-8DFF-CB15C206019F}"/>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Seniority per subcategory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v>Total</c:v>
          </c:tx>
          <c:spPr>
            <a:solidFill>
              <a:schemeClr val="accent6"/>
            </a:solidFill>
            <a:ln>
              <a:noFill/>
            </a:ln>
            <a:effectLst/>
          </c:spPr>
          <c:invertIfNegative val="0"/>
          <c:cat>
            <c:strRef>
              <c:f>('Results (DO NOT EDIT!!)'!$B$1,'Results (DO NOT EDIT!!)'!$H$1,'Results (DO NOT EDIT!!)'!$M$1,'Results (DO NOT EDIT!!)'!$R$1,'Results (DO NOT EDIT!!)'!$W$1)</c:f>
              <c:strCache>
                <c:ptCount val="5"/>
                <c:pt idx="0">
                  <c:v>1. Digital Power Basic Skills</c:v>
                </c:pt>
                <c:pt idx="1">
                  <c:v>2. Domain Skills</c:v>
                </c:pt>
                <c:pt idx="2">
                  <c:v>3. Hardskills</c:v>
                </c:pt>
                <c:pt idx="3">
                  <c:v>4. Basic Consultancy Skills</c:v>
                </c:pt>
                <c:pt idx="4">
                  <c:v>5. Business Skills</c:v>
                </c:pt>
              </c:strCache>
            </c:strRef>
          </c:cat>
          <c:val>
            <c:numRef>
              <c:f>('Results (DO NOT EDIT!!)'!$G$5,'Results (DO NOT EDIT!!)'!$L$5,'Results (DO NOT EDIT!!)'!$Q$5,'Results (DO NOT EDIT!!)'!$V$5,'Results (DO NOT EDIT!!)'!$AA$5,'Results (DO NOT EDIT!!)'!$AF$5)</c:f>
              <c:numCache>
                <c:formatCode>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0B7D-483A-9A45-A65C2D8E1A6F}"/>
            </c:ext>
          </c:extLst>
        </c:ser>
        <c:dLbls>
          <c:showLegendKey val="0"/>
          <c:showVal val="0"/>
          <c:showCatName val="0"/>
          <c:showSerName val="0"/>
          <c:showPercent val="0"/>
          <c:showBubbleSize val="0"/>
        </c:dLbls>
        <c:gapWidth val="182"/>
        <c:axId val="759015720"/>
        <c:axId val="759016048"/>
      </c:barChart>
      <c:catAx>
        <c:axId val="75901572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016048"/>
        <c:crosses val="autoZero"/>
        <c:auto val="1"/>
        <c:lblAlgn val="ctr"/>
        <c:lblOffset val="100"/>
        <c:noMultiLvlLbl val="0"/>
      </c:catAx>
      <c:valAx>
        <c:axId val="759016048"/>
        <c:scaling>
          <c:orientation val="minMax"/>
          <c:max val="5"/>
        </c:scaling>
        <c:delete val="0"/>
        <c:axPos val="t"/>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015720"/>
        <c:crosses val="autoZero"/>
        <c:crossBetween val="between"/>
        <c:maj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Expert Consultancy</a:t>
            </a:r>
            <a:r>
              <a:rPr lang="en-US" baseline="0"/>
              <a:t>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Current</c:v>
          </c:tx>
          <c:spPr>
            <a:ln w="28575" cap="rnd">
              <a:solidFill>
                <a:schemeClr val="accent6"/>
              </a:solidFill>
              <a:round/>
            </a:ln>
            <a:effectLst/>
          </c:spPr>
          <c:marker>
            <c:symbol val="none"/>
          </c:marker>
          <c:cat>
            <c:strRef>
              <c:f>'Results (DO NOT EDIT!!)'!$AB$2:$AF$2</c:f>
              <c:strCache>
                <c:ptCount val="5"/>
                <c:pt idx="0">
                  <c:v>Situational communication</c:v>
                </c:pt>
                <c:pt idx="1">
                  <c:v>Goal-oriented &amp; effective communication</c:v>
                </c:pt>
                <c:pt idx="2">
                  <c:v>Decision-making</c:v>
                </c:pt>
                <c:pt idx="3">
                  <c:v>Persuading &amp; influencing</c:v>
                </c:pt>
                <c:pt idx="4">
                  <c:v>Constructive (negative) feedback &amp; bad news conversations</c:v>
                </c:pt>
              </c:strCache>
            </c:strRef>
          </c:cat>
          <c:val>
            <c:numRef>
              <c:f>'Results (DO NOT EDIT!!)'!$AB$4:$AF$4</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BCB9-42CF-A178-E4F5563D7D2B}"/>
            </c:ext>
          </c:extLst>
        </c:ser>
        <c:ser>
          <c:idx val="1"/>
          <c:order val="1"/>
          <c:tx>
            <c:v>Ambition</c:v>
          </c:tx>
          <c:spPr>
            <a:ln w="28575" cap="rnd">
              <a:solidFill>
                <a:schemeClr val="accent5"/>
              </a:solidFill>
              <a:round/>
            </a:ln>
            <a:effectLst/>
          </c:spPr>
          <c:marker>
            <c:symbol val="none"/>
          </c:marker>
          <c:cat>
            <c:strRef>
              <c:f>'Results (DO NOT EDIT!!)'!$AB$2:$AF$2</c:f>
              <c:strCache>
                <c:ptCount val="5"/>
                <c:pt idx="0">
                  <c:v>Situational communication</c:v>
                </c:pt>
                <c:pt idx="1">
                  <c:v>Goal-oriented &amp; effective communication</c:v>
                </c:pt>
                <c:pt idx="2">
                  <c:v>Decision-making</c:v>
                </c:pt>
                <c:pt idx="3">
                  <c:v>Persuading &amp; influencing</c:v>
                </c:pt>
                <c:pt idx="4">
                  <c:v>Constructive (negative) feedback &amp; bad news conversations</c:v>
                </c:pt>
              </c:strCache>
            </c:strRef>
          </c:cat>
          <c:val>
            <c:numRef>
              <c:f>'Results (DO NOT EDIT!!)'!$AB$7:$AF$7</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1-BCB9-42CF-A178-E4F5563D7D2B}"/>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iagrams/colors1.xml><?xml version="1.0" encoding="utf-8"?>
<dgm:colorsDef xmlns:dgm="http://schemas.openxmlformats.org/drawingml/2006/diagram" xmlns:a="http://schemas.openxmlformats.org/drawingml/2006/main" uniqueId="urn:microsoft.com/office/officeart/2005/8/colors/accent6_1">
  <dgm:title val=""/>
  <dgm:desc val=""/>
  <dgm:catLst>
    <dgm:cat type="accent6" pri="11100"/>
  </dgm:catLst>
  <dgm:styleLbl name="node0">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node1">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alignNode1">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lnNode1">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vennNode1">
    <dgm:fillClrLst meth="repeat">
      <a:schemeClr val="lt1">
        <a:alpha val="50000"/>
      </a:schemeClr>
    </dgm:fillClrLst>
    <dgm:linClrLst meth="repeat">
      <a:schemeClr val="accent6">
        <a:shade val="80000"/>
      </a:schemeClr>
    </dgm:linClrLst>
    <dgm:effectClrLst/>
    <dgm:txLinClrLst/>
    <dgm:txFillClrLst/>
    <dgm:txEffectClrLst/>
  </dgm:styleLbl>
  <dgm:styleLbl name="node2">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node3">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node4">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fgImgPlace1">
    <dgm:fillClrLst meth="repeat">
      <a:schemeClr val="accent6">
        <a:tint val="40000"/>
      </a:schemeClr>
    </dgm:fillClrLst>
    <dgm:linClrLst meth="repeat">
      <a:schemeClr val="accent6">
        <a:shade val="80000"/>
      </a:schemeClr>
    </dgm:linClrLst>
    <dgm:effectClrLst/>
    <dgm:txLinClrLst/>
    <dgm:txFillClrLst meth="repeat">
      <a:schemeClr val="lt1"/>
    </dgm:txFillClrLst>
    <dgm:txEffectClrLst/>
  </dgm:styleLbl>
  <dgm:styleLbl name="alignImgPlace1">
    <dgm:fillClrLst meth="repeat">
      <a:schemeClr val="accent6">
        <a:tint val="40000"/>
      </a:schemeClr>
    </dgm:fillClrLst>
    <dgm:linClrLst meth="repeat">
      <a:schemeClr val="accent6">
        <a:shade val="80000"/>
      </a:schemeClr>
    </dgm:linClrLst>
    <dgm:effectClrLst/>
    <dgm:txLinClrLst/>
    <dgm:txFillClrLst meth="repeat">
      <a:schemeClr val="lt1"/>
    </dgm:txFillClrLst>
    <dgm:txEffectClrLst/>
  </dgm:styleLbl>
  <dgm:styleLbl name="bgImgPlace1">
    <dgm:fillClrLst meth="repeat">
      <a:schemeClr val="accent6">
        <a:tint val="40000"/>
      </a:schemeClr>
    </dgm:fillClrLst>
    <dgm:linClrLst meth="repeat">
      <a:schemeClr val="accent6">
        <a:shade val="80000"/>
      </a:schemeClr>
    </dgm:linClrLst>
    <dgm:effectClrLst/>
    <dgm:txLinClrLst/>
    <dgm:txFillClrLst meth="repeat">
      <a:schemeClr val="lt1"/>
    </dgm:txFillClrLst>
    <dgm:txEffectClrLst/>
  </dgm:styleLbl>
  <dgm:styleLbl name="sibTrans2D1">
    <dgm:fillClrLst meth="repeat">
      <a:schemeClr val="accent6">
        <a:tint val="60000"/>
      </a:schemeClr>
    </dgm:fillClrLst>
    <dgm:linClrLst meth="repeat">
      <a:schemeClr val="accent6">
        <a:tint val="60000"/>
      </a:schemeClr>
    </dgm:linClrLst>
    <dgm:effectClrLst/>
    <dgm:txLinClrLst/>
    <dgm:txFillClrLst meth="repeat">
      <a:schemeClr val="dk1"/>
    </dgm:txFillClrLst>
    <dgm:txEffectClrLst/>
  </dgm:styleLbl>
  <dgm:styleLbl name="fgSibTrans2D1">
    <dgm:fillClrLst meth="repeat">
      <a:schemeClr val="accent6">
        <a:tint val="60000"/>
      </a:schemeClr>
    </dgm:fillClrLst>
    <dgm:linClrLst meth="repeat">
      <a:schemeClr val="accent6">
        <a:tint val="60000"/>
      </a:schemeClr>
    </dgm:linClrLst>
    <dgm:effectClrLst/>
    <dgm:txLinClrLst/>
    <dgm:txFillClrLst meth="repeat">
      <a:schemeClr val="dk1"/>
    </dgm:txFillClrLst>
    <dgm:txEffectClrLst/>
  </dgm:styleLbl>
  <dgm:styleLbl name="bgSibTrans2D1">
    <dgm:fillClrLst meth="repeat">
      <a:schemeClr val="accent6">
        <a:tint val="60000"/>
      </a:schemeClr>
    </dgm:fillClrLst>
    <dgm:linClrLst meth="repeat">
      <a:schemeClr val="accent6">
        <a:tint val="60000"/>
      </a:schemeClr>
    </dgm:linClrLst>
    <dgm:effectClrLst/>
    <dgm:txLinClrLst/>
    <dgm:txFillClrLst meth="repeat">
      <a:schemeClr val="dk1"/>
    </dgm:txFillClrLst>
    <dgm:txEffectClrLst/>
  </dgm:styleLbl>
  <dgm:styleLbl name="sibTrans1D1">
    <dgm:fillClrLst meth="repeat">
      <a:schemeClr val="accent6"/>
    </dgm:fillClrLst>
    <dgm:linClrLst meth="repeat">
      <a:schemeClr val="accent6"/>
    </dgm:linClrLst>
    <dgm:effectClrLst/>
    <dgm:txLinClrLst/>
    <dgm:txFillClrLst meth="repeat">
      <a:schemeClr val="tx1"/>
    </dgm:txFillClrLst>
    <dgm:txEffectClrLst/>
  </dgm:styleLbl>
  <dgm:styleLbl name="callout">
    <dgm:fillClrLst meth="repeat">
      <a:schemeClr val="accent6"/>
    </dgm:fillClrLst>
    <dgm:linClrLst meth="repeat">
      <a:schemeClr val="accent6"/>
    </dgm:linClrLst>
    <dgm:effectClrLst/>
    <dgm:txLinClrLst/>
    <dgm:txFillClrLst meth="repeat">
      <a:schemeClr val="tx1"/>
    </dgm:txFillClrLst>
    <dgm:txEffectClrLst/>
  </dgm:styleLbl>
  <dgm:styleLbl name="asst0">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asst1">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asst2">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asst3">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asst4">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parChTrans2D1">
    <dgm:fillClrLst meth="repeat">
      <a:schemeClr val="accent6">
        <a:tint val="60000"/>
      </a:schemeClr>
    </dgm:fillClrLst>
    <dgm:linClrLst meth="repeat">
      <a:schemeClr val="accent6">
        <a:tint val="60000"/>
      </a:schemeClr>
    </dgm:linClrLst>
    <dgm:effectClrLst/>
    <dgm:txLinClrLst/>
    <dgm:txFillClrLst/>
    <dgm:txEffectClrLst/>
  </dgm:styleLbl>
  <dgm:styleLbl name="parChTrans2D2">
    <dgm:fillClrLst meth="repeat">
      <a:schemeClr val="accent6"/>
    </dgm:fillClrLst>
    <dgm:linClrLst meth="repeat">
      <a:schemeClr val="accent6"/>
    </dgm:linClrLst>
    <dgm:effectClrLst/>
    <dgm:txLinClrLst/>
    <dgm:txFillClrLst/>
    <dgm:txEffectClrLst/>
  </dgm:styleLbl>
  <dgm:styleLbl name="parChTrans2D3">
    <dgm:fillClrLst meth="repeat">
      <a:schemeClr val="accent6"/>
    </dgm:fillClrLst>
    <dgm:linClrLst meth="repeat">
      <a:schemeClr val="accent6"/>
    </dgm:linClrLst>
    <dgm:effectClrLst/>
    <dgm:txLinClrLst/>
    <dgm:txFillClrLst/>
    <dgm:txEffectClrLst/>
  </dgm:styleLbl>
  <dgm:styleLbl name="parChTrans2D4">
    <dgm:fillClrLst meth="repeat">
      <a:schemeClr val="accent6"/>
    </dgm:fillClrLst>
    <dgm:linClrLst meth="repeat">
      <a:schemeClr val="accent6"/>
    </dgm:linClrLst>
    <dgm:effectClrLst/>
    <dgm:txLinClrLst/>
    <dgm:txFillClrLst meth="repeat">
      <a:schemeClr val="lt1"/>
    </dgm:txFillClrLst>
    <dgm:txEffectClrLst/>
  </dgm:styleLbl>
  <dgm:styleLbl name="parChTrans1D1">
    <dgm:fillClrLst meth="repeat">
      <a:schemeClr val="accent6"/>
    </dgm:fillClrLst>
    <dgm:linClrLst meth="repeat">
      <a:schemeClr val="accent6">
        <a:shade val="60000"/>
      </a:schemeClr>
    </dgm:linClrLst>
    <dgm:effectClrLst/>
    <dgm:txLinClrLst/>
    <dgm:txFillClrLst meth="repeat">
      <a:schemeClr val="tx1"/>
    </dgm:txFillClrLst>
    <dgm:txEffectClrLst/>
  </dgm:styleLbl>
  <dgm:styleLbl name="parChTrans1D2">
    <dgm:fillClrLst meth="repeat">
      <a:schemeClr val="accent6"/>
    </dgm:fillClrLst>
    <dgm:linClrLst meth="repeat">
      <a:schemeClr val="accent6">
        <a:shade val="60000"/>
      </a:schemeClr>
    </dgm:linClrLst>
    <dgm:effectClrLst/>
    <dgm:txLinClrLst/>
    <dgm:txFillClrLst meth="repeat">
      <a:schemeClr val="tx1"/>
    </dgm:txFillClrLst>
    <dgm:txEffectClrLst/>
  </dgm:styleLbl>
  <dgm:styleLbl name="parChTrans1D3">
    <dgm:fillClrLst meth="repeat">
      <a:schemeClr val="accent6"/>
    </dgm:fillClrLst>
    <dgm:linClrLst meth="repeat">
      <a:schemeClr val="accent6">
        <a:shade val="80000"/>
      </a:schemeClr>
    </dgm:linClrLst>
    <dgm:effectClrLst/>
    <dgm:txLinClrLst/>
    <dgm:txFillClrLst meth="repeat">
      <a:schemeClr val="tx1"/>
    </dgm:txFillClrLst>
    <dgm:txEffectClrLst/>
  </dgm:styleLbl>
  <dgm:styleLbl name="parChTrans1D4">
    <dgm:fillClrLst meth="repeat">
      <a:schemeClr val="accent6"/>
    </dgm:fillClrLst>
    <dgm:linClrLst meth="repeat">
      <a:schemeClr val="accent6">
        <a:shade val="80000"/>
      </a:schemeClr>
    </dgm:linClrLst>
    <dgm:effectClrLst/>
    <dgm:txLinClrLst/>
    <dgm:txFillClrLst meth="repeat">
      <a:schemeClr val="tx1"/>
    </dgm:txFillClrLst>
    <dgm:txEffectClrLst/>
  </dgm:styleLbl>
  <dgm:styleLbl name="fgAcc1">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conFgAcc1">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alignAcc1">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trAlignAcc1">
    <dgm:fillClrLst meth="repeat">
      <a:schemeClr val="accent6">
        <a:alpha val="40000"/>
        <a:tint val="40000"/>
      </a:schemeClr>
    </dgm:fillClrLst>
    <dgm:linClrLst meth="repeat">
      <a:schemeClr val="accent6"/>
    </dgm:linClrLst>
    <dgm:effectClrLst/>
    <dgm:txLinClrLst/>
    <dgm:txFillClrLst meth="repeat">
      <a:schemeClr val="dk1"/>
    </dgm:txFillClrLst>
    <dgm:txEffectClrLst/>
  </dgm:styleLbl>
  <dgm:styleLbl name="bgAcc1">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solidFgAcc1">
    <dgm:fillClrLst meth="repeat">
      <a:schemeClr val="lt1"/>
    </dgm:fillClrLst>
    <dgm:linClrLst meth="repeat">
      <a:schemeClr val="accent6"/>
    </dgm:linClrLst>
    <dgm:effectClrLst/>
    <dgm:txLinClrLst/>
    <dgm:txFillClrLst meth="repeat">
      <a:schemeClr val="dk1"/>
    </dgm:txFillClrLst>
    <dgm:txEffectClrLst/>
  </dgm:styleLbl>
  <dgm:styleLbl name="solidAlignAcc1">
    <dgm:fillClrLst meth="repeat">
      <a:schemeClr val="lt1"/>
    </dgm:fillClrLst>
    <dgm:linClrLst meth="repeat">
      <a:schemeClr val="accent6"/>
    </dgm:linClrLst>
    <dgm:effectClrLst/>
    <dgm:txLinClrLst/>
    <dgm:txFillClrLst meth="repeat">
      <a:schemeClr val="dk1"/>
    </dgm:txFillClrLst>
    <dgm:txEffectClrLst/>
  </dgm:styleLbl>
  <dgm:styleLbl name="solidBgAcc1">
    <dgm:fillClrLst meth="repeat">
      <a:schemeClr val="lt1"/>
    </dgm:fillClrLst>
    <dgm:linClrLst meth="repeat">
      <a:schemeClr val="accent6"/>
    </dgm:linClrLst>
    <dgm:effectClrLst/>
    <dgm:txLinClrLst/>
    <dgm:txFillClrLst meth="repeat">
      <a:schemeClr val="dk1"/>
    </dgm:txFillClrLst>
    <dgm:txEffectClrLst/>
  </dgm:styleLbl>
  <dgm:styleLbl name="fgAccFollowNode1">
    <dgm:fillClrLst meth="repeat">
      <a:schemeClr val="lt1">
        <a:alpha val="90000"/>
        <a:tint val="40000"/>
      </a:schemeClr>
    </dgm:fillClrLst>
    <dgm:linClrLst meth="repeat">
      <a:schemeClr val="accent6">
        <a:alpha val="90000"/>
      </a:schemeClr>
    </dgm:linClrLst>
    <dgm:effectClrLst/>
    <dgm:txLinClrLst/>
    <dgm:txFillClrLst meth="repeat">
      <a:schemeClr val="dk1"/>
    </dgm:txFillClrLst>
    <dgm:txEffectClrLst/>
  </dgm:styleLbl>
  <dgm:styleLbl name="alignAccFollowNode1">
    <dgm:fillClrLst meth="repeat">
      <a:schemeClr val="lt1">
        <a:alpha val="90000"/>
        <a:tint val="40000"/>
      </a:schemeClr>
    </dgm:fillClrLst>
    <dgm:linClrLst meth="repeat">
      <a:schemeClr val="accent6">
        <a:alpha val="90000"/>
      </a:schemeClr>
    </dgm:linClrLst>
    <dgm:effectClrLst/>
    <dgm:txLinClrLst/>
    <dgm:txFillClrLst meth="repeat">
      <a:schemeClr val="dk1"/>
    </dgm:txFillClrLst>
    <dgm:txEffectClrLst/>
  </dgm:styleLbl>
  <dgm:styleLbl name="bgAccFollowNode1">
    <dgm:fillClrLst meth="repeat">
      <a:schemeClr val="lt1">
        <a:alpha val="90000"/>
        <a:tint val="40000"/>
      </a:schemeClr>
    </dgm:fillClrLst>
    <dgm:linClrLst meth="repeat">
      <a:schemeClr val="accent6">
        <a:alpha val="90000"/>
      </a:schemeClr>
    </dgm:linClrLst>
    <dgm:effectClrLst/>
    <dgm:txLinClrLst/>
    <dgm:txFillClrLst meth="repeat">
      <a:schemeClr val="dk1"/>
    </dgm:txFillClrLst>
    <dgm:txEffectClrLst/>
  </dgm:styleLbl>
  <dgm:styleLbl name="fgAcc0">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fgAcc2">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fgAcc3">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fgAcc4">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bgShp">
    <dgm:fillClrLst meth="repeat">
      <a:schemeClr val="accent6">
        <a:tint val="40000"/>
      </a:schemeClr>
    </dgm:fillClrLst>
    <dgm:linClrLst meth="repeat">
      <a:schemeClr val="accent6"/>
    </dgm:linClrLst>
    <dgm:effectClrLst/>
    <dgm:txLinClrLst/>
    <dgm:txFillClrLst meth="repeat">
      <a:schemeClr val="dk1"/>
    </dgm:txFillClrLst>
    <dgm:txEffectClrLst/>
  </dgm:styleLbl>
  <dgm:styleLbl name="dkBgShp">
    <dgm:fillClrLst meth="repeat">
      <a:schemeClr val="accent6">
        <a:shade val="80000"/>
      </a:schemeClr>
    </dgm:fillClrLst>
    <dgm:linClrLst meth="repeat">
      <a:schemeClr val="accent6"/>
    </dgm:linClrLst>
    <dgm:effectClrLst/>
    <dgm:txLinClrLst/>
    <dgm:txFillClrLst meth="repeat">
      <a:schemeClr val="lt1"/>
    </dgm:txFillClrLst>
    <dgm:txEffectClrLst/>
  </dgm:styleLbl>
  <dgm:styleLbl name="trBgShp">
    <dgm:fillClrLst meth="repeat">
      <a:schemeClr val="accent6">
        <a:tint val="50000"/>
        <a:alpha val="40000"/>
      </a:schemeClr>
    </dgm:fillClrLst>
    <dgm:linClrLst meth="repeat">
      <a:schemeClr val="accent6"/>
    </dgm:linClrLst>
    <dgm:effectClrLst/>
    <dgm:txLinClrLst/>
    <dgm:txFillClrLst meth="repeat">
      <a:schemeClr val="lt1"/>
    </dgm:txFillClrLst>
    <dgm:txEffectClrLst/>
  </dgm:styleLbl>
  <dgm:styleLbl name="fgShp">
    <dgm:fillClrLst meth="repeat">
      <a:schemeClr val="accent6">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3C8EFC9A-BDC9-4CB0-8DCF-FD6F89FD7C78}" type="doc">
      <dgm:prSet loTypeId="urn:microsoft.com/office/officeart/2005/8/layout/lProcess2" loCatId="list" qsTypeId="urn:microsoft.com/office/officeart/2005/8/quickstyle/simple1" qsCatId="simple" csTypeId="urn:microsoft.com/office/officeart/2005/8/colors/accent6_1" csCatId="accent6" phldr="1"/>
      <dgm:spPr/>
      <dgm:t>
        <a:bodyPr/>
        <a:lstStyle/>
        <a:p>
          <a:endParaRPr lang="nl-NL"/>
        </a:p>
      </dgm:t>
    </dgm:pt>
    <dgm:pt modelId="{7ED69BD0-5C46-430C-BD11-1675B78445AF}">
      <dgm:prSet phldrT="[Tekst]" custT="1"/>
      <dgm:spPr/>
      <dgm:t>
        <a:bodyPr/>
        <a:lstStyle/>
        <a:p>
          <a:r>
            <a:rPr lang="nl-NL" sz="1800" b="1"/>
            <a:t>Digital Power Basic Skills</a:t>
          </a:r>
        </a:p>
      </dgm:t>
    </dgm:pt>
    <dgm:pt modelId="{E750908F-6048-4121-9824-44DEE38A9550}" type="parTrans" cxnId="{6E3EB49A-F9C7-49B8-A048-579421865614}">
      <dgm:prSet/>
      <dgm:spPr/>
      <dgm:t>
        <a:bodyPr/>
        <a:lstStyle/>
        <a:p>
          <a:endParaRPr lang="nl-NL" sz="2400"/>
        </a:p>
      </dgm:t>
    </dgm:pt>
    <dgm:pt modelId="{218C9A6D-6F68-45C1-B697-BBF6B4D44B14}" type="sibTrans" cxnId="{6E3EB49A-F9C7-49B8-A048-579421865614}">
      <dgm:prSet/>
      <dgm:spPr/>
      <dgm:t>
        <a:bodyPr/>
        <a:lstStyle/>
        <a:p>
          <a:endParaRPr lang="nl-NL" sz="2400"/>
        </a:p>
      </dgm:t>
    </dgm:pt>
    <dgm:pt modelId="{E4B92491-EA9A-4D22-9CF8-82866D9BC210}">
      <dgm:prSet phldrT="[Tekst]" custT="1"/>
      <dgm:spPr/>
      <dgm:t>
        <a:bodyPr/>
        <a:lstStyle/>
        <a:p>
          <a:r>
            <a:rPr lang="nl-NL" sz="900"/>
            <a:t>Leren &amp; reflecteren</a:t>
          </a:r>
        </a:p>
      </dgm:t>
    </dgm:pt>
    <dgm:pt modelId="{AAD8A640-0904-42B2-8737-4F819FCC663F}" type="parTrans" cxnId="{B9B84F3F-92DA-48E6-A3BB-B7C952E21BD3}">
      <dgm:prSet/>
      <dgm:spPr/>
      <dgm:t>
        <a:bodyPr/>
        <a:lstStyle/>
        <a:p>
          <a:endParaRPr lang="nl-NL" sz="2400"/>
        </a:p>
      </dgm:t>
    </dgm:pt>
    <dgm:pt modelId="{6A795A40-8887-4AB1-8E50-2A17E97000C7}" type="sibTrans" cxnId="{B9B84F3F-92DA-48E6-A3BB-B7C952E21BD3}">
      <dgm:prSet/>
      <dgm:spPr/>
      <dgm:t>
        <a:bodyPr/>
        <a:lstStyle/>
        <a:p>
          <a:endParaRPr lang="nl-NL" sz="2400"/>
        </a:p>
      </dgm:t>
    </dgm:pt>
    <dgm:pt modelId="{1DCEF51C-F50A-4B0B-9902-33B322D5ADEF}">
      <dgm:prSet phldrT="[Tekst]" custT="1"/>
      <dgm:spPr/>
      <dgm:t>
        <a:bodyPr/>
        <a:lstStyle/>
        <a:p>
          <a:r>
            <a:rPr lang="nl-NL" sz="900"/>
            <a:t>Ondernemen &amp; resultaatgericht</a:t>
          </a:r>
        </a:p>
      </dgm:t>
    </dgm:pt>
    <dgm:pt modelId="{2C60948B-205E-4F80-82A1-F8B8D3A331F9}" type="parTrans" cxnId="{3EC95584-F64E-4F01-9306-D20FA216FBEC}">
      <dgm:prSet/>
      <dgm:spPr/>
      <dgm:t>
        <a:bodyPr/>
        <a:lstStyle/>
        <a:p>
          <a:endParaRPr lang="nl-NL" sz="2400"/>
        </a:p>
      </dgm:t>
    </dgm:pt>
    <dgm:pt modelId="{54A7321B-FDE2-4C58-BFBF-737A8982D7C8}" type="sibTrans" cxnId="{3EC95584-F64E-4F01-9306-D20FA216FBEC}">
      <dgm:prSet/>
      <dgm:spPr/>
      <dgm:t>
        <a:bodyPr/>
        <a:lstStyle/>
        <a:p>
          <a:endParaRPr lang="nl-NL" sz="2400"/>
        </a:p>
      </dgm:t>
    </dgm:pt>
    <dgm:pt modelId="{71C93146-8DBD-47BA-9B89-8D2FF25B6FDE}">
      <dgm:prSet phldrT="[Tekst]" custT="1"/>
      <dgm:spPr/>
      <dgm:t>
        <a:bodyPr/>
        <a:lstStyle/>
        <a:p>
          <a:r>
            <a:rPr lang="nl-NL" sz="1800" b="1"/>
            <a:t>Domein skills</a:t>
          </a:r>
        </a:p>
      </dgm:t>
    </dgm:pt>
    <dgm:pt modelId="{A4EFA77B-9971-480B-8CDC-B60EE2909B0A}" type="parTrans" cxnId="{85CA7328-C88E-4CCA-A503-4BBF9E60CB5E}">
      <dgm:prSet/>
      <dgm:spPr/>
      <dgm:t>
        <a:bodyPr/>
        <a:lstStyle/>
        <a:p>
          <a:endParaRPr lang="nl-NL" sz="2400"/>
        </a:p>
      </dgm:t>
    </dgm:pt>
    <dgm:pt modelId="{8213C114-C822-4D1A-8481-C09CD83DA145}" type="sibTrans" cxnId="{85CA7328-C88E-4CCA-A503-4BBF9E60CB5E}">
      <dgm:prSet/>
      <dgm:spPr/>
      <dgm:t>
        <a:bodyPr/>
        <a:lstStyle/>
        <a:p>
          <a:endParaRPr lang="nl-NL" sz="2400"/>
        </a:p>
      </dgm:t>
    </dgm:pt>
    <dgm:pt modelId="{6C20051A-C227-4FCE-84B9-13E8355C6FE0}">
      <dgm:prSet phldrT="[Tekst]" custT="1"/>
      <dgm:spPr/>
      <dgm:t>
        <a:bodyPr/>
        <a:lstStyle/>
        <a:p>
          <a:r>
            <a:rPr lang="nl-NL" sz="900"/>
            <a:t>Domein kennis</a:t>
          </a:r>
        </a:p>
      </dgm:t>
    </dgm:pt>
    <dgm:pt modelId="{31AEE7A3-A8AC-425D-8431-C8B66249CB15}" type="parTrans" cxnId="{B6A2B7A2-FF80-4270-BE4E-2808830EFFFC}">
      <dgm:prSet/>
      <dgm:spPr/>
      <dgm:t>
        <a:bodyPr/>
        <a:lstStyle/>
        <a:p>
          <a:endParaRPr lang="nl-NL" sz="2400"/>
        </a:p>
      </dgm:t>
    </dgm:pt>
    <dgm:pt modelId="{70525940-7440-4C0F-AFCA-45BB15C67DD9}" type="sibTrans" cxnId="{B6A2B7A2-FF80-4270-BE4E-2808830EFFFC}">
      <dgm:prSet/>
      <dgm:spPr/>
      <dgm:t>
        <a:bodyPr/>
        <a:lstStyle/>
        <a:p>
          <a:endParaRPr lang="nl-NL" sz="2400"/>
        </a:p>
      </dgm:t>
    </dgm:pt>
    <dgm:pt modelId="{D216417B-8724-4A89-97D4-DE24FD728663}">
      <dgm:prSet phldrT="[Tekst]" custT="1"/>
      <dgm:spPr/>
      <dgm:t>
        <a:bodyPr/>
        <a:lstStyle/>
        <a:p>
          <a:r>
            <a:rPr lang="nl-NL" sz="900"/>
            <a:t>Metrics, KPIs en doelen</a:t>
          </a:r>
        </a:p>
      </dgm:t>
    </dgm:pt>
    <dgm:pt modelId="{38AE1861-BF10-48F6-9902-51054B81E7B4}" type="parTrans" cxnId="{5B9BC363-A286-42FB-A533-6542AF21BB0B}">
      <dgm:prSet/>
      <dgm:spPr/>
      <dgm:t>
        <a:bodyPr/>
        <a:lstStyle/>
        <a:p>
          <a:endParaRPr lang="nl-NL" sz="2400"/>
        </a:p>
      </dgm:t>
    </dgm:pt>
    <dgm:pt modelId="{A41718D6-2FB8-4C3B-9ED4-B1EC2AF89F87}" type="sibTrans" cxnId="{5B9BC363-A286-42FB-A533-6542AF21BB0B}">
      <dgm:prSet/>
      <dgm:spPr/>
      <dgm:t>
        <a:bodyPr/>
        <a:lstStyle/>
        <a:p>
          <a:endParaRPr lang="nl-NL" sz="2400"/>
        </a:p>
      </dgm:t>
    </dgm:pt>
    <dgm:pt modelId="{CB339438-8F81-4836-B0D6-39E445779B2D}">
      <dgm:prSet phldrT="[Tekst]" custT="1"/>
      <dgm:spPr/>
      <dgm:t>
        <a:bodyPr/>
        <a:lstStyle/>
        <a:p>
          <a:r>
            <a:rPr lang="nl-NL" sz="1800" b="1"/>
            <a:t>Hardskills</a:t>
          </a:r>
        </a:p>
      </dgm:t>
    </dgm:pt>
    <dgm:pt modelId="{81844B2A-8DE3-4EEB-9E0E-031ED26B43F7}" type="parTrans" cxnId="{FA676D8E-DD10-4206-946E-A18DBBC548C9}">
      <dgm:prSet/>
      <dgm:spPr/>
      <dgm:t>
        <a:bodyPr/>
        <a:lstStyle/>
        <a:p>
          <a:endParaRPr lang="nl-NL" sz="2400"/>
        </a:p>
      </dgm:t>
    </dgm:pt>
    <dgm:pt modelId="{217513DC-7E70-4D8D-9CA4-5D4693EB7292}" type="sibTrans" cxnId="{FA676D8E-DD10-4206-946E-A18DBBC548C9}">
      <dgm:prSet/>
      <dgm:spPr/>
      <dgm:t>
        <a:bodyPr/>
        <a:lstStyle/>
        <a:p>
          <a:endParaRPr lang="nl-NL" sz="2400"/>
        </a:p>
      </dgm:t>
    </dgm:pt>
    <dgm:pt modelId="{39F506DE-50F1-49BE-9ED2-88EFDAE6F0E1}">
      <dgm:prSet phldrT="[Tekst]" custT="1"/>
      <dgm:spPr/>
      <dgm:t>
        <a:bodyPr/>
        <a:lstStyle/>
        <a:p>
          <a:r>
            <a:rPr lang="nl-NL" sz="1800" b="1"/>
            <a:t>Basic Consultancy Skills</a:t>
          </a:r>
        </a:p>
      </dgm:t>
    </dgm:pt>
    <dgm:pt modelId="{7F60D346-2BA8-4279-8596-2765F26B3192}" type="parTrans" cxnId="{81471AD1-0069-4A55-AFA7-7230934509D8}">
      <dgm:prSet/>
      <dgm:spPr/>
      <dgm:t>
        <a:bodyPr/>
        <a:lstStyle/>
        <a:p>
          <a:endParaRPr lang="nl-NL" sz="2400"/>
        </a:p>
      </dgm:t>
    </dgm:pt>
    <dgm:pt modelId="{7C66CED6-4EF2-4379-89C4-7E1B0D2D3641}" type="sibTrans" cxnId="{81471AD1-0069-4A55-AFA7-7230934509D8}">
      <dgm:prSet/>
      <dgm:spPr/>
      <dgm:t>
        <a:bodyPr/>
        <a:lstStyle/>
        <a:p>
          <a:endParaRPr lang="nl-NL" sz="2400"/>
        </a:p>
      </dgm:t>
    </dgm:pt>
    <dgm:pt modelId="{5689EC68-4989-4E1E-96FD-3A6DB0CAD78C}">
      <dgm:prSet phldrT="[Tekst]" custT="1"/>
      <dgm:spPr/>
      <dgm:t>
        <a:bodyPr/>
        <a:lstStyle/>
        <a:p>
          <a:r>
            <a:rPr lang="nl-NL" sz="900"/>
            <a:t>Adviseren</a:t>
          </a:r>
        </a:p>
      </dgm:t>
    </dgm:pt>
    <dgm:pt modelId="{5E002F54-8A10-472E-96C2-6347E5C62ABE}" type="parTrans" cxnId="{9E5B2586-4117-46D2-A77F-55BE96C0CD18}">
      <dgm:prSet/>
      <dgm:spPr/>
      <dgm:t>
        <a:bodyPr/>
        <a:lstStyle/>
        <a:p>
          <a:endParaRPr lang="nl-NL" sz="2400"/>
        </a:p>
      </dgm:t>
    </dgm:pt>
    <dgm:pt modelId="{A783D2D8-9AA5-4B37-B664-80F0625BDE23}" type="sibTrans" cxnId="{9E5B2586-4117-46D2-A77F-55BE96C0CD18}">
      <dgm:prSet/>
      <dgm:spPr/>
      <dgm:t>
        <a:bodyPr/>
        <a:lstStyle/>
        <a:p>
          <a:endParaRPr lang="nl-NL" sz="2400"/>
        </a:p>
      </dgm:t>
    </dgm:pt>
    <dgm:pt modelId="{731B959C-F05A-4425-AA8A-A0CC576E0CD6}">
      <dgm:prSet phldrT="[Tekst]" custT="1"/>
      <dgm:spPr/>
      <dgm:t>
        <a:bodyPr/>
        <a:lstStyle/>
        <a:p>
          <a:r>
            <a:rPr lang="nl-NL" sz="1800" b="1"/>
            <a:t>Expert Consultancy Skills</a:t>
          </a:r>
        </a:p>
      </dgm:t>
    </dgm:pt>
    <dgm:pt modelId="{4DAF3717-69D8-4024-BC2D-22D2476AC76E}" type="parTrans" cxnId="{3898561C-AE03-4718-AE3E-8110DF2975AE}">
      <dgm:prSet/>
      <dgm:spPr/>
      <dgm:t>
        <a:bodyPr/>
        <a:lstStyle/>
        <a:p>
          <a:endParaRPr lang="nl-NL" sz="2400"/>
        </a:p>
      </dgm:t>
    </dgm:pt>
    <dgm:pt modelId="{4B9E5D53-0B42-48F6-AA2B-6F5F833B01D8}" type="sibTrans" cxnId="{3898561C-AE03-4718-AE3E-8110DF2975AE}">
      <dgm:prSet/>
      <dgm:spPr/>
      <dgm:t>
        <a:bodyPr/>
        <a:lstStyle/>
        <a:p>
          <a:endParaRPr lang="nl-NL" sz="2400"/>
        </a:p>
      </dgm:t>
    </dgm:pt>
    <dgm:pt modelId="{E4529BFC-7FBA-401E-83DC-ED21706EC71E}">
      <dgm:prSet phldrT="[Tekst]" custT="1"/>
      <dgm:spPr/>
      <dgm:t>
        <a:bodyPr/>
        <a:lstStyle/>
        <a:p>
          <a:r>
            <a:rPr lang="nl-NL" sz="900"/>
            <a:t>Situationele communicatie</a:t>
          </a:r>
        </a:p>
      </dgm:t>
    </dgm:pt>
    <dgm:pt modelId="{75EC726F-0F1A-4A9A-AAA4-BA5A62E7EF13}" type="parTrans" cxnId="{B9770FDA-37FF-43F8-A310-12FA30D16BC1}">
      <dgm:prSet/>
      <dgm:spPr/>
      <dgm:t>
        <a:bodyPr/>
        <a:lstStyle/>
        <a:p>
          <a:endParaRPr lang="nl-NL" sz="2400"/>
        </a:p>
      </dgm:t>
    </dgm:pt>
    <dgm:pt modelId="{2694060A-8504-46CC-B366-F826D32B0115}" type="sibTrans" cxnId="{B9770FDA-37FF-43F8-A310-12FA30D16BC1}">
      <dgm:prSet/>
      <dgm:spPr/>
      <dgm:t>
        <a:bodyPr/>
        <a:lstStyle/>
        <a:p>
          <a:endParaRPr lang="nl-NL" sz="2400"/>
        </a:p>
      </dgm:t>
    </dgm:pt>
    <dgm:pt modelId="{086678A7-F493-4823-B3B6-57A9657951CF}">
      <dgm:prSet phldrT="[Tekst]" custT="1"/>
      <dgm:spPr/>
      <dgm:t>
        <a:bodyPr/>
        <a:lstStyle/>
        <a:p>
          <a:r>
            <a:rPr lang="nl-NL" sz="900"/>
            <a:t>Ondersteunen &amp; samenwerken</a:t>
          </a:r>
        </a:p>
      </dgm:t>
    </dgm:pt>
    <dgm:pt modelId="{D26FD918-8E0C-41E9-A734-59F853D9C88E}" type="parTrans" cxnId="{58C72467-DF9F-4CB4-858D-2E57F85622DE}">
      <dgm:prSet/>
      <dgm:spPr/>
      <dgm:t>
        <a:bodyPr/>
        <a:lstStyle/>
        <a:p>
          <a:endParaRPr lang="nl-NL" sz="2400"/>
        </a:p>
      </dgm:t>
    </dgm:pt>
    <dgm:pt modelId="{BEC88BC7-710D-498D-B073-44C36555D78A}" type="sibTrans" cxnId="{58C72467-DF9F-4CB4-858D-2E57F85622DE}">
      <dgm:prSet/>
      <dgm:spPr/>
      <dgm:t>
        <a:bodyPr/>
        <a:lstStyle/>
        <a:p>
          <a:endParaRPr lang="nl-NL" sz="2400"/>
        </a:p>
      </dgm:t>
    </dgm:pt>
    <dgm:pt modelId="{2E51DF25-B7C0-43DA-ADCE-0B6DAA3E9F7B}">
      <dgm:prSet phldrT="[Tekst]" custT="1"/>
      <dgm:spPr/>
      <dgm:t>
        <a:bodyPr/>
        <a:lstStyle/>
        <a:p>
          <a:r>
            <a:rPr lang="nl-NL" sz="900"/>
            <a:t>Klantgericht</a:t>
          </a:r>
        </a:p>
      </dgm:t>
    </dgm:pt>
    <dgm:pt modelId="{060E53C2-706B-40E2-B6B1-DC5694082B1A}" type="parTrans" cxnId="{9AA6C102-B33A-45C3-AE7D-4BCB09515111}">
      <dgm:prSet/>
      <dgm:spPr/>
      <dgm:t>
        <a:bodyPr/>
        <a:lstStyle/>
        <a:p>
          <a:endParaRPr lang="nl-NL" sz="2400"/>
        </a:p>
      </dgm:t>
    </dgm:pt>
    <dgm:pt modelId="{54C986C0-7254-4D77-8EF8-B2E27153E9C6}" type="sibTrans" cxnId="{9AA6C102-B33A-45C3-AE7D-4BCB09515111}">
      <dgm:prSet/>
      <dgm:spPr/>
      <dgm:t>
        <a:bodyPr/>
        <a:lstStyle/>
        <a:p>
          <a:endParaRPr lang="nl-NL" sz="2400"/>
        </a:p>
      </dgm:t>
    </dgm:pt>
    <dgm:pt modelId="{C765EFE1-9587-4BD0-BA1D-81A6425C17DB}">
      <dgm:prSet phldrT="[Tekst]" custT="1"/>
      <dgm:spPr/>
      <dgm:t>
        <a:bodyPr/>
        <a:lstStyle/>
        <a:p>
          <a:r>
            <a:rPr lang="nl-NL" sz="900"/>
            <a:t>Kennisdeling</a:t>
          </a:r>
        </a:p>
      </dgm:t>
    </dgm:pt>
    <dgm:pt modelId="{9666F175-7D96-457C-A175-023DEBE6F969}" type="parTrans" cxnId="{B60D540F-CFA6-412D-9DCA-BF4FB473BD58}">
      <dgm:prSet/>
      <dgm:spPr/>
      <dgm:t>
        <a:bodyPr/>
        <a:lstStyle/>
        <a:p>
          <a:endParaRPr lang="nl-NL" sz="2400"/>
        </a:p>
      </dgm:t>
    </dgm:pt>
    <dgm:pt modelId="{F6867B9E-C732-4845-A91D-352DB38C5B50}" type="sibTrans" cxnId="{B60D540F-CFA6-412D-9DCA-BF4FB473BD58}">
      <dgm:prSet/>
      <dgm:spPr/>
      <dgm:t>
        <a:bodyPr/>
        <a:lstStyle/>
        <a:p>
          <a:endParaRPr lang="nl-NL" sz="2400"/>
        </a:p>
      </dgm:t>
    </dgm:pt>
    <dgm:pt modelId="{7C0E973C-743C-470A-8B02-0F4E3FD93FC5}">
      <dgm:prSet phldrT="[Tekst]" custT="1"/>
      <dgm:spPr/>
      <dgm:t>
        <a:bodyPr/>
        <a:lstStyle/>
        <a:p>
          <a:r>
            <a:rPr lang="nl-NL" sz="900"/>
            <a:t>Coaching &amp; begeleiding</a:t>
          </a:r>
        </a:p>
      </dgm:t>
    </dgm:pt>
    <dgm:pt modelId="{6D16B90E-7EB1-4EB7-A35C-49E2D6F9539C}" type="parTrans" cxnId="{4D3BDD4D-4325-42D8-8823-D4F547B79AB4}">
      <dgm:prSet/>
      <dgm:spPr/>
      <dgm:t>
        <a:bodyPr/>
        <a:lstStyle/>
        <a:p>
          <a:endParaRPr lang="nl-NL" sz="2400"/>
        </a:p>
      </dgm:t>
    </dgm:pt>
    <dgm:pt modelId="{CC84AF64-DE57-4A04-8A0F-424FADB77927}" type="sibTrans" cxnId="{4D3BDD4D-4325-42D8-8823-D4F547B79AB4}">
      <dgm:prSet/>
      <dgm:spPr/>
      <dgm:t>
        <a:bodyPr/>
        <a:lstStyle/>
        <a:p>
          <a:endParaRPr lang="nl-NL" sz="2400"/>
        </a:p>
      </dgm:t>
    </dgm:pt>
    <dgm:pt modelId="{C134F88E-4C4C-4F83-B22D-C129B7E3477A}">
      <dgm:prSet phldrT="[Tekst]" custT="1"/>
      <dgm:spPr/>
      <dgm:t>
        <a:bodyPr/>
        <a:lstStyle/>
        <a:p>
          <a:r>
            <a:rPr lang="nl-NL" sz="900"/>
            <a:t>Doortastend &amp; probleemoplossend</a:t>
          </a:r>
        </a:p>
      </dgm:t>
    </dgm:pt>
    <dgm:pt modelId="{3A9BCE9D-421C-4EAB-A25F-50ADA7668B4B}" type="parTrans" cxnId="{6317B032-9E2D-4C09-BFCB-DEE7F6FB19EC}">
      <dgm:prSet/>
      <dgm:spPr/>
      <dgm:t>
        <a:bodyPr/>
        <a:lstStyle/>
        <a:p>
          <a:endParaRPr lang="nl-NL" sz="2400"/>
        </a:p>
      </dgm:t>
    </dgm:pt>
    <dgm:pt modelId="{4236607B-8CE8-427B-A6C7-9C4FA5BC3E95}" type="sibTrans" cxnId="{6317B032-9E2D-4C09-BFCB-DEE7F6FB19EC}">
      <dgm:prSet/>
      <dgm:spPr/>
      <dgm:t>
        <a:bodyPr/>
        <a:lstStyle/>
        <a:p>
          <a:endParaRPr lang="nl-NL" sz="2400"/>
        </a:p>
      </dgm:t>
    </dgm:pt>
    <dgm:pt modelId="{5788F799-C613-40C5-8761-BEA82B1C90FC}">
      <dgm:prSet phldrT="[Tekst]" custT="1"/>
      <dgm:spPr/>
      <dgm:t>
        <a:bodyPr/>
        <a:lstStyle/>
        <a:p>
          <a:r>
            <a:rPr lang="nl-NL" sz="900"/>
            <a:t>Interpersoonlijke communicatie</a:t>
          </a:r>
        </a:p>
      </dgm:t>
    </dgm:pt>
    <dgm:pt modelId="{B1600F06-2268-4E93-8025-6213C861BF03}" type="parTrans" cxnId="{DFD1EAA7-E9B7-4782-A476-14CE33073947}">
      <dgm:prSet/>
      <dgm:spPr/>
      <dgm:t>
        <a:bodyPr/>
        <a:lstStyle/>
        <a:p>
          <a:endParaRPr lang="nl-NL" sz="2400"/>
        </a:p>
      </dgm:t>
    </dgm:pt>
    <dgm:pt modelId="{34DDA67C-48F2-49AC-B592-522587E58066}" type="sibTrans" cxnId="{DFD1EAA7-E9B7-4782-A476-14CE33073947}">
      <dgm:prSet/>
      <dgm:spPr/>
      <dgm:t>
        <a:bodyPr/>
        <a:lstStyle/>
        <a:p>
          <a:endParaRPr lang="nl-NL" sz="2400"/>
        </a:p>
      </dgm:t>
    </dgm:pt>
    <dgm:pt modelId="{451149D5-FEDA-4765-B600-5039ABB58E53}">
      <dgm:prSet phldrT="[Tekst]" custT="1"/>
      <dgm:spPr/>
      <dgm:t>
        <a:bodyPr/>
        <a:lstStyle/>
        <a:p>
          <a:r>
            <a:rPr lang="nl-NL" sz="900"/>
            <a:t>Verwachtings-management</a:t>
          </a:r>
        </a:p>
      </dgm:t>
    </dgm:pt>
    <dgm:pt modelId="{4E2281CA-A78E-45B2-B336-A5EC6E0D7E46}" type="parTrans" cxnId="{A91C153A-AAE1-478B-8F28-DD6597A354F0}">
      <dgm:prSet/>
      <dgm:spPr/>
      <dgm:t>
        <a:bodyPr/>
        <a:lstStyle/>
        <a:p>
          <a:endParaRPr lang="nl-NL" sz="2400"/>
        </a:p>
      </dgm:t>
    </dgm:pt>
    <dgm:pt modelId="{9902A7BB-1925-42EB-BB58-87F6AD6E80B5}" type="sibTrans" cxnId="{A91C153A-AAE1-478B-8F28-DD6597A354F0}">
      <dgm:prSet/>
      <dgm:spPr/>
      <dgm:t>
        <a:bodyPr/>
        <a:lstStyle/>
        <a:p>
          <a:endParaRPr lang="nl-NL" sz="2400"/>
        </a:p>
      </dgm:t>
    </dgm:pt>
    <dgm:pt modelId="{C73CB937-E35C-46A7-A528-03AE78F9430B}">
      <dgm:prSet phldrT="[Tekst]" custT="1"/>
      <dgm:spPr/>
      <dgm:t>
        <a:bodyPr/>
        <a:lstStyle/>
        <a:p>
          <a:r>
            <a:rPr lang="nl-NL" sz="900"/>
            <a:t>Schriftelijke en mondelinge communicatie</a:t>
          </a:r>
        </a:p>
      </dgm:t>
    </dgm:pt>
    <dgm:pt modelId="{4C4481EF-620D-4181-8F00-31DC7C846A66}" type="parTrans" cxnId="{DF4930EE-E080-4A33-A5A2-D0A164B70308}">
      <dgm:prSet/>
      <dgm:spPr/>
      <dgm:t>
        <a:bodyPr/>
        <a:lstStyle/>
        <a:p>
          <a:endParaRPr lang="nl-NL" sz="2400"/>
        </a:p>
      </dgm:t>
    </dgm:pt>
    <dgm:pt modelId="{CF0C6F57-028A-4F8B-9B40-15B58322102D}" type="sibTrans" cxnId="{DF4930EE-E080-4A33-A5A2-D0A164B70308}">
      <dgm:prSet/>
      <dgm:spPr/>
      <dgm:t>
        <a:bodyPr/>
        <a:lstStyle/>
        <a:p>
          <a:endParaRPr lang="nl-NL" sz="2400"/>
        </a:p>
      </dgm:t>
    </dgm:pt>
    <dgm:pt modelId="{00C5AD74-BB5E-4C37-87ED-5C005FAF2322}">
      <dgm:prSet phldrT="[Tekst]" custT="1"/>
      <dgm:spPr/>
      <dgm:t>
        <a:bodyPr/>
        <a:lstStyle/>
        <a:p>
          <a:r>
            <a:rPr lang="nl-NL" sz="900"/>
            <a:t>Doelgerichte &amp; effectieve communicatie</a:t>
          </a:r>
        </a:p>
      </dgm:t>
    </dgm:pt>
    <dgm:pt modelId="{404B7502-7D11-4D22-9D7C-06E3E9EF975E}" type="parTrans" cxnId="{501AF81F-EDA7-4634-BE2F-4461AC162427}">
      <dgm:prSet/>
      <dgm:spPr/>
      <dgm:t>
        <a:bodyPr/>
        <a:lstStyle/>
        <a:p>
          <a:endParaRPr lang="nl-NL" sz="2400"/>
        </a:p>
      </dgm:t>
    </dgm:pt>
    <dgm:pt modelId="{3EDD23AB-CD9C-43D5-A813-69B24A88F265}" type="sibTrans" cxnId="{501AF81F-EDA7-4634-BE2F-4461AC162427}">
      <dgm:prSet/>
      <dgm:spPr/>
      <dgm:t>
        <a:bodyPr/>
        <a:lstStyle/>
        <a:p>
          <a:endParaRPr lang="nl-NL" sz="2400"/>
        </a:p>
      </dgm:t>
    </dgm:pt>
    <dgm:pt modelId="{33D15CE1-2AE0-443F-9467-251AED4D49CA}">
      <dgm:prSet phldrT="[Tekst]" custT="1"/>
      <dgm:spPr/>
      <dgm:t>
        <a:bodyPr/>
        <a:lstStyle/>
        <a:p>
          <a:r>
            <a:rPr lang="nl-NL" sz="900"/>
            <a:t>Besluitvaardigheid</a:t>
          </a:r>
        </a:p>
      </dgm:t>
    </dgm:pt>
    <dgm:pt modelId="{8DBE2E30-A162-48E8-A94C-52C937E1A99A}" type="parTrans" cxnId="{30B7E838-9B7D-4D9C-AF84-FB3D80B5C2B5}">
      <dgm:prSet/>
      <dgm:spPr/>
      <dgm:t>
        <a:bodyPr/>
        <a:lstStyle/>
        <a:p>
          <a:endParaRPr lang="nl-NL" sz="2400"/>
        </a:p>
      </dgm:t>
    </dgm:pt>
    <dgm:pt modelId="{4DADF293-3BD0-4310-9161-04488FADA7BD}" type="sibTrans" cxnId="{30B7E838-9B7D-4D9C-AF84-FB3D80B5C2B5}">
      <dgm:prSet/>
      <dgm:spPr/>
      <dgm:t>
        <a:bodyPr/>
        <a:lstStyle/>
        <a:p>
          <a:endParaRPr lang="nl-NL" sz="2400"/>
        </a:p>
      </dgm:t>
    </dgm:pt>
    <dgm:pt modelId="{464CADB2-5C0A-499E-880D-27B3B06B5A3D}">
      <dgm:prSet phldrT="[Tekst]" custT="1"/>
      <dgm:spPr/>
      <dgm:t>
        <a:bodyPr/>
        <a:lstStyle/>
        <a:p>
          <a:r>
            <a:rPr lang="nl-NL" sz="900"/>
            <a:t>Overtuigen &amp; beinvloeden</a:t>
          </a:r>
        </a:p>
      </dgm:t>
    </dgm:pt>
    <dgm:pt modelId="{8119D722-6BA9-4785-8A53-4105DEEDF657}" type="parTrans" cxnId="{16961D73-ACEE-46B1-941F-230149DA61A6}">
      <dgm:prSet/>
      <dgm:spPr/>
      <dgm:t>
        <a:bodyPr/>
        <a:lstStyle/>
        <a:p>
          <a:endParaRPr lang="nl-NL" sz="2400"/>
        </a:p>
      </dgm:t>
    </dgm:pt>
    <dgm:pt modelId="{B913E8EF-34C5-40F3-B6EB-CE64043368BA}" type="sibTrans" cxnId="{16961D73-ACEE-46B1-941F-230149DA61A6}">
      <dgm:prSet/>
      <dgm:spPr/>
      <dgm:t>
        <a:bodyPr/>
        <a:lstStyle/>
        <a:p>
          <a:endParaRPr lang="nl-NL" sz="2400"/>
        </a:p>
      </dgm:t>
    </dgm:pt>
    <dgm:pt modelId="{A7DDA4F1-B40B-46B4-B746-EA89906A2FB4}">
      <dgm:prSet phldrT="[Tekst]" custT="1"/>
      <dgm:spPr/>
      <dgm:t>
        <a:bodyPr/>
        <a:lstStyle/>
        <a:p>
          <a:r>
            <a:rPr lang="nl-NL" sz="900"/>
            <a:t>Opbouwende feedback &amp; slecht nieuws gesprekken</a:t>
          </a:r>
        </a:p>
      </dgm:t>
    </dgm:pt>
    <dgm:pt modelId="{27302846-3F4E-4890-8FD2-653D02ED08C4}" type="parTrans" cxnId="{1A1ED718-5287-4C05-9F2C-9C591CDAFBB1}">
      <dgm:prSet/>
      <dgm:spPr/>
      <dgm:t>
        <a:bodyPr/>
        <a:lstStyle/>
        <a:p>
          <a:endParaRPr lang="nl-NL" sz="2400"/>
        </a:p>
      </dgm:t>
    </dgm:pt>
    <dgm:pt modelId="{BDDA1F47-37EC-4594-B19B-6BEADC130A10}" type="sibTrans" cxnId="{1A1ED718-5287-4C05-9F2C-9C591CDAFBB1}">
      <dgm:prSet/>
      <dgm:spPr/>
      <dgm:t>
        <a:bodyPr/>
        <a:lstStyle/>
        <a:p>
          <a:endParaRPr lang="nl-NL" sz="2400"/>
        </a:p>
      </dgm:t>
    </dgm:pt>
    <dgm:pt modelId="{35F91573-84CF-4D05-97CE-0E5A3583D4E6}">
      <dgm:prSet phldrT="[Tekst]" custT="1"/>
      <dgm:spPr/>
      <dgm:t>
        <a:bodyPr/>
        <a:lstStyle/>
        <a:p>
          <a:r>
            <a:rPr lang="nl-NL" sz="1800" b="1"/>
            <a:t>Business Skills</a:t>
          </a:r>
        </a:p>
      </dgm:t>
    </dgm:pt>
    <dgm:pt modelId="{C4B92D65-5D5B-4031-AC81-F50BE376D814}" type="parTrans" cxnId="{D99B360E-0CD9-4872-8220-7B7AB6BFD839}">
      <dgm:prSet/>
      <dgm:spPr/>
      <dgm:t>
        <a:bodyPr/>
        <a:lstStyle/>
        <a:p>
          <a:endParaRPr lang="nl-NL"/>
        </a:p>
      </dgm:t>
    </dgm:pt>
    <dgm:pt modelId="{F141414D-6441-49BD-B8D1-7829EEA431E5}" type="sibTrans" cxnId="{D99B360E-0CD9-4872-8220-7B7AB6BFD839}">
      <dgm:prSet/>
      <dgm:spPr/>
      <dgm:t>
        <a:bodyPr/>
        <a:lstStyle/>
        <a:p>
          <a:endParaRPr lang="nl-NL"/>
        </a:p>
      </dgm:t>
    </dgm:pt>
    <dgm:pt modelId="{437562EF-45B9-4108-A430-E90D425350DB}">
      <dgm:prSet phldrT="[Tekst]"/>
      <dgm:spPr/>
      <dgm:t>
        <a:bodyPr/>
        <a:lstStyle/>
        <a:p>
          <a:r>
            <a:rPr lang="nl-NL"/>
            <a:t>Organisatie- en management identificatie</a:t>
          </a:r>
        </a:p>
      </dgm:t>
    </dgm:pt>
    <dgm:pt modelId="{5D122FFE-41EF-4D98-A656-471511B9F739}" type="parTrans" cxnId="{55C2DFF2-EDBE-45FB-8FCB-121AEBAE19AA}">
      <dgm:prSet/>
      <dgm:spPr/>
      <dgm:t>
        <a:bodyPr/>
        <a:lstStyle/>
        <a:p>
          <a:endParaRPr lang="nl-NL"/>
        </a:p>
      </dgm:t>
    </dgm:pt>
    <dgm:pt modelId="{DA5646B2-415F-44CC-B454-6CDE34BFAF76}" type="sibTrans" cxnId="{55C2DFF2-EDBE-45FB-8FCB-121AEBAE19AA}">
      <dgm:prSet/>
      <dgm:spPr/>
      <dgm:t>
        <a:bodyPr/>
        <a:lstStyle/>
        <a:p>
          <a:endParaRPr lang="nl-NL"/>
        </a:p>
      </dgm:t>
    </dgm:pt>
    <dgm:pt modelId="{2B8DCA65-5882-490B-B6E0-1244B42860BD}">
      <dgm:prSet phldrT="[Tekst]"/>
      <dgm:spPr/>
      <dgm:t>
        <a:bodyPr/>
        <a:lstStyle/>
        <a:p>
          <a:r>
            <a:rPr lang="nl-NL"/>
            <a:t>Strategische conceptualisatie</a:t>
          </a:r>
        </a:p>
      </dgm:t>
    </dgm:pt>
    <dgm:pt modelId="{AF4BB2B8-6F57-43A5-998F-8FEB6870A237}" type="parTrans" cxnId="{C6CB4B4E-3CB8-4590-84FC-3F095DABDA92}">
      <dgm:prSet/>
      <dgm:spPr/>
      <dgm:t>
        <a:bodyPr/>
        <a:lstStyle/>
        <a:p>
          <a:endParaRPr lang="nl-NL"/>
        </a:p>
      </dgm:t>
    </dgm:pt>
    <dgm:pt modelId="{DCAF1C21-F262-4AFE-8421-2B398F24486E}" type="sibTrans" cxnId="{C6CB4B4E-3CB8-4590-84FC-3F095DABDA92}">
      <dgm:prSet/>
      <dgm:spPr/>
      <dgm:t>
        <a:bodyPr/>
        <a:lstStyle/>
        <a:p>
          <a:endParaRPr lang="nl-NL"/>
        </a:p>
      </dgm:t>
    </dgm:pt>
    <dgm:pt modelId="{15D775C9-9490-4A8C-8606-292DE6D1D53F}">
      <dgm:prSet phldrT="[Tekst]"/>
      <dgm:spPr/>
      <dgm:t>
        <a:bodyPr/>
        <a:lstStyle/>
        <a:p>
          <a:r>
            <a:rPr lang="nl-NL"/>
            <a:t>Projectmanagement</a:t>
          </a:r>
        </a:p>
      </dgm:t>
    </dgm:pt>
    <dgm:pt modelId="{F8978FD2-D021-43EA-A358-35B52665F96B}" type="parTrans" cxnId="{3DE601D1-0C81-4723-843D-1DD0725735FE}">
      <dgm:prSet/>
      <dgm:spPr/>
      <dgm:t>
        <a:bodyPr/>
        <a:lstStyle/>
        <a:p>
          <a:endParaRPr lang="nl-NL"/>
        </a:p>
      </dgm:t>
    </dgm:pt>
    <dgm:pt modelId="{F54A7DEE-2768-4F69-97DE-957C9B2086DF}" type="sibTrans" cxnId="{3DE601D1-0C81-4723-843D-1DD0725735FE}">
      <dgm:prSet/>
      <dgm:spPr/>
      <dgm:t>
        <a:bodyPr/>
        <a:lstStyle/>
        <a:p>
          <a:endParaRPr lang="nl-NL"/>
        </a:p>
      </dgm:t>
    </dgm:pt>
    <dgm:pt modelId="{23669D9C-1B83-4042-BBDD-E437161DD5D6}">
      <dgm:prSet phldrT="[Tekst]"/>
      <dgm:spPr/>
      <dgm:t>
        <a:bodyPr/>
        <a:lstStyle/>
        <a:p>
          <a:r>
            <a:rPr lang="nl-NL"/>
            <a:t>Verander-management</a:t>
          </a:r>
        </a:p>
      </dgm:t>
    </dgm:pt>
    <dgm:pt modelId="{BC0690C2-1CFB-4558-98BE-D57A2ED56433}" type="parTrans" cxnId="{BC0D9673-3077-4617-B59E-EC25082B159E}">
      <dgm:prSet/>
      <dgm:spPr/>
      <dgm:t>
        <a:bodyPr/>
        <a:lstStyle/>
        <a:p>
          <a:endParaRPr lang="nl-NL"/>
        </a:p>
      </dgm:t>
    </dgm:pt>
    <dgm:pt modelId="{F788100D-E697-41D6-8F56-32F86DF6336D}" type="sibTrans" cxnId="{BC0D9673-3077-4617-B59E-EC25082B159E}">
      <dgm:prSet/>
      <dgm:spPr/>
      <dgm:t>
        <a:bodyPr/>
        <a:lstStyle/>
        <a:p>
          <a:endParaRPr lang="nl-NL"/>
        </a:p>
      </dgm:t>
    </dgm:pt>
    <dgm:pt modelId="{9CC56A7C-11FF-4892-B122-891E65EB1004}">
      <dgm:prSet phldrT="[Tekst]"/>
      <dgm:spPr/>
      <dgm:t>
        <a:bodyPr/>
        <a:lstStyle/>
        <a:p>
          <a:r>
            <a:rPr lang="nl-NL"/>
            <a:t>Leidinggeven</a:t>
          </a:r>
        </a:p>
      </dgm:t>
    </dgm:pt>
    <dgm:pt modelId="{F9FC4AA1-7DA9-455E-8AF2-773670B97011}" type="parTrans" cxnId="{DD5B6D5E-0C04-4034-8CAF-6472FC67D767}">
      <dgm:prSet/>
      <dgm:spPr/>
      <dgm:t>
        <a:bodyPr/>
        <a:lstStyle/>
        <a:p>
          <a:endParaRPr lang="nl-NL"/>
        </a:p>
      </dgm:t>
    </dgm:pt>
    <dgm:pt modelId="{D118C918-C2CF-42EA-A3C1-36E577D91416}" type="sibTrans" cxnId="{DD5B6D5E-0C04-4034-8CAF-6472FC67D767}">
      <dgm:prSet/>
      <dgm:spPr/>
      <dgm:t>
        <a:bodyPr/>
        <a:lstStyle/>
        <a:p>
          <a:endParaRPr lang="nl-NL"/>
        </a:p>
      </dgm:t>
    </dgm:pt>
    <dgm:pt modelId="{06EA25F0-C693-44AF-A06D-C0325E1809BB}">
      <dgm:prSet phldrT="[Tekst]" custT="1"/>
      <dgm:spPr/>
      <dgm:t>
        <a:bodyPr/>
        <a:lstStyle/>
        <a:p>
          <a:r>
            <a:rPr lang="nl-NL" sz="900"/>
            <a:t>Wiskunde &amp; statistiek</a:t>
          </a:r>
        </a:p>
      </dgm:t>
    </dgm:pt>
    <dgm:pt modelId="{40D3FB41-5F9E-4F3D-A379-6015BD01587B}" type="parTrans" cxnId="{B1B6FBD4-2E3E-4942-AB7B-5FE10B6043EA}">
      <dgm:prSet/>
      <dgm:spPr/>
      <dgm:t>
        <a:bodyPr/>
        <a:lstStyle/>
        <a:p>
          <a:endParaRPr lang="nl-NL"/>
        </a:p>
      </dgm:t>
    </dgm:pt>
    <dgm:pt modelId="{D32CBF9F-EBCD-4A05-9CFF-46EB798AAE6D}" type="sibTrans" cxnId="{B1B6FBD4-2E3E-4942-AB7B-5FE10B6043EA}">
      <dgm:prSet/>
      <dgm:spPr/>
      <dgm:t>
        <a:bodyPr/>
        <a:lstStyle/>
        <a:p>
          <a:endParaRPr lang="nl-NL"/>
        </a:p>
      </dgm:t>
    </dgm:pt>
    <dgm:pt modelId="{BAD6FA44-564E-46C6-8144-649F60D41AEE}">
      <dgm:prSet phldrT="[Tekst]" custT="1"/>
      <dgm:spPr/>
      <dgm:t>
        <a:bodyPr/>
        <a:lstStyle/>
        <a:p>
          <a:r>
            <a:rPr lang="nl-NL" sz="900"/>
            <a:t>Data interpretatie &amp; analyse</a:t>
          </a:r>
        </a:p>
      </dgm:t>
    </dgm:pt>
    <dgm:pt modelId="{BF0207BC-EB2C-466F-8BBA-5121346D5386}" type="parTrans" cxnId="{418645D6-B4DB-4342-9110-72D422B7C362}">
      <dgm:prSet/>
      <dgm:spPr/>
      <dgm:t>
        <a:bodyPr/>
        <a:lstStyle/>
        <a:p>
          <a:endParaRPr lang="nl-NL"/>
        </a:p>
      </dgm:t>
    </dgm:pt>
    <dgm:pt modelId="{AA7BD254-9782-4365-A4E4-BAC1FEA4984B}" type="sibTrans" cxnId="{418645D6-B4DB-4342-9110-72D422B7C362}">
      <dgm:prSet/>
      <dgm:spPr/>
      <dgm:t>
        <a:bodyPr/>
        <a:lstStyle/>
        <a:p>
          <a:endParaRPr lang="nl-NL"/>
        </a:p>
      </dgm:t>
    </dgm:pt>
    <dgm:pt modelId="{644F3895-1B83-4425-BC44-A86D9C44D344}">
      <dgm:prSet phldrT="[Tekst]" custT="1"/>
      <dgm:spPr/>
      <dgm:t>
        <a:bodyPr/>
        <a:lstStyle/>
        <a:p>
          <a:r>
            <a:rPr lang="nl-NL" sz="900"/>
            <a:t>Dashboarding &amp; reporting</a:t>
          </a:r>
        </a:p>
      </dgm:t>
    </dgm:pt>
    <dgm:pt modelId="{59CA7C89-29E4-4141-A455-C60FACF04E8F}" type="parTrans" cxnId="{72A3D78B-92D6-449C-98CC-23E3C2AD0451}">
      <dgm:prSet/>
      <dgm:spPr/>
      <dgm:t>
        <a:bodyPr/>
        <a:lstStyle/>
        <a:p>
          <a:endParaRPr lang="nl-NL"/>
        </a:p>
      </dgm:t>
    </dgm:pt>
    <dgm:pt modelId="{613F9AE0-B863-4E2D-9881-74B78479D5B3}" type="sibTrans" cxnId="{72A3D78B-92D6-449C-98CC-23E3C2AD0451}">
      <dgm:prSet/>
      <dgm:spPr/>
      <dgm:t>
        <a:bodyPr/>
        <a:lstStyle/>
        <a:p>
          <a:endParaRPr lang="nl-NL"/>
        </a:p>
      </dgm:t>
    </dgm:pt>
    <dgm:pt modelId="{D38A169C-73FA-404F-BBC1-E58D54FDBE12}">
      <dgm:prSet phldrT="[Tekst]" custT="1"/>
      <dgm:spPr/>
      <dgm:t>
        <a:bodyPr/>
        <a:lstStyle/>
        <a:p>
          <a:r>
            <a:rPr lang="nl-NL" sz="900"/>
            <a:t>Toolkennis</a:t>
          </a:r>
        </a:p>
      </dgm:t>
    </dgm:pt>
    <dgm:pt modelId="{A99A1C84-B8AD-4CE4-944A-AF6FBA84AD6E}" type="sibTrans" cxnId="{3FCEE895-271C-4136-B426-FE7F1582CEF1}">
      <dgm:prSet/>
      <dgm:spPr/>
      <dgm:t>
        <a:bodyPr/>
        <a:lstStyle/>
        <a:p>
          <a:endParaRPr lang="nl-NL" sz="2400"/>
        </a:p>
      </dgm:t>
    </dgm:pt>
    <dgm:pt modelId="{972BF931-FB6A-47EF-8701-10AC9CDA14F0}" type="parTrans" cxnId="{3FCEE895-271C-4136-B426-FE7F1582CEF1}">
      <dgm:prSet/>
      <dgm:spPr/>
      <dgm:t>
        <a:bodyPr/>
        <a:lstStyle/>
        <a:p>
          <a:endParaRPr lang="nl-NL" sz="2400"/>
        </a:p>
      </dgm:t>
    </dgm:pt>
    <dgm:pt modelId="{3E42AC28-EEB7-4C94-8498-EA993F736C06}">
      <dgm:prSet phldrT="[Tekst]" custT="1"/>
      <dgm:spPr/>
      <dgm:t>
        <a:bodyPr/>
        <a:lstStyle/>
        <a:p>
          <a:r>
            <a:rPr lang="nl-NL" sz="900"/>
            <a:t>Implementatie &amp; data verzameling</a:t>
          </a:r>
        </a:p>
      </dgm:t>
    </dgm:pt>
    <dgm:pt modelId="{BDAD4D43-7D69-4996-95FB-E406E9ACF010}" type="parTrans" cxnId="{A41119B6-F03E-4797-B579-489D1657FB93}">
      <dgm:prSet/>
      <dgm:spPr/>
      <dgm:t>
        <a:bodyPr/>
        <a:lstStyle/>
        <a:p>
          <a:endParaRPr lang="nl-NL"/>
        </a:p>
      </dgm:t>
    </dgm:pt>
    <dgm:pt modelId="{7E51D8FE-340D-45C3-B07B-C19DF8C135D3}" type="sibTrans" cxnId="{A41119B6-F03E-4797-B579-489D1657FB93}">
      <dgm:prSet/>
      <dgm:spPr/>
      <dgm:t>
        <a:bodyPr/>
        <a:lstStyle/>
        <a:p>
          <a:endParaRPr lang="nl-NL"/>
        </a:p>
      </dgm:t>
    </dgm:pt>
    <dgm:pt modelId="{F8D199BE-2EAA-413A-BFAB-C0BA083F3E62}">
      <dgm:prSet phldrT="[Tekst]" custT="1"/>
      <dgm:spPr/>
      <dgm:t>
        <a:bodyPr/>
        <a:lstStyle/>
        <a:p>
          <a:r>
            <a:rPr lang="nl-NL" sz="900"/>
            <a:t>Data verwerking</a:t>
          </a:r>
        </a:p>
      </dgm:t>
    </dgm:pt>
    <dgm:pt modelId="{62741218-0BA0-49F7-B6A0-2A8F7D149CA6}" type="parTrans" cxnId="{14FB9A86-01FF-47AB-9613-01533BB132DB}">
      <dgm:prSet/>
      <dgm:spPr/>
      <dgm:t>
        <a:bodyPr/>
        <a:lstStyle/>
        <a:p>
          <a:endParaRPr lang="nl-NL"/>
        </a:p>
      </dgm:t>
    </dgm:pt>
    <dgm:pt modelId="{6229AB4A-09DB-44F8-A5C4-0AF88257FEC8}" type="sibTrans" cxnId="{14FB9A86-01FF-47AB-9613-01533BB132DB}">
      <dgm:prSet/>
      <dgm:spPr/>
      <dgm:t>
        <a:bodyPr/>
        <a:lstStyle/>
        <a:p>
          <a:endParaRPr lang="nl-NL"/>
        </a:p>
      </dgm:t>
    </dgm:pt>
    <dgm:pt modelId="{449A3C1E-864C-4D99-A978-C16B25C957B0}">
      <dgm:prSet phldrT="[Tekst]" custT="1"/>
      <dgm:spPr/>
      <dgm:t>
        <a:bodyPr/>
        <a:lstStyle/>
        <a:p>
          <a:r>
            <a:rPr lang="nl-NL" sz="900"/>
            <a:t>Data visualisatie</a:t>
          </a:r>
        </a:p>
      </dgm:t>
    </dgm:pt>
    <dgm:pt modelId="{0A3446BE-D83A-4DAB-A0F2-925FF856AF77}" type="parTrans" cxnId="{D2E7AC78-1464-4D0F-946B-DE12F0DA1BA3}">
      <dgm:prSet/>
      <dgm:spPr/>
      <dgm:t>
        <a:bodyPr/>
        <a:lstStyle/>
        <a:p>
          <a:endParaRPr lang="nl-NL"/>
        </a:p>
      </dgm:t>
    </dgm:pt>
    <dgm:pt modelId="{54B93C63-1160-4AF5-A9A2-DFAB5D9F65A7}" type="sibTrans" cxnId="{D2E7AC78-1464-4D0F-946B-DE12F0DA1BA3}">
      <dgm:prSet/>
      <dgm:spPr/>
      <dgm:t>
        <a:bodyPr/>
        <a:lstStyle/>
        <a:p>
          <a:endParaRPr lang="nl-NL"/>
        </a:p>
      </dgm:t>
    </dgm:pt>
    <dgm:pt modelId="{4CEDA2CE-63E9-4816-99CB-517EA9D9302E}">
      <dgm:prSet phldrT="[Tekst]" custT="1"/>
      <dgm:spPr/>
      <dgm:t>
        <a:bodyPr/>
        <a:lstStyle/>
        <a:p>
          <a:r>
            <a:rPr lang="nl-NL" sz="900"/>
            <a:t>Wettelijke &amp; ethische kaders</a:t>
          </a:r>
        </a:p>
      </dgm:t>
    </dgm:pt>
    <dgm:pt modelId="{88CF59FD-DD75-452D-B8A6-7D19771C58BC}" type="parTrans" cxnId="{695E7359-E4C6-4AA4-9839-366B49BBB3B9}">
      <dgm:prSet/>
      <dgm:spPr/>
      <dgm:t>
        <a:bodyPr/>
        <a:lstStyle/>
        <a:p>
          <a:endParaRPr lang="nl-NL"/>
        </a:p>
      </dgm:t>
    </dgm:pt>
    <dgm:pt modelId="{26F4B49C-1D08-4075-AD89-4C420E1CB199}" type="sibTrans" cxnId="{695E7359-E4C6-4AA4-9839-366B49BBB3B9}">
      <dgm:prSet/>
      <dgm:spPr/>
      <dgm:t>
        <a:bodyPr/>
        <a:lstStyle/>
        <a:p>
          <a:endParaRPr lang="nl-NL"/>
        </a:p>
      </dgm:t>
    </dgm:pt>
    <dgm:pt modelId="{7D112E5F-5E8D-4BAC-B50E-86C24ABA9E6B}" type="pres">
      <dgm:prSet presAssocID="{3C8EFC9A-BDC9-4CB0-8DCF-FD6F89FD7C78}" presName="theList" presStyleCnt="0">
        <dgm:presLayoutVars>
          <dgm:dir/>
          <dgm:animLvl val="lvl"/>
          <dgm:resizeHandles val="exact"/>
        </dgm:presLayoutVars>
      </dgm:prSet>
      <dgm:spPr/>
    </dgm:pt>
    <dgm:pt modelId="{4301FABA-D3E5-4FCD-BE6A-B0CB16ED0DEF}" type="pres">
      <dgm:prSet presAssocID="{7ED69BD0-5C46-430C-BD11-1675B78445AF}" presName="compNode" presStyleCnt="0"/>
      <dgm:spPr/>
    </dgm:pt>
    <dgm:pt modelId="{4470F352-0887-4B4E-81B9-385C6AD8A1EF}" type="pres">
      <dgm:prSet presAssocID="{7ED69BD0-5C46-430C-BD11-1675B78445AF}" presName="aNode" presStyleLbl="bgShp" presStyleIdx="0" presStyleCnt="6" custLinFactNeighborX="-32702" custLinFactNeighborY="-11298"/>
      <dgm:spPr/>
    </dgm:pt>
    <dgm:pt modelId="{F05B5A65-AC5E-407E-B187-D515ADC27144}" type="pres">
      <dgm:prSet presAssocID="{7ED69BD0-5C46-430C-BD11-1675B78445AF}" presName="textNode" presStyleLbl="bgShp" presStyleIdx="0" presStyleCnt="6"/>
      <dgm:spPr/>
    </dgm:pt>
    <dgm:pt modelId="{A624F00D-DAF2-4670-AA4A-208C7DFEA3B7}" type="pres">
      <dgm:prSet presAssocID="{7ED69BD0-5C46-430C-BD11-1675B78445AF}" presName="compChildNode" presStyleCnt="0"/>
      <dgm:spPr/>
    </dgm:pt>
    <dgm:pt modelId="{533A268E-215C-474A-8A7A-CC045A7FFEC3}" type="pres">
      <dgm:prSet presAssocID="{7ED69BD0-5C46-430C-BD11-1675B78445AF}" presName="theInnerList" presStyleCnt="0"/>
      <dgm:spPr/>
    </dgm:pt>
    <dgm:pt modelId="{D9D4FC23-0730-4C6A-92D3-55905B566BDA}" type="pres">
      <dgm:prSet presAssocID="{E4B92491-EA9A-4D22-9CF8-82866D9BC210}" presName="childNode" presStyleLbl="node1" presStyleIdx="0" presStyleCnt="31">
        <dgm:presLayoutVars>
          <dgm:bulletEnabled val="1"/>
        </dgm:presLayoutVars>
      </dgm:prSet>
      <dgm:spPr/>
    </dgm:pt>
    <dgm:pt modelId="{7CC912D5-C980-4E1E-9C52-57A9CBD43DD8}" type="pres">
      <dgm:prSet presAssocID="{E4B92491-EA9A-4D22-9CF8-82866D9BC210}" presName="aSpace2" presStyleCnt="0"/>
      <dgm:spPr/>
    </dgm:pt>
    <dgm:pt modelId="{B92FF65D-7314-4281-8C61-D2E02ABB453E}" type="pres">
      <dgm:prSet presAssocID="{086678A7-F493-4823-B3B6-57A9657951CF}" presName="childNode" presStyleLbl="node1" presStyleIdx="1" presStyleCnt="31">
        <dgm:presLayoutVars>
          <dgm:bulletEnabled val="1"/>
        </dgm:presLayoutVars>
      </dgm:prSet>
      <dgm:spPr/>
    </dgm:pt>
    <dgm:pt modelId="{73953B14-DABE-4B45-B824-FBE124E351EA}" type="pres">
      <dgm:prSet presAssocID="{086678A7-F493-4823-B3B6-57A9657951CF}" presName="aSpace2" presStyleCnt="0"/>
      <dgm:spPr/>
    </dgm:pt>
    <dgm:pt modelId="{8BA67AC5-5D23-4E1E-BC34-5B51379E48E7}" type="pres">
      <dgm:prSet presAssocID="{1DCEF51C-F50A-4B0B-9902-33B322D5ADEF}" presName="childNode" presStyleLbl="node1" presStyleIdx="2" presStyleCnt="31">
        <dgm:presLayoutVars>
          <dgm:bulletEnabled val="1"/>
        </dgm:presLayoutVars>
      </dgm:prSet>
      <dgm:spPr/>
    </dgm:pt>
    <dgm:pt modelId="{90BBE37B-DDB2-4AAE-AB19-880B559F56DA}" type="pres">
      <dgm:prSet presAssocID="{1DCEF51C-F50A-4B0B-9902-33B322D5ADEF}" presName="aSpace2" presStyleCnt="0"/>
      <dgm:spPr/>
    </dgm:pt>
    <dgm:pt modelId="{EE4F65C3-F61D-4F57-82E6-6248AF681702}" type="pres">
      <dgm:prSet presAssocID="{2E51DF25-B7C0-43DA-ADCE-0B6DAA3E9F7B}" presName="childNode" presStyleLbl="node1" presStyleIdx="3" presStyleCnt="31">
        <dgm:presLayoutVars>
          <dgm:bulletEnabled val="1"/>
        </dgm:presLayoutVars>
      </dgm:prSet>
      <dgm:spPr/>
    </dgm:pt>
    <dgm:pt modelId="{59A96A6C-4DA1-40BF-BF04-0514F78121CF}" type="pres">
      <dgm:prSet presAssocID="{2E51DF25-B7C0-43DA-ADCE-0B6DAA3E9F7B}" presName="aSpace2" presStyleCnt="0"/>
      <dgm:spPr/>
    </dgm:pt>
    <dgm:pt modelId="{4AA2C2D8-38AC-49A4-B325-32683F44EAF4}" type="pres">
      <dgm:prSet presAssocID="{C765EFE1-9587-4BD0-BA1D-81A6425C17DB}" presName="childNode" presStyleLbl="node1" presStyleIdx="4" presStyleCnt="31">
        <dgm:presLayoutVars>
          <dgm:bulletEnabled val="1"/>
        </dgm:presLayoutVars>
      </dgm:prSet>
      <dgm:spPr/>
    </dgm:pt>
    <dgm:pt modelId="{660A3C69-90FE-49F7-90AF-6D0370DB9A7D}" type="pres">
      <dgm:prSet presAssocID="{C765EFE1-9587-4BD0-BA1D-81A6425C17DB}" presName="aSpace2" presStyleCnt="0"/>
      <dgm:spPr/>
    </dgm:pt>
    <dgm:pt modelId="{211DDDCD-7378-4BEA-A98D-65ED33393EC4}" type="pres">
      <dgm:prSet presAssocID="{7C0E973C-743C-470A-8B02-0F4E3FD93FC5}" presName="childNode" presStyleLbl="node1" presStyleIdx="5" presStyleCnt="31">
        <dgm:presLayoutVars>
          <dgm:bulletEnabled val="1"/>
        </dgm:presLayoutVars>
      </dgm:prSet>
      <dgm:spPr/>
    </dgm:pt>
    <dgm:pt modelId="{C16AB182-874D-4807-9AFD-D4E1B87B6A38}" type="pres">
      <dgm:prSet presAssocID="{7ED69BD0-5C46-430C-BD11-1675B78445AF}" presName="aSpace" presStyleCnt="0"/>
      <dgm:spPr/>
    </dgm:pt>
    <dgm:pt modelId="{DDC1624A-B4AF-45C4-96AB-6684F5D040BE}" type="pres">
      <dgm:prSet presAssocID="{71C93146-8DBD-47BA-9B89-8D2FF25B6FDE}" presName="compNode" presStyleCnt="0"/>
      <dgm:spPr/>
    </dgm:pt>
    <dgm:pt modelId="{54671E33-5AC7-4CD0-91C9-A60A47022F3E}" type="pres">
      <dgm:prSet presAssocID="{71C93146-8DBD-47BA-9B89-8D2FF25B6FDE}" presName="aNode" presStyleLbl="bgShp" presStyleIdx="1" presStyleCnt="6"/>
      <dgm:spPr/>
    </dgm:pt>
    <dgm:pt modelId="{6480FF0A-C4CA-4878-B3DC-5C3D2BC5401E}" type="pres">
      <dgm:prSet presAssocID="{71C93146-8DBD-47BA-9B89-8D2FF25B6FDE}" presName="textNode" presStyleLbl="bgShp" presStyleIdx="1" presStyleCnt="6"/>
      <dgm:spPr/>
    </dgm:pt>
    <dgm:pt modelId="{A367C46E-BD57-4EAA-AAC8-349DD5760DC9}" type="pres">
      <dgm:prSet presAssocID="{71C93146-8DBD-47BA-9B89-8D2FF25B6FDE}" presName="compChildNode" presStyleCnt="0"/>
      <dgm:spPr/>
    </dgm:pt>
    <dgm:pt modelId="{10201B17-1614-4D45-8D1F-E89E82CE147B}" type="pres">
      <dgm:prSet presAssocID="{71C93146-8DBD-47BA-9B89-8D2FF25B6FDE}" presName="theInnerList" presStyleCnt="0"/>
      <dgm:spPr/>
    </dgm:pt>
    <dgm:pt modelId="{9B677AB5-8643-43AB-A8BB-D8E12AD5A274}" type="pres">
      <dgm:prSet presAssocID="{6C20051A-C227-4FCE-84B9-13E8355C6FE0}" presName="childNode" presStyleLbl="node1" presStyleIdx="6" presStyleCnt="31">
        <dgm:presLayoutVars>
          <dgm:bulletEnabled val="1"/>
        </dgm:presLayoutVars>
      </dgm:prSet>
      <dgm:spPr/>
    </dgm:pt>
    <dgm:pt modelId="{E6B89461-4A3D-42F9-9724-85D072F06CBB}" type="pres">
      <dgm:prSet presAssocID="{6C20051A-C227-4FCE-84B9-13E8355C6FE0}" presName="aSpace2" presStyleCnt="0"/>
      <dgm:spPr/>
    </dgm:pt>
    <dgm:pt modelId="{ED72BB4B-3283-4FB6-8CED-112A7127815D}" type="pres">
      <dgm:prSet presAssocID="{D216417B-8724-4A89-97D4-DE24FD728663}" presName="childNode" presStyleLbl="node1" presStyleIdx="7" presStyleCnt="31">
        <dgm:presLayoutVars>
          <dgm:bulletEnabled val="1"/>
        </dgm:presLayoutVars>
      </dgm:prSet>
      <dgm:spPr/>
    </dgm:pt>
    <dgm:pt modelId="{D367107A-E0F3-4662-86D0-A24CFBAFCFBD}" type="pres">
      <dgm:prSet presAssocID="{D216417B-8724-4A89-97D4-DE24FD728663}" presName="aSpace2" presStyleCnt="0"/>
      <dgm:spPr/>
    </dgm:pt>
    <dgm:pt modelId="{7690A3C0-559A-413A-80CB-EF7F0448F8BE}" type="pres">
      <dgm:prSet presAssocID="{06EA25F0-C693-44AF-A06D-C0325E1809BB}" presName="childNode" presStyleLbl="node1" presStyleIdx="8" presStyleCnt="31">
        <dgm:presLayoutVars>
          <dgm:bulletEnabled val="1"/>
        </dgm:presLayoutVars>
      </dgm:prSet>
      <dgm:spPr/>
    </dgm:pt>
    <dgm:pt modelId="{58704564-5E38-41D6-A13C-09493EB402C8}" type="pres">
      <dgm:prSet presAssocID="{06EA25F0-C693-44AF-A06D-C0325E1809BB}" presName="aSpace2" presStyleCnt="0"/>
      <dgm:spPr/>
    </dgm:pt>
    <dgm:pt modelId="{D903526D-479C-481C-A099-9D4B76AF7C8B}" type="pres">
      <dgm:prSet presAssocID="{BAD6FA44-564E-46C6-8144-649F60D41AEE}" presName="childNode" presStyleLbl="node1" presStyleIdx="9" presStyleCnt="31">
        <dgm:presLayoutVars>
          <dgm:bulletEnabled val="1"/>
        </dgm:presLayoutVars>
      </dgm:prSet>
      <dgm:spPr/>
    </dgm:pt>
    <dgm:pt modelId="{FDD3DE1F-0461-4B4E-A1AA-E45EF04D108E}" type="pres">
      <dgm:prSet presAssocID="{BAD6FA44-564E-46C6-8144-649F60D41AEE}" presName="aSpace2" presStyleCnt="0"/>
      <dgm:spPr/>
    </dgm:pt>
    <dgm:pt modelId="{44452195-DE33-436B-A472-C9844E86BA39}" type="pres">
      <dgm:prSet presAssocID="{644F3895-1B83-4425-BC44-A86D9C44D344}" presName="childNode" presStyleLbl="node1" presStyleIdx="10" presStyleCnt="31">
        <dgm:presLayoutVars>
          <dgm:bulletEnabled val="1"/>
        </dgm:presLayoutVars>
      </dgm:prSet>
      <dgm:spPr/>
    </dgm:pt>
    <dgm:pt modelId="{E1E0E8BA-EBC3-4F70-B3ED-DB8A17482F28}" type="pres">
      <dgm:prSet presAssocID="{71C93146-8DBD-47BA-9B89-8D2FF25B6FDE}" presName="aSpace" presStyleCnt="0"/>
      <dgm:spPr/>
    </dgm:pt>
    <dgm:pt modelId="{402D373B-B130-4BCE-B754-88E874A8BA2F}" type="pres">
      <dgm:prSet presAssocID="{CB339438-8F81-4836-B0D6-39E445779B2D}" presName="compNode" presStyleCnt="0"/>
      <dgm:spPr/>
    </dgm:pt>
    <dgm:pt modelId="{6D56517E-766B-45C1-B3BA-03A92A9F1628}" type="pres">
      <dgm:prSet presAssocID="{CB339438-8F81-4836-B0D6-39E445779B2D}" presName="aNode" presStyleLbl="bgShp" presStyleIdx="2" presStyleCnt="6" custLinFactNeighborX="1282" custLinFactNeighborY="-546"/>
      <dgm:spPr/>
    </dgm:pt>
    <dgm:pt modelId="{3D88E221-0C0B-49C5-BB85-D37F5241594C}" type="pres">
      <dgm:prSet presAssocID="{CB339438-8F81-4836-B0D6-39E445779B2D}" presName="textNode" presStyleLbl="bgShp" presStyleIdx="2" presStyleCnt="6"/>
      <dgm:spPr/>
    </dgm:pt>
    <dgm:pt modelId="{FC127A81-509B-4C31-A143-B820FFD61064}" type="pres">
      <dgm:prSet presAssocID="{CB339438-8F81-4836-B0D6-39E445779B2D}" presName="compChildNode" presStyleCnt="0"/>
      <dgm:spPr/>
    </dgm:pt>
    <dgm:pt modelId="{E3A1EC06-F8F1-47EA-A4C0-7BCCDF995841}" type="pres">
      <dgm:prSet presAssocID="{CB339438-8F81-4836-B0D6-39E445779B2D}" presName="theInnerList" presStyleCnt="0"/>
      <dgm:spPr/>
    </dgm:pt>
    <dgm:pt modelId="{A239EC8B-8508-4BCF-8FEB-C4B29C102781}" type="pres">
      <dgm:prSet presAssocID="{D38A169C-73FA-404F-BBC1-E58D54FDBE12}" presName="childNode" presStyleLbl="node1" presStyleIdx="11" presStyleCnt="31">
        <dgm:presLayoutVars>
          <dgm:bulletEnabled val="1"/>
        </dgm:presLayoutVars>
      </dgm:prSet>
      <dgm:spPr/>
    </dgm:pt>
    <dgm:pt modelId="{DF1C0E16-9921-47F0-A6F2-1E91F143E5F6}" type="pres">
      <dgm:prSet presAssocID="{D38A169C-73FA-404F-BBC1-E58D54FDBE12}" presName="aSpace2" presStyleCnt="0"/>
      <dgm:spPr/>
    </dgm:pt>
    <dgm:pt modelId="{E2E1DA1B-0A76-431F-B9C4-BDBEA068BDB9}" type="pres">
      <dgm:prSet presAssocID="{3E42AC28-EEB7-4C94-8498-EA993F736C06}" presName="childNode" presStyleLbl="node1" presStyleIdx="12" presStyleCnt="31">
        <dgm:presLayoutVars>
          <dgm:bulletEnabled val="1"/>
        </dgm:presLayoutVars>
      </dgm:prSet>
      <dgm:spPr/>
    </dgm:pt>
    <dgm:pt modelId="{867C5404-DDD4-4835-90A2-32002DFE937E}" type="pres">
      <dgm:prSet presAssocID="{3E42AC28-EEB7-4C94-8498-EA993F736C06}" presName="aSpace2" presStyleCnt="0"/>
      <dgm:spPr/>
    </dgm:pt>
    <dgm:pt modelId="{D853A1B2-3770-4EED-904A-C0129498A003}" type="pres">
      <dgm:prSet presAssocID="{F8D199BE-2EAA-413A-BFAB-C0BA083F3E62}" presName="childNode" presStyleLbl="node1" presStyleIdx="13" presStyleCnt="31">
        <dgm:presLayoutVars>
          <dgm:bulletEnabled val="1"/>
        </dgm:presLayoutVars>
      </dgm:prSet>
      <dgm:spPr/>
    </dgm:pt>
    <dgm:pt modelId="{7E7CFDB6-7738-48DB-9D75-12AF33CCFC76}" type="pres">
      <dgm:prSet presAssocID="{F8D199BE-2EAA-413A-BFAB-C0BA083F3E62}" presName="aSpace2" presStyleCnt="0"/>
      <dgm:spPr/>
    </dgm:pt>
    <dgm:pt modelId="{4E4E0C84-B248-4A7C-85E8-2FD9EC6B9EC1}" type="pres">
      <dgm:prSet presAssocID="{449A3C1E-864C-4D99-A978-C16B25C957B0}" presName="childNode" presStyleLbl="node1" presStyleIdx="14" presStyleCnt="31">
        <dgm:presLayoutVars>
          <dgm:bulletEnabled val="1"/>
        </dgm:presLayoutVars>
      </dgm:prSet>
      <dgm:spPr/>
    </dgm:pt>
    <dgm:pt modelId="{3C2B07E6-77EB-424F-8346-DFFA37174642}" type="pres">
      <dgm:prSet presAssocID="{449A3C1E-864C-4D99-A978-C16B25C957B0}" presName="aSpace2" presStyleCnt="0"/>
      <dgm:spPr/>
    </dgm:pt>
    <dgm:pt modelId="{91C2F32A-F8FB-4AA3-9810-FF746F947A8A}" type="pres">
      <dgm:prSet presAssocID="{4CEDA2CE-63E9-4816-99CB-517EA9D9302E}" presName="childNode" presStyleLbl="node1" presStyleIdx="15" presStyleCnt="31">
        <dgm:presLayoutVars>
          <dgm:bulletEnabled val="1"/>
        </dgm:presLayoutVars>
      </dgm:prSet>
      <dgm:spPr/>
    </dgm:pt>
    <dgm:pt modelId="{3E1558C7-1B44-4DF1-9150-BC01D24B90ED}" type="pres">
      <dgm:prSet presAssocID="{CB339438-8F81-4836-B0D6-39E445779B2D}" presName="aSpace" presStyleCnt="0"/>
      <dgm:spPr/>
    </dgm:pt>
    <dgm:pt modelId="{8A5ABB40-4AF3-4F54-8A23-25AF2440FB8F}" type="pres">
      <dgm:prSet presAssocID="{39F506DE-50F1-49BE-9ED2-88EFDAE6F0E1}" presName="compNode" presStyleCnt="0"/>
      <dgm:spPr/>
    </dgm:pt>
    <dgm:pt modelId="{D3D71071-A754-4C0E-9FFD-064FC19C1E19}" type="pres">
      <dgm:prSet presAssocID="{39F506DE-50F1-49BE-9ED2-88EFDAE6F0E1}" presName="aNode" presStyleLbl="bgShp" presStyleIdx="3" presStyleCnt="6"/>
      <dgm:spPr/>
    </dgm:pt>
    <dgm:pt modelId="{7B18AFFD-E121-412C-9D04-2A61C280EF92}" type="pres">
      <dgm:prSet presAssocID="{39F506DE-50F1-49BE-9ED2-88EFDAE6F0E1}" presName="textNode" presStyleLbl="bgShp" presStyleIdx="3" presStyleCnt="6"/>
      <dgm:spPr/>
    </dgm:pt>
    <dgm:pt modelId="{6464E99A-573D-4147-88DF-98BE15D9D1B3}" type="pres">
      <dgm:prSet presAssocID="{39F506DE-50F1-49BE-9ED2-88EFDAE6F0E1}" presName="compChildNode" presStyleCnt="0"/>
      <dgm:spPr/>
    </dgm:pt>
    <dgm:pt modelId="{9429677E-75CB-407F-90AA-2397BCA125A9}" type="pres">
      <dgm:prSet presAssocID="{39F506DE-50F1-49BE-9ED2-88EFDAE6F0E1}" presName="theInnerList" presStyleCnt="0"/>
      <dgm:spPr/>
    </dgm:pt>
    <dgm:pt modelId="{5FFDAE0D-01DD-4F48-856B-01906FDFAC4D}" type="pres">
      <dgm:prSet presAssocID="{5689EC68-4989-4E1E-96FD-3A6DB0CAD78C}" presName="childNode" presStyleLbl="node1" presStyleIdx="16" presStyleCnt="31">
        <dgm:presLayoutVars>
          <dgm:bulletEnabled val="1"/>
        </dgm:presLayoutVars>
      </dgm:prSet>
      <dgm:spPr/>
    </dgm:pt>
    <dgm:pt modelId="{60D1828E-3849-4FD2-B0B7-E09590FEA5A9}" type="pres">
      <dgm:prSet presAssocID="{5689EC68-4989-4E1E-96FD-3A6DB0CAD78C}" presName="aSpace2" presStyleCnt="0"/>
      <dgm:spPr/>
    </dgm:pt>
    <dgm:pt modelId="{7BE6FBB6-2C7F-4090-924E-AD3A157FFABE}" type="pres">
      <dgm:prSet presAssocID="{C134F88E-4C4C-4F83-B22D-C129B7E3477A}" presName="childNode" presStyleLbl="node1" presStyleIdx="17" presStyleCnt="31">
        <dgm:presLayoutVars>
          <dgm:bulletEnabled val="1"/>
        </dgm:presLayoutVars>
      </dgm:prSet>
      <dgm:spPr/>
    </dgm:pt>
    <dgm:pt modelId="{EB50AF21-1867-4AFD-9D93-5104C82232E5}" type="pres">
      <dgm:prSet presAssocID="{C134F88E-4C4C-4F83-B22D-C129B7E3477A}" presName="aSpace2" presStyleCnt="0"/>
      <dgm:spPr/>
    </dgm:pt>
    <dgm:pt modelId="{1BF27B21-0FAC-4F32-B691-48071D34A960}" type="pres">
      <dgm:prSet presAssocID="{5788F799-C613-40C5-8761-BEA82B1C90FC}" presName="childNode" presStyleLbl="node1" presStyleIdx="18" presStyleCnt="31">
        <dgm:presLayoutVars>
          <dgm:bulletEnabled val="1"/>
        </dgm:presLayoutVars>
      </dgm:prSet>
      <dgm:spPr/>
    </dgm:pt>
    <dgm:pt modelId="{E10D0A9F-4D55-40F0-920D-07936253DA14}" type="pres">
      <dgm:prSet presAssocID="{5788F799-C613-40C5-8761-BEA82B1C90FC}" presName="aSpace2" presStyleCnt="0"/>
      <dgm:spPr/>
    </dgm:pt>
    <dgm:pt modelId="{9821E4E8-E247-4525-A9DD-43D8B524714D}" type="pres">
      <dgm:prSet presAssocID="{451149D5-FEDA-4765-B600-5039ABB58E53}" presName="childNode" presStyleLbl="node1" presStyleIdx="19" presStyleCnt="31">
        <dgm:presLayoutVars>
          <dgm:bulletEnabled val="1"/>
        </dgm:presLayoutVars>
      </dgm:prSet>
      <dgm:spPr/>
    </dgm:pt>
    <dgm:pt modelId="{01482FE3-B603-4D03-A6E2-136BA9F2BD0C}" type="pres">
      <dgm:prSet presAssocID="{451149D5-FEDA-4765-B600-5039ABB58E53}" presName="aSpace2" presStyleCnt="0"/>
      <dgm:spPr/>
    </dgm:pt>
    <dgm:pt modelId="{6081A0E7-3270-44D0-B4CD-B69CEEB69F68}" type="pres">
      <dgm:prSet presAssocID="{C73CB937-E35C-46A7-A528-03AE78F9430B}" presName="childNode" presStyleLbl="node1" presStyleIdx="20" presStyleCnt="31">
        <dgm:presLayoutVars>
          <dgm:bulletEnabled val="1"/>
        </dgm:presLayoutVars>
      </dgm:prSet>
      <dgm:spPr/>
    </dgm:pt>
    <dgm:pt modelId="{2F25DA26-E475-4DCC-81D7-E51A03860FE1}" type="pres">
      <dgm:prSet presAssocID="{39F506DE-50F1-49BE-9ED2-88EFDAE6F0E1}" presName="aSpace" presStyleCnt="0"/>
      <dgm:spPr/>
    </dgm:pt>
    <dgm:pt modelId="{7945454D-625D-4AB2-B97D-5B3833EB7F93}" type="pres">
      <dgm:prSet presAssocID="{35F91573-84CF-4D05-97CE-0E5A3583D4E6}" presName="compNode" presStyleCnt="0"/>
      <dgm:spPr/>
    </dgm:pt>
    <dgm:pt modelId="{8387A50E-865C-4F7E-BAF7-78F89B5F3C88}" type="pres">
      <dgm:prSet presAssocID="{35F91573-84CF-4D05-97CE-0E5A3583D4E6}" presName="aNode" presStyleLbl="bgShp" presStyleIdx="4" presStyleCnt="6"/>
      <dgm:spPr/>
    </dgm:pt>
    <dgm:pt modelId="{639BD1C7-0242-4D12-913E-B2E949B465C2}" type="pres">
      <dgm:prSet presAssocID="{35F91573-84CF-4D05-97CE-0E5A3583D4E6}" presName="textNode" presStyleLbl="bgShp" presStyleIdx="4" presStyleCnt="6"/>
      <dgm:spPr/>
    </dgm:pt>
    <dgm:pt modelId="{CEC341EC-BD97-4257-ACDD-A06B55818C2D}" type="pres">
      <dgm:prSet presAssocID="{35F91573-84CF-4D05-97CE-0E5A3583D4E6}" presName="compChildNode" presStyleCnt="0"/>
      <dgm:spPr/>
    </dgm:pt>
    <dgm:pt modelId="{AEC892E2-6604-443A-A67F-53AE05637B15}" type="pres">
      <dgm:prSet presAssocID="{35F91573-84CF-4D05-97CE-0E5A3583D4E6}" presName="theInnerList" presStyleCnt="0"/>
      <dgm:spPr/>
    </dgm:pt>
    <dgm:pt modelId="{45ED17EB-782D-462A-9CC1-E53FA40A33C7}" type="pres">
      <dgm:prSet presAssocID="{437562EF-45B9-4108-A430-E90D425350DB}" presName="childNode" presStyleLbl="node1" presStyleIdx="21" presStyleCnt="31">
        <dgm:presLayoutVars>
          <dgm:bulletEnabled val="1"/>
        </dgm:presLayoutVars>
      </dgm:prSet>
      <dgm:spPr/>
    </dgm:pt>
    <dgm:pt modelId="{16E19EC9-ED01-4DAC-B0F1-F8A96C2B51C5}" type="pres">
      <dgm:prSet presAssocID="{437562EF-45B9-4108-A430-E90D425350DB}" presName="aSpace2" presStyleCnt="0"/>
      <dgm:spPr/>
    </dgm:pt>
    <dgm:pt modelId="{0482D866-2B3F-412E-9D66-E84151969353}" type="pres">
      <dgm:prSet presAssocID="{2B8DCA65-5882-490B-B6E0-1244B42860BD}" presName="childNode" presStyleLbl="node1" presStyleIdx="22" presStyleCnt="31">
        <dgm:presLayoutVars>
          <dgm:bulletEnabled val="1"/>
        </dgm:presLayoutVars>
      </dgm:prSet>
      <dgm:spPr/>
    </dgm:pt>
    <dgm:pt modelId="{7093F947-1EB5-42F2-8171-F0AB740A3D09}" type="pres">
      <dgm:prSet presAssocID="{2B8DCA65-5882-490B-B6E0-1244B42860BD}" presName="aSpace2" presStyleCnt="0"/>
      <dgm:spPr/>
    </dgm:pt>
    <dgm:pt modelId="{07A918F0-62D9-46AE-9F9F-62DB5B328CB3}" type="pres">
      <dgm:prSet presAssocID="{15D775C9-9490-4A8C-8606-292DE6D1D53F}" presName="childNode" presStyleLbl="node1" presStyleIdx="23" presStyleCnt="31">
        <dgm:presLayoutVars>
          <dgm:bulletEnabled val="1"/>
        </dgm:presLayoutVars>
      </dgm:prSet>
      <dgm:spPr/>
    </dgm:pt>
    <dgm:pt modelId="{D02C7D20-3486-4424-8131-95B71FAD3264}" type="pres">
      <dgm:prSet presAssocID="{15D775C9-9490-4A8C-8606-292DE6D1D53F}" presName="aSpace2" presStyleCnt="0"/>
      <dgm:spPr/>
    </dgm:pt>
    <dgm:pt modelId="{DED3F222-26E6-4809-AA91-F07F244295C3}" type="pres">
      <dgm:prSet presAssocID="{23669D9C-1B83-4042-BBDD-E437161DD5D6}" presName="childNode" presStyleLbl="node1" presStyleIdx="24" presStyleCnt="31">
        <dgm:presLayoutVars>
          <dgm:bulletEnabled val="1"/>
        </dgm:presLayoutVars>
      </dgm:prSet>
      <dgm:spPr/>
    </dgm:pt>
    <dgm:pt modelId="{6CA8B92D-366A-4BEA-A92A-6679C45DAB15}" type="pres">
      <dgm:prSet presAssocID="{23669D9C-1B83-4042-BBDD-E437161DD5D6}" presName="aSpace2" presStyleCnt="0"/>
      <dgm:spPr/>
    </dgm:pt>
    <dgm:pt modelId="{AAF2ACE6-5E38-4636-B080-BC2D37E74DD8}" type="pres">
      <dgm:prSet presAssocID="{9CC56A7C-11FF-4892-B122-891E65EB1004}" presName="childNode" presStyleLbl="node1" presStyleIdx="25" presStyleCnt="31">
        <dgm:presLayoutVars>
          <dgm:bulletEnabled val="1"/>
        </dgm:presLayoutVars>
      </dgm:prSet>
      <dgm:spPr/>
    </dgm:pt>
    <dgm:pt modelId="{0CBD8366-63C9-47EF-B087-7561B6477CB6}" type="pres">
      <dgm:prSet presAssocID="{35F91573-84CF-4D05-97CE-0E5A3583D4E6}" presName="aSpace" presStyleCnt="0"/>
      <dgm:spPr/>
    </dgm:pt>
    <dgm:pt modelId="{C76F0AA8-C3B8-424D-828B-9F3AEB3DDD02}" type="pres">
      <dgm:prSet presAssocID="{731B959C-F05A-4425-AA8A-A0CC576E0CD6}" presName="compNode" presStyleCnt="0"/>
      <dgm:spPr/>
    </dgm:pt>
    <dgm:pt modelId="{788DE979-FF1A-4219-BF84-8A28593CCB94}" type="pres">
      <dgm:prSet presAssocID="{731B959C-F05A-4425-AA8A-A0CC576E0CD6}" presName="aNode" presStyleLbl="bgShp" presStyleIdx="5" presStyleCnt="6"/>
      <dgm:spPr/>
    </dgm:pt>
    <dgm:pt modelId="{71B56B25-BAF1-420C-B037-BB4722F02D90}" type="pres">
      <dgm:prSet presAssocID="{731B959C-F05A-4425-AA8A-A0CC576E0CD6}" presName="textNode" presStyleLbl="bgShp" presStyleIdx="5" presStyleCnt="6"/>
      <dgm:spPr/>
    </dgm:pt>
    <dgm:pt modelId="{3F1D360B-481D-4C5E-90CF-3EAB36CBAFB2}" type="pres">
      <dgm:prSet presAssocID="{731B959C-F05A-4425-AA8A-A0CC576E0CD6}" presName="compChildNode" presStyleCnt="0"/>
      <dgm:spPr/>
    </dgm:pt>
    <dgm:pt modelId="{E1A254AC-78C7-4655-ACAE-FADF2CEC1676}" type="pres">
      <dgm:prSet presAssocID="{731B959C-F05A-4425-AA8A-A0CC576E0CD6}" presName="theInnerList" presStyleCnt="0"/>
      <dgm:spPr/>
    </dgm:pt>
    <dgm:pt modelId="{F1F16BAE-86C3-4B1E-85EA-E74B55A21462}" type="pres">
      <dgm:prSet presAssocID="{E4529BFC-7FBA-401E-83DC-ED21706EC71E}" presName="childNode" presStyleLbl="node1" presStyleIdx="26" presStyleCnt="31">
        <dgm:presLayoutVars>
          <dgm:bulletEnabled val="1"/>
        </dgm:presLayoutVars>
      </dgm:prSet>
      <dgm:spPr/>
    </dgm:pt>
    <dgm:pt modelId="{C398DBA4-3F4A-45C5-A3D1-F3F64D633C42}" type="pres">
      <dgm:prSet presAssocID="{E4529BFC-7FBA-401E-83DC-ED21706EC71E}" presName="aSpace2" presStyleCnt="0"/>
      <dgm:spPr/>
    </dgm:pt>
    <dgm:pt modelId="{2EA20561-6CFD-4954-A64B-AB91B0668E80}" type="pres">
      <dgm:prSet presAssocID="{00C5AD74-BB5E-4C37-87ED-5C005FAF2322}" presName="childNode" presStyleLbl="node1" presStyleIdx="27" presStyleCnt="31">
        <dgm:presLayoutVars>
          <dgm:bulletEnabled val="1"/>
        </dgm:presLayoutVars>
      </dgm:prSet>
      <dgm:spPr/>
    </dgm:pt>
    <dgm:pt modelId="{D0826BCA-BC11-48B7-B01F-89A295A6B808}" type="pres">
      <dgm:prSet presAssocID="{00C5AD74-BB5E-4C37-87ED-5C005FAF2322}" presName="aSpace2" presStyleCnt="0"/>
      <dgm:spPr/>
    </dgm:pt>
    <dgm:pt modelId="{23C873A2-9912-4FE4-BDE7-C88BA9B2ECB3}" type="pres">
      <dgm:prSet presAssocID="{33D15CE1-2AE0-443F-9467-251AED4D49CA}" presName="childNode" presStyleLbl="node1" presStyleIdx="28" presStyleCnt="31">
        <dgm:presLayoutVars>
          <dgm:bulletEnabled val="1"/>
        </dgm:presLayoutVars>
      </dgm:prSet>
      <dgm:spPr/>
    </dgm:pt>
    <dgm:pt modelId="{ED34EE53-D035-4AEC-9CC5-068CFCF668D1}" type="pres">
      <dgm:prSet presAssocID="{33D15CE1-2AE0-443F-9467-251AED4D49CA}" presName="aSpace2" presStyleCnt="0"/>
      <dgm:spPr/>
    </dgm:pt>
    <dgm:pt modelId="{95E7D6F0-32A9-4AB9-8051-93F3945D429B}" type="pres">
      <dgm:prSet presAssocID="{464CADB2-5C0A-499E-880D-27B3B06B5A3D}" presName="childNode" presStyleLbl="node1" presStyleIdx="29" presStyleCnt="31">
        <dgm:presLayoutVars>
          <dgm:bulletEnabled val="1"/>
        </dgm:presLayoutVars>
      </dgm:prSet>
      <dgm:spPr/>
    </dgm:pt>
    <dgm:pt modelId="{A3398A3F-042E-4757-B783-3A417B74E948}" type="pres">
      <dgm:prSet presAssocID="{464CADB2-5C0A-499E-880D-27B3B06B5A3D}" presName="aSpace2" presStyleCnt="0"/>
      <dgm:spPr/>
    </dgm:pt>
    <dgm:pt modelId="{66D2E35F-6AA8-4674-9525-32D6D3B769C9}" type="pres">
      <dgm:prSet presAssocID="{A7DDA4F1-B40B-46B4-B746-EA89906A2FB4}" presName="childNode" presStyleLbl="node1" presStyleIdx="30" presStyleCnt="31">
        <dgm:presLayoutVars>
          <dgm:bulletEnabled val="1"/>
        </dgm:presLayoutVars>
      </dgm:prSet>
      <dgm:spPr/>
    </dgm:pt>
  </dgm:ptLst>
  <dgm:cxnLst>
    <dgm:cxn modelId="{9AA6C102-B33A-45C3-AE7D-4BCB09515111}" srcId="{7ED69BD0-5C46-430C-BD11-1675B78445AF}" destId="{2E51DF25-B7C0-43DA-ADCE-0B6DAA3E9F7B}" srcOrd="3" destOrd="0" parTransId="{060E53C2-706B-40E2-B6B1-DC5694082B1A}" sibTransId="{54C986C0-7254-4D77-8EF8-B2E27153E9C6}"/>
    <dgm:cxn modelId="{D99B360E-0CD9-4872-8220-7B7AB6BFD839}" srcId="{3C8EFC9A-BDC9-4CB0-8DCF-FD6F89FD7C78}" destId="{35F91573-84CF-4D05-97CE-0E5A3583D4E6}" srcOrd="4" destOrd="0" parTransId="{C4B92D65-5D5B-4031-AC81-F50BE376D814}" sibTransId="{F141414D-6441-49BD-B8D1-7829EEA431E5}"/>
    <dgm:cxn modelId="{B60D540F-CFA6-412D-9DCA-BF4FB473BD58}" srcId="{7ED69BD0-5C46-430C-BD11-1675B78445AF}" destId="{C765EFE1-9587-4BD0-BA1D-81A6425C17DB}" srcOrd="4" destOrd="0" parTransId="{9666F175-7D96-457C-A175-023DEBE6F969}" sibTransId="{F6867B9E-C732-4845-A91D-352DB38C5B50}"/>
    <dgm:cxn modelId="{87E5DC14-D8F4-4FF6-967E-E898B4A4AAFC}" type="presOf" srcId="{C134F88E-4C4C-4F83-B22D-C129B7E3477A}" destId="{7BE6FBB6-2C7F-4090-924E-AD3A157FFABE}" srcOrd="0" destOrd="0" presId="urn:microsoft.com/office/officeart/2005/8/layout/lProcess2"/>
    <dgm:cxn modelId="{3D5ED217-C440-4DAD-B796-925F57CAEF8C}" type="presOf" srcId="{2B8DCA65-5882-490B-B6E0-1244B42860BD}" destId="{0482D866-2B3F-412E-9D66-E84151969353}" srcOrd="0" destOrd="0" presId="urn:microsoft.com/office/officeart/2005/8/layout/lProcess2"/>
    <dgm:cxn modelId="{1A1ED718-5287-4C05-9F2C-9C591CDAFBB1}" srcId="{731B959C-F05A-4425-AA8A-A0CC576E0CD6}" destId="{A7DDA4F1-B40B-46B4-B746-EA89906A2FB4}" srcOrd="4" destOrd="0" parTransId="{27302846-3F4E-4890-8FD2-653D02ED08C4}" sibTransId="{BDDA1F47-37EC-4594-B19B-6BEADC130A10}"/>
    <dgm:cxn modelId="{3898561C-AE03-4718-AE3E-8110DF2975AE}" srcId="{3C8EFC9A-BDC9-4CB0-8DCF-FD6F89FD7C78}" destId="{731B959C-F05A-4425-AA8A-A0CC576E0CD6}" srcOrd="5" destOrd="0" parTransId="{4DAF3717-69D8-4024-BC2D-22D2476AC76E}" sibTransId="{4B9E5D53-0B42-48F6-AA2B-6F5F833B01D8}"/>
    <dgm:cxn modelId="{B6AAD51F-543F-4E8D-AAD7-E61B73866953}" type="presOf" srcId="{D38A169C-73FA-404F-BBC1-E58D54FDBE12}" destId="{A239EC8B-8508-4BCF-8FEB-C4B29C102781}" srcOrd="0" destOrd="0" presId="urn:microsoft.com/office/officeart/2005/8/layout/lProcess2"/>
    <dgm:cxn modelId="{501AF81F-EDA7-4634-BE2F-4461AC162427}" srcId="{731B959C-F05A-4425-AA8A-A0CC576E0CD6}" destId="{00C5AD74-BB5E-4C37-87ED-5C005FAF2322}" srcOrd="1" destOrd="0" parTransId="{404B7502-7D11-4D22-9D7C-06E3E9EF975E}" sibTransId="{3EDD23AB-CD9C-43D5-A813-69B24A88F265}"/>
    <dgm:cxn modelId="{9780FA21-45DF-4540-B5A2-9882D8B9DA62}" type="presOf" srcId="{CB339438-8F81-4836-B0D6-39E445779B2D}" destId="{6D56517E-766B-45C1-B3BA-03A92A9F1628}" srcOrd="0" destOrd="0" presId="urn:microsoft.com/office/officeart/2005/8/layout/lProcess2"/>
    <dgm:cxn modelId="{B513EC22-4735-44F9-AB8B-990B8C83BB17}" type="presOf" srcId="{086678A7-F493-4823-B3B6-57A9657951CF}" destId="{B92FF65D-7314-4281-8C61-D2E02ABB453E}" srcOrd="0" destOrd="0" presId="urn:microsoft.com/office/officeart/2005/8/layout/lProcess2"/>
    <dgm:cxn modelId="{85CA7328-C88E-4CCA-A503-4BBF9E60CB5E}" srcId="{3C8EFC9A-BDC9-4CB0-8DCF-FD6F89FD7C78}" destId="{71C93146-8DBD-47BA-9B89-8D2FF25B6FDE}" srcOrd="1" destOrd="0" parTransId="{A4EFA77B-9971-480B-8CDC-B60EE2909B0A}" sibTransId="{8213C114-C822-4D1A-8481-C09CD83DA145}"/>
    <dgm:cxn modelId="{6317B032-9E2D-4C09-BFCB-DEE7F6FB19EC}" srcId="{39F506DE-50F1-49BE-9ED2-88EFDAE6F0E1}" destId="{C134F88E-4C4C-4F83-B22D-C129B7E3477A}" srcOrd="1" destOrd="0" parTransId="{3A9BCE9D-421C-4EAB-A25F-50ADA7668B4B}" sibTransId="{4236607B-8CE8-427B-A6C7-9C4FA5BC3E95}"/>
    <dgm:cxn modelId="{B3794135-D6F8-4259-9889-4CFE23B573EA}" type="presOf" srcId="{5689EC68-4989-4E1E-96FD-3A6DB0CAD78C}" destId="{5FFDAE0D-01DD-4F48-856B-01906FDFAC4D}" srcOrd="0" destOrd="0" presId="urn:microsoft.com/office/officeart/2005/8/layout/lProcess2"/>
    <dgm:cxn modelId="{30B7E838-9B7D-4D9C-AF84-FB3D80B5C2B5}" srcId="{731B959C-F05A-4425-AA8A-A0CC576E0CD6}" destId="{33D15CE1-2AE0-443F-9467-251AED4D49CA}" srcOrd="2" destOrd="0" parTransId="{8DBE2E30-A162-48E8-A94C-52C937E1A99A}" sibTransId="{4DADF293-3BD0-4310-9161-04488FADA7BD}"/>
    <dgm:cxn modelId="{A91C153A-AAE1-478B-8F28-DD6597A354F0}" srcId="{39F506DE-50F1-49BE-9ED2-88EFDAE6F0E1}" destId="{451149D5-FEDA-4765-B600-5039ABB58E53}" srcOrd="3" destOrd="0" parTransId="{4E2281CA-A78E-45B2-B336-A5EC6E0D7E46}" sibTransId="{9902A7BB-1925-42EB-BB58-87F6AD6E80B5}"/>
    <dgm:cxn modelId="{12BC693D-0B61-4DD5-9951-D069F37E2097}" type="presOf" srcId="{451149D5-FEDA-4765-B600-5039ABB58E53}" destId="{9821E4E8-E247-4525-A9DD-43D8B524714D}" srcOrd="0" destOrd="0" presId="urn:microsoft.com/office/officeart/2005/8/layout/lProcess2"/>
    <dgm:cxn modelId="{EE06583E-1D7B-4600-9D41-C238521BACA8}" type="presOf" srcId="{6C20051A-C227-4FCE-84B9-13E8355C6FE0}" destId="{9B677AB5-8643-43AB-A8BB-D8E12AD5A274}" srcOrd="0" destOrd="0" presId="urn:microsoft.com/office/officeart/2005/8/layout/lProcess2"/>
    <dgm:cxn modelId="{B9B84F3F-92DA-48E6-A3BB-B7C952E21BD3}" srcId="{7ED69BD0-5C46-430C-BD11-1675B78445AF}" destId="{E4B92491-EA9A-4D22-9CF8-82866D9BC210}" srcOrd="0" destOrd="0" parTransId="{AAD8A640-0904-42B2-8737-4F819FCC663F}" sibTransId="{6A795A40-8887-4AB1-8E50-2A17E97000C7}"/>
    <dgm:cxn modelId="{9EC02B40-063D-46C5-BD33-C8B5C1E2EA67}" type="presOf" srcId="{449A3C1E-864C-4D99-A978-C16B25C957B0}" destId="{4E4E0C84-B248-4A7C-85E8-2FD9EC6B9EC1}" srcOrd="0" destOrd="0" presId="urn:microsoft.com/office/officeart/2005/8/layout/lProcess2"/>
    <dgm:cxn modelId="{797C7740-3B4D-4E3F-93C7-6B97DEBA0EF6}" type="presOf" srcId="{00C5AD74-BB5E-4C37-87ED-5C005FAF2322}" destId="{2EA20561-6CFD-4954-A64B-AB91B0668E80}" srcOrd="0" destOrd="0" presId="urn:microsoft.com/office/officeart/2005/8/layout/lProcess2"/>
    <dgm:cxn modelId="{C29DF05B-63D1-42E6-B9B5-44A8CDB3529E}" type="presOf" srcId="{39F506DE-50F1-49BE-9ED2-88EFDAE6F0E1}" destId="{7B18AFFD-E121-412C-9D04-2A61C280EF92}" srcOrd="1" destOrd="0" presId="urn:microsoft.com/office/officeart/2005/8/layout/lProcess2"/>
    <dgm:cxn modelId="{DD5B6D5E-0C04-4034-8CAF-6472FC67D767}" srcId="{35F91573-84CF-4D05-97CE-0E5A3583D4E6}" destId="{9CC56A7C-11FF-4892-B122-891E65EB1004}" srcOrd="4" destOrd="0" parTransId="{F9FC4AA1-7DA9-455E-8AF2-773670B97011}" sibTransId="{D118C918-C2CF-42EA-A3C1-36E577D91416}"/>
    <dgm:cxn modelId="{5712085F-5B9C-44ED-88D8-AD409E3C3FE7}" type="presOf" srcId="{C73CB937-E35C-46A7-A528-03AE78F9430B}" destId="{6081A0E7-3270-44D0-B4CD-B69CEEB69F68}" srcOrd="0" destOrd="0" presId="urn:microsoft.com/office/officeart/2005/8/layout/lProcess2"/>
    <dgm:cxn modelId="{ED7DF260-3958-4453-94DC-9FE9FCA20AB2}" type="presOf" srcId="{A7DDA4F1-B40B-46B4-B746-EA89906A2FB4}" destId="{66D2E35F-6AA8-4674-9525-32D6D3B769C9}" srcOrd="0" destOrd="0" presId="urn:microsoft.com/office/officeart/2005/8/layout/lProcess2"/>
    <dgm:cxn modelId="{5B9BC363-A286-42FB-A533-6542AF21BB0B}" srcId="{71C93146-8DBD-47BA-9B89-8D2FF25B6FDE}" destId="{D216417B-8724-4A89-97D4-DE24FD728663}" srcOrd="1" destOrd="0" parTransId="{38AE1861-BF10-48F6-9902-51054B81E7B4}" sibTransId="{A41718D6-2FB8-4C3B-9ED4-B1EC2AF89F87}"/>
    <dgm:cxn modelId="{3C0AD464-02F9-447E-A6D3-18CA9A9E3E97}" type="presOf" srcId="{E4B92491-EA9A-4D22-9CF8-82866D9BC210}" destId="{D9D4FC23-0730-4C6A-92D3-55905B566BDA}" srcOrd="0" destOrd="0" presId="urn:microsoft.com/office/officeart/2005/8/layout/lProcess2"/>
    <dgm:cxn modelId="{58C72467-DF9F-4CB4-858D-2E57F85622DE}" srcId="{7ED69BD0-5C46-430C-BD11-1675B78445AF}" destId="{086678A7-F493-4823-B3B6-57A9657951CF}" srcOrd="1" destOrd="0" parTransId="{D26FD918-8E0C-41E9-A734-59F853D9C88E}" sibTransId="{BEC88BC7-710D-498D-B073-44C36555D78A}"/>
    <dgm:cxn modelId="{E5F02B68-97E5-4639-8043-C8F4C8193752}" type="presOf" srcId="{C765EFE1-9587-4BD0-BA1D-81A6425C17DB}" destId="{4AA2C2D8-38AC-49A4-B325-32683F44EAF4}" srcOrd="0" destOrd="0" presId="urn:microsoft.com/office/officeart/2005/8/layout/lProcess2"/>
    <dgm:cxn modelId="{9969786C-264F-4F62-BB97-56DA74150D18}" type="presOf" srcId="{464CADB2-5C0A-499E-880D-27B3B06B5A3D}" destId="{95E7D6F0-32A9-4AB9-8051-93F3945D429B}" srcOrd="0" destOrd="0" presId="urn:microsoft.com/office/officeart/2005/8/layout/lProcess2"/>
    <dgm:cxn modelId="{4D3BDD4D-4325-42D8-8823-D4F547B79AB4}" srcId="{7ED69BD0-5C46-430C-BD11-1675B78445AF}" destId="{7C0E973C-743C-470A-8B02-0F4E3FD93FC5}" srcOrd="5" destOrd="0" parTransId="{6D16B90E-7EB1-4EB7-A35C-49E2D6F9539C}" sibTransId="{CC84AF64-DE57-4A04-8A0F-424FADB77927}"/>
    <dgm:cxn modelId="{C6CB4B4E-3CB8-4590-84FC-3F095DABDA92}" srcId="{35F91573-84CF-4D05-97CE-0E5A3583D4E6}" destId="{2B8DCA65-5882-490B-B6E0-1244B42860BD}" srcOrd="1" destOrd="0" parTransId="{AF4BB2B8-6F57-43A5-998F-8FEB6870A237}" sibTransId="{DCAF1C21-F262-4AFE-8421-2B398F24486E}"/>
    <dgm:cxn modelId="{EA6FDD51-17DC-45DD-94EB-D04872699E7D}" type="presOf" srcId="{731B959C-F05A-4425-AA8A-A0CC576E0CD6}" destId="{788DE979-FF1A-4219-BF84-8A28593CCB94}" srcOrd="0" destOrd="0" presId="urn:microsoft.com/office/officeart/2005/8/layout/lProcess2"/>
    <dgm:cxn modelId="{16961D73-ACEE-46B1-941F-230149DA61A6}" srcId="{731B959C-F05A-4425-AA8A-A0CC576E0CD6}" destId="{464CADB2-5C0A-499E-880D-27B3B06B5A3D}" srcOrd="3" destOrd="0" parTransId="{8119D722-6BA9-4785-8A53-4105DEEDF657}" sibTransId="{B913E8EF-34C5-40F3-B6EB-CE64043368BA}"/>
    <dgm:cxn modelId="{BC0D9673-3077-4617-B59E-EC25082B159E}" srcId="{35F91573-84CF-4D05-97CE-0E5A3583D4E6}" destId="{23669D9C-1B83-4042-BBDD-E437161DD5D6}" srcOrd="3" destOrd="0" parTransId="{BC0690C2-1CFB-4558-98BE-D57A2ED56433}" sibTransId="{F788100D-E697-41D6-8F56-32F86DF6336D}"/>
    <dgm:cxn modelId="{3C39BA76-36BD-45C8-9B8C-C56D6FC2B6E2}" type="presOf" srcId="{23669D9C-1B83-4042-BBDD-E437161DD5D6}" destId="{DED3F222-26E6-4809-AA91-F07F244295C3}" srcOrd="0" destOrd="0" presId="urn:microsoft.com/office/officeart/2005/8/layout/lProcess2"/>
    <dgm:cxn modelId="{FF4B5158-2282-42EF-8818-48BE7EC54C4F}" type="presOf" srcId="{9CC56A7C-11FF-4892-B122-891E65EB1004}" destId="{AAF2ACE6-5E38-4636-B080-BC2D37E74DD8}" srcOrd="0" destOrd="0" presId="urn:microsoft.com/office/officeart/2005/8/layout/lProcess2"/>
    <dgm:cxn modelId="{D2E7AC78-1464-4D0F-946B-DE12F0DA1BA3}" srcId="{CB339438-8F81-4836-B0D6-39E445779B2D}" destId="{449A3C1E-864C-4D99-A978-C16B25C957B0}" srcOrd="3" destOrd="0" parTransId="{0A3446BE-D83A-4DAB-A0F2-925FF856AF77}" sibTransId="{54B93C63-1160-4AF5-A9A2-DFAB5D9F65A7}"/>
    <dgm:cxn modelId="{695E7359-E4C6-4AA4-9839-366B49BBB3B9}" srcId="{CB339438-8F81-4836-B0D6-39E445779B2D}" destId="{4CEDA2CE-63E9-4816-99CB-517EA9D9302E}" srcOrd="4" destOrd="0" parTransId="{88CF59FD-DD75-452D-B8A6-7D19771C58BC}" sibTransId="{26F4B49C-1D08-4075-AD89-4C420E1CB199}"/>
    <dgm:cxn modelId="{8FE2367D-ADE8-4FEA-BE5D-EA5106E541C9}" type="presOf" srcId="{3C8EFC9A-BDC9-4CB0-8DCF-FD6F89FD7C78}" destId="{7D112E5F-5E8D-4BAC-B50E-86C24ABA9E6B}" srcOrd="0" destOrd="0" presId="urn:microsoft.com/office/officeart/2005/8/layout/lProcess2"/>
    <dgm:cxn modelId="{3EC95584-F64E-4F01-9306-D20FA216FBEC}" srcId="{7ED69BD0-5C46-430C-BD11-1675B78445AF}" destId="{1DCEF51C-F50A-4B0B-9902-33B322D5ADEF}" srcOrd="2" destOrd="0" parTransId="{2C60948B-205E-4F80-82A1-F8B8D3A331F9}" sibTransId="{54A7321B-FDE2-4C58-BFBF-737A8982D7C8}"/>
    <dgm:cxn modelId="{58469884-803F-439B-9785-08C6FAF8746C}" type="presOf" srcId="{731B959C-F05A-4425-AA8A-A0CC576E0CD6}" destId="{71B56B25-BAF1-420C-B037-BB4722F02D90}" srcOrd="1" destOrd="0" presId="urn:microsoft.com/office/officeart/2005/8/layout/lProcess2"/>
    <dgm:cxn modelId="{9E5B2586-4117-46D2-A77F-55BE96C0CD18}" srcId="{39F506DE-50F1-49BE-9ED2-88EFDAE6F0E1}" destId="{5689EC68-4989-4E1E-96FD-3A6DB0CAD78C}" srcOrd="0" destOrd="0" parTransId="{5E002F54-8A10-472E-96C2-6347E5C62ABE}" sibTransId="{A783D2D8-9AA5-4B37-B664-80F0625BDE23}"/>
    <dgm:cxn modelId="{14FB9A86-01FF-47AB-9613-01533BB132DB}" srcId="{CB339438-8F81-4836-B0D6-39E445779B2D}" destId="{F8D199BE-2EAA-413A-BFAB-C0BA083F3E62}" srcOrd="2" destOrd="0" parTransId="{62741218-0BA0-49F7-B6A0-2A8F7D149CA6}" sibTransId="{6229AB4A-09DB-44F8-A5C4-0AF88257FEC8}"/>
    <dgm:cxn modelId="{28396088-9F13-41F4-B6CB-6A5C0B3DD9F0}" type="presOf" srcId="{35F91573-84CF-4D05-97CE-0E5A3583D4E6}" destId="{8387A50E-865C-4F7E-BAF7-78F89B5F3C88}" srcOrd="0" destOrd="0" presId="urn:microsoft.com/office/officeart/2005/8/layout/lProcess2"/>
    <dgm:cxn modelId="{72A3D78B-92D6-449C-98CC-23E3C2AD0451}" srcId="{71C93146-8DBD-47BA-9B89-8D2FF25B6FDE}" destId="{644F3895-1B83-4425-BC44-A86D9C44D344}" srcOrd="4" destOrd="0" parTransId="{59CA7C89-29E4-4141-A455-C60FACF04E8F}" sibTransId="{613F9AE0-B863-4E2D-9881-74B78479D5B3}"/>
    <dgm:cxn modelId="{FA676D8E-DD10-4206-946E-A18DBBC548C9}" srcId="{3C8EFC9A-BDC9-4CB0-8DCF-FD6F89FD7C78}" destId="{CB339438-8F81-4836-B0D6-39E445779B2D}" srcOrd="2" destOrd="0" parTransId="{81844B2A-8DE3-4EEB-9E0E-031ED26B43F7}" sibTransId="{217513DC-7E70-4D8D-9CA4-5D4693EB7292}"/>
    <dgm:cxn modelId="{B67E0C91-C899-493F-882D-F22A8CFFE2EA}" type="presOf" srcId="{644F3895-1B83-4425-BC44-A86D9C44D344}" destId="{44452195-DE33-436B-A472-C9844E86BA39}" srcOrd="0" destOrd="0" presId="urn:microsoft.com/office/officeart/2005/8/layout/lProcess2"/>
    <dgm:cxn modelId="{CC0B9192-6ADB-42ED-A62D-0C2A56F3FA4F}" type="presOf" srcId="{71C93146-8DBD-47BA-9B89-8D2FF25B6FDE}" destId="{54671E33-5AC7-4CD0-91C9-A60A47022F3E}" srcOrd="0" destOrd="0" presId="urn:microsoft.com/office/officeart/2005/8/layout/lProcess2"/>
    <dgm:cxn modelId="{3FCEE895-271C-4136-B426-FE7F1582CEF1}" srcId="{CB339438-8F81-4836-B0D6-39E445779B2D}" destId="{D38A169C-73FA-404F-BBC1-E58D54FDBE12}" srcOrd="0" destOrd="0" parTransId="{972BF931-FB6A-47EF-8701-10AC9CDA14F0}" sibTransId="{A99A1C84-B8AD-4CE4-944A-AF6FBA84AD6E}"/>
    <dgm:cxn modelId="{1646CD98-FB6D-4976-8B21-A121456BD744}" type="presOf" srcId="{7ED69BD0-5C46-430C-BD11-1675B78445AF}" destId="{F05B5A65-AC5E-407E-B187-D515ADC27144}" srcOrd="1" destOrd="0" presId="urn:microsoft.com/office/officeart/2005/8/layout/lProcess2"/>
    <dgm:cxn modelId="{6E3EB49A-F9C7-49B8-A048-579421865614}" srcId="{3C8EFC9A-BDC9-4CB0-8DCF-FD6F89FD7C78}" destId="{7ED69BD0-5C46-430C-BD11-1675B78445AF}" srcOrd="0" destOrd="0" parTransId="{E750908F-6048-4121-9824-44DEE38A9550}" sibTransId="{218C9A6D-6F68-45C1-B697-BBF6B4D44B14}"/>
    <dgm:cxn modelId="{086606A1-EFCF-480C-BAE3-93E070795E3A}" type="presOf" srcId="{35F91573-84CF-4D05-97CE-0E5A3583D4E6}" destId="{639BD1C7-0242-4D12-913E-B2E949B465C2}" srcOrd="1" destOrd="0" presId="urn:microsoft.com/office/officeart/2005/8/layout/lProcess2"/>
    <dgm:cxn modelId="{D67B36A2-AF53-4234-BC4C-3A7AE32157F3}" type="presOf" srcId="{7ED69BD0-5C46-430C-BD11-1675B78445AF}" destId="{4470F352-0887-4B4E-81B9-385C6AD8A1EF}" srcOrd="0" destOrd="0" presId="urn:microsoft.com/office/officeart/2005/8/layout/lProcess2"/>
    <dgm:cxn modelId="{B6A2B7A2-FF80-4270-BE4E-2808830EFFFC}" srcId="{71C93146-8DBD-47BA-9B89-8D2FF25B6FDE}" destId="{6C20051A-C227-4FCE-84B9-13E8355C6FE0}" srcOrd="0" destOrd="0" parTransId="{31AEE7A3-A8AC-425D-8431-C8B66249CB15}" sibTransId="{70525940-7440-4C0F-AFCA-45BB15C67DD9}"/>
    <dgm:cxn modelId="{DFD1EAA7-E9B7-4782-A476-14CE33073947}" srcId="{39F506DE-50F1-49BE-9ED2-88EFDAE6F0E1}" destId="{5788F799-C613-40C5-8761-BEA82B1C90FC}" srcOrd="2" destOrd="0" parTransId="{B1600F06-2268-4E93-8025-6213C861BF03}" sibTransId="{34DDA67C-48F2-49AC-B592-522587E58066}"/>
    <dgm:cxn modelId="{D091B5AA-06F2-4212-88E3-8A0B0FC112E2}" type="presOf" srcId="{15D775C9-9490-4A8C-8606-292DE6D1D53F}" destId="{07A918F0-62D9-46AE-9F9F-62DB5B328CB3}" srcOrd="0" destOrd="0" presId="urn:microsoft.com/office/officeart/2005/8/layout/lProcess2"/>
    <dgm:cxn modelId="{E920E3AA-97E6-4BAF-919F-76150C3B3DF5}" type="presOf" srcId="{71C93146-8DBD-47BA-9B89-8D2FF25B6FDE}" destId="{6480FF0A-C4CA-4878-B3DC-5C3D2BC5401E}" srcOrd="1" destOrd="0" presId="urn:microsoft.com/office/officeart/2005/8/layout/lProcess2"/>
    <dgm:cxn modelId="{A41119B6-F03E-4797-B579-489D1657FB93}" srcId="{CB339438-8F81-4836-B0D6-39E445779B2D}" destId="{3E42AC28-EEB7-4C94-8498-EA993F736C06}" srcOrd="1" destOrd="0" parTransId="{BDAD4D43-7D69-4996-95FB-E406E9ACF010}" sibTransId="{7E51D8FE-340D-45C3-B07B-C19DF8C135D3}"/>
    <dgm:cxn modelId="{6515D1B7-B79C-467C-996D-26E8F0201521}" type="presOf" srcId="{06EA25F0-C693-44AF-A06D-C0325E1809BB}" destId="{7690A3C0-559A-413A-80CB-EF7F0448F8BE}" srcOrd="0" destOrd="0" presId="urn:microsoft.com/office/officeart/2005/8/layout/lProcess2"/>
    <dgm:cxn modelId="{816512B8-B791-4083-B49A-F17B35A4A282}" type="presOf" srcId="{33D15CE1-2AE0-443F-9467-251AED4D49CA}" destId="{23C873A2-9912-4FE4-BDE7-C88BA9B2ECB3}" srcOrd="0" destOrd="0" presId="urn:microsoft.com/office/officeart/2005/8/layout/lProcess2"/>
    <dgm:cxn modelId="{70C240BD-A947-494F-854E-E0EA692EFD0B}" type="presOf" srcId="{CB339438-8F81-4836-B0D6-39E445779B2D}" destId="{3D88E221-0C0B-49C5-BB85-D37F5241594C}" srcOrd="1" destOrd="0" presId="urn:microsoft.com/office/officeart/2005/8/layout/lProcess2"/>
    <dgm:cxn modelId="{12D52EC1-9057-4336-9228-A28D8FE64A47}" type="presOf" srcId="{437562EF-45B9-4108-A430-E90D425350DB}" destId="{45ED17EB-782D-462A-9CC1-E53FA40A33C7}" srcOrd="0" destOrd="0" presId="urn:microsoft.com/office/officeart/2005/8/layout/lProcess2"/>
    <dgm:cxn modelId="{433CDCC2-514D-4568-8FDD-01E055559F50}" type="presOf" srcId="{2E51DF25-B7C0-43DA-ADCE-0B6DAA3E9F7B}" destId="{EE4F65C3-F61D-4F57-82E6-6248AF681702}" srcOrd="0" destOrd="0" presId="urn:microsoft.com/office/officeart/2005/8/layout/lProcess2"/>
    <dgm:cxn modelId="{5F74CBC7-1B4A-4A19-88D6-CD7B53DFA198}" type="presOf" srcId="{3E42AC28-EEB7-4C94-8498-EA993F736C06}" destId="{E2E1DA1B-0A76-431F-B9C4-BDBEA068BDB9}" srcOrd="0" destOrd="0" presId="urn:microsoft.com/office/officeart/2005/8/layout/lProcess2"/>
    <dgm:cxn modelId="{71D3D0CD-F1F8-4061-91D4-6440ABAD22A3}" type="presOf" srcId="{4CEDA2CE-63E9-4816-99CB-517EA9D9302E}" destId="{91C2F32A-F8FB-4AA3-9810-FF746F947A8A}" srcOrd="0" destOrd="0" presId="urn:microsoft.com/office/officeart/2005/8/layout/lProcess2"/>
    <dgm:cxn modelId="{3DE601D1-0C81-4723-843D-1DD0725735FE}" srcId="{35F91573-84CF-4D05-97CE-0E5A3583D4E6}" destId="{15D775C9-9490-4A8C-8606-292DE6D1D53F}" srcOrd="2" destOrd="0" parTransId="{F8978FD2-D021-43EA-A358-35B52665F96B}" sibTransId="{F54A7DEE-2768-4F69-97DE-957C9B2086DF}"/>
    <dgm:cxn modelId="{81471AD1-0069-4A55-AFA7-7230934509D8}" srcId="{3C8EFC9A-BDC9-4CB0-8DCF-FD6F89FD7C78}" destId="{39F506DE-50F1-49BE-9ED2-88EFDAE6F0E1}" srcOrd="3" destOrd="0" parTransId="{7F60D346-2BA8-4279-8596-2765F26B3192}" sibTransId="{7C66CED6-4EF2-4379-89C4-7E1B0D2D3641}"/>
    <dgm:cxn modelId="{B1B6FBD4-2E3E-4942-AB7B-5FE10B6043EA}" srcId="{71C93146-8DBD-47BA-9B89-8D2FF25B6FDE}" destId="{06EA25F0-C693-44AF-A06D-C0325E1809BB}" srcOrd="2" destOrd="0" parTransId="{40D3FB41-5F9E-4F3D-A379-6015BD01587B}" sibTransId="{D32CBF9F-EBCD-4A05-9CFF-46EB798AAE6D}"/>
    <dgm:cxn modelId="{418645D6-B4DB-4342-9110-72D422B7C362}" srcId="{71C93146-8DBD-47BA-9B89-8D2FF25B6FDE}" destId="{BAD6FA44-564E-46C6-8144-649F60D41AEE}" srcOrd="3" destOrd="0" parTransId="{BF0207BC-EB2C-466F-8BBA-5121346D5386}" sibTransId="{AA7BD254-9782-4365-A4E4-BAC1FEA4984B}"/>
    <dgm:cxn modelId="{B9770FDA-37FF-43F8-A310-12FA30D16BC1}" srcId="{731B959C-F05A-4425-AA8A-A0CC576E0CD6}" destId="{E4529BFC-7FBA-401E-83DC-ED21706EC71E}" srcOrd="0" destOrd="0" parTransId="{75EC726F-0F1A-4A9A-AAA4-BA5A62E7EF13}" sibTransId="{2694060A-8504-46CC-B366-F826D32B0115}"/>
    <dgm:cxn modelId="{D66B96E5-D839-4114-A804-BA00C3B6DAF0}" type="presOf" srcId="{BAD6FA44-564E-46C6-8144-649F60D41AEE}" destId="{D903526D-479C-481C-A099-9D4B76AF7C8B}" srcOrd="0" destOrd="0" presId="urn:microsoft.com/office/officeart/2005/8/layout/lProcess2"/>
    <dgm:cxn modelId="{F308BAE7-1FBD-4455-84CE-6A223E953B08}" type="presOf" srcId="{7C0E973C-743C-470A-8B02-0F4E3FD93FC5}" destId="{211DDDCD-7378-4BEA-A98D-65ED33393EC4}" srcOrd="0" destOrd="0" presId="urn:microsoft.com/office/officeart/2005/8/layout/lProcess2"/>
    <dgm:cxn modelId="{98F8C8E7-1E09-4995-A193-68D1DB8F5229}" type="presOf" srcId="{1DCEF51C-F50A-4B0B-9902-33B322D5ADEF}" destId="{8BA67AC5-5D23-4E1E-BC34-5B51379E48E7}" srcOrd="0" destOrd="0" presId="urn:microsoft.com/office/officeart/2005/8/layout/lProcess2"/>
    <dgm:cxn modelId="{31858EE9-F261-41B5-A294-FE3B79DCA3B5}" type="presOf" srcId="{E4529BFC-7FBA-401E-83DC-ED21706EC71E}" destId="{F1F16BAE-86C3-4B1E-85EA-E74B55A21462}" srcOrd="0" destOrd="0" presId="urn:microsoft.com/office/officeart/2005/8/layout/lProcess2"/>
    <dgm:cxn modelId="{A2284DEA-3E3A-4830-89E4-1322DB7044F3}" type="presOf" srcId="{5788F799-C613-40C5-8761-BEA82B1C90FC}" destId="{1BF27B21-0FAC-4F32-B691-48071D34A960}" srcOrd="0" destOrd="0" presId="urn:microsoft.com/office/officeart/2005/8/layout/lProcess2"/>
    <dgm:cxn modelId="{31AD6CED-D4AF-43F4-824A-277B720C111A}" type="presOf" srcId="{39F506DE-50F1-49BE-9ED2-88EFDAE6F0E1}" destId="{D3D71071-A754-4C0E-9FFD-064FC19C1E19}" srcOrd="0" destOrd="0" presId="urn:microsoft.com/office/officeart/2005/8/layout/lProcess2"/>
    <dgm:cxn modelId="{DF4930EE-E080-4A33-A5A2-D0A164B70308}" srcId="{39F506DE-50F1-49BE-9ED2-88EFDAE6F0E1}" destId="{C73CB937-E35C-46A7-A528-03AE78F9430B}" srcOrd="4" destOrd="0" parTransId="{4C4481EF-620D-4181-8F00-31DC7C846A66}" sibTransId="{CF0C6F57-028A-4F8B-9B40-15B58322102D}"/>
    <dgm:cxn modelId="{55C2DFF2-EDBE-45FB-8FCB-121AEBAE19AA}" srcId="{35F91573-84CF-4D05-97CE-0E5A3583D4E6}" destId="{437562EF-45B9-4108-A430-E90D425350DB}" srcOrd="0" destOrd="0" parTransId="{5D122FFE-41EF-4D98-A656-471511B9F739}" sibTransId="{DA5646B2-415F-44CC-B454-6CDE34BFAF76}"/>
    <dgm:cxn modelId="{1BAAFAF2-950B-4CDF-A69C-D402BC589285}" type="presOf" srcId="{D216417B-8724-4A89-97D4-DE24FD728663}" destId="{ED72BB4B-3283-4FB6-8CED-112A7127815D}" srcOrd="0" destOrd="0" presId="urn:microsoft.com/office/officeart/2005/8/layout/lProcess2"/>
    <dgm:cxn modelId="{995880F7-F42F-4DFB-B43A-F901D033869D}" type="presOf" srcId="{F8D199BE-2EAA-413A-BFAB-C0BA083F3E62}" destId="{D853A1B2-3770-4EED-904A-C0129498A003}" srcOrd="0" destOrd="0" presId="urn:microsoft.com/office/officeart/2005/8/layout/lProcess2"/>
    <dgm:cxn modelId="{A056049E-86FE-43ED-9099-2C4CAD749607}" type="presParOf" srcId="{7D112E5F-5E8D-4BAC-B50E-86C24ABA9E6B}" destId="{4301FABA-D3E5-4FCD-BE6A-B0CB16ED0DEF}" srcOrd="0" destOrd="0" presId="urn:microsoft.com/office/officeart/2005/8/layout/lProcess2"/>
    <dgm:cxn modelId="{9710DC8F-A5A1-4A41-93C5-EA85A8B4D188}" type="presParOf" srcId="{4301FABA-D3E5-4FCD-BE6A-B0CB16ED0DEF}" destId="{4470F352-0887-4B4E-81B9-385C6AD8A1EF}" srcOrd="0" destOrd="0" presId="urn:microsoft.com/office/officeart/2005/8/layout/lProcess2"/>
    <dgm:cxn modelId="{279D81FD-8D40-42F4-81DB-F1CF196C4F81}" type="presParOf" srcId="{4301FABA-D3E5-4FCD-BE6A-B0CB16ED0DEF}" destId="{F05B5A65-AC5E-407E-B187-D515ADC27144}" srcOrd="1" destOrd="0" presId="urn:microsoft.com/office/officeart/2005/8/layout/lProcess2"/>
    <dgm:cxn modelId="{E7D0C837-2334-4C52-8527-CB3D48AD8BDF}" type="presParOf" srcId="{4301FABA-D3E5-4FCD-BE6A-B0CB16ED0DEF}" destId="{A624F00D-DAF2-4670-AA4A-208C7DFEA3B7}" srcOrd="2" destOrd="0" presId="urn:microsoft.com/office/officeart/2005/8/layout/lProcess2"/>
    <dgm:cxn modelId="{9BD7A6B7-DE8C-4A03-B765-9729003F4BF2}" type="presParOf" srcId="{A624F00D-DAF2-4670-AA4A-208C7DFEA3B7}" destId="{533A268E-215C-474A-8A7A-CC045A7FFEC3}" srcOrd="0" destOrd="0" presId="urn:microsoft.com/office/officeart/2005/8/layout/lProcess2"/>
    <dgm:cxn modelId="{7324FF2D-26D8-4571-8B0E-ECB986A64C0C}" type="presParOf" srcId="{533A268E-215C-474A-8A7A-CC045A7FFEC3}" destId="{D9D4FC23-0730-4C6A-92D3-55905B566BDA}" srcOrd="0" destOrd="0" presId="urn:microsoft.com/office/officeart/2005/8/layout/lProcess2"/>
    <dgm:cxn modelId="{BA76495D-6FBA-4905-9F98-7DEDAC294293}" type="presParOf" srcId="{533A268E-215C-474A-8A7A-CC045A7FFEC3}" destId="{7CC912D5-C980-4E1E-9C52-57A9CBD43DD8}" srcOrd="1" destOrd="0" presId="urn:microsoft.com/office/officeart/2005/8/layout/lProcess2"/>
    <dgm:cxn modelId="{BAE869BE-CF87-4841-89B3-B743F6E26BFD}" type="presParOf" srcId="{533A268E-215C-474A-8A7A-CC045A7FFEC3}" destId="{B92FF65D-7314-4281-8C61-D2E02ABB453E}" srcOrd="2" destOrd="0" presId="urn:microsoft.com/office/officeart/2005/8/layout/lProcess2"/>
    <dgm:cxn modelId="{A4C56D76-F2CC-4AB3-A280-833535A82A01}" type="presParOf" srcId="{533A268E-215C-474A-8A7A-CC045A7FFEC3}" destId="{73953B14-DABE-4B45-B824-FBE124E351EA}" srcOrd="3" destOrd="0" presId="urn:microsoft.com/office/officeart/2005/8/layout/lProcess2"/>
    <dgm:cxn modelId="{FED760C4-E4C7-44F5-A29C-348CCD3D2269}" type="presParOf" srcId="{533A268E-215C-474A-8A7A-CC045A7FFEC3}" destId="{8BA67AC5-5D23-4E1E-BC34-5B51379E48E7}" srcOrd="4" destOrd="0" presId="urn:microsoft.com/office/officeart/2005/8/layout/lProcess2"/>
    <dgm:cxn modelId="{379D47EA-1A3E-483B-A77E-BF8632C09DDB}" type="presParOf" srcId="{533A268E-215C-474A-8A7A-CC045A7FFEC3}" destId="{90BBE37B-DDB2-4AAE-AB19-880B559F56DA}" srcOrd="5" destOrd="0" presId="urn:microsoft.com/office/officeart/2005/8/layout/lProcess2"/>
    <dgm:cxn modelId="{454A79F9-BB7B-4EFA-BF2D-5045174A9C19}" type="presParOf" srcId="{533A268E-215C-474A-8A7A-CC045A7FFEC3}" destId="{EE4F65C3-F61D-4F57-82E6-6248AF681702}" srcOrd="6" destOrd="0" presId="urn:microsoft.com/office/officeart/2005/8/layout/lProcess2"/>
    <dgm:cxn modelId="{3B719333-B040-4E1C-904F-1887631B316A}" type="presParOf" srcId="{533A268E-215C-474A-8A7A-CC045A7FFEC3}" destId="{59A96A6C-4DA1-40BF-BF04-0514F78121CF}" srcOrd="7" destOrd="0" presId="urn:microsoft.com/office/officeart/2005/8/layout/lProcess2"/>
    <dgm:cxn modelId="{79BAC0C6-5822-4545-A904-A28FE855EAA1}" type="presParOf" srcId="{533A268E-215C-474A-8A7A-CC045A7FFEC3}" destId="{4AA2C2D8-38AC-49A4-B325-32683F44EAF4}" srcOrd="8" destOrd="0" presId="urn:microsoft.com/office/officeart/2005/8/layout/lProcess2"/>
    <dgm:cxn modelId="{0AD70405-EF2F-4ABC-8222-4472616F97A7}" type="presParOf" srcId="{533A268E-215C-474A-8A7A-CC045A7FFEC3}" destId="{660A3C69-90FE-49F7-90AF-6D0370DB9A7D}" srcOrd="9" destOrd="0" presId="urn:microsoft.com/office/officeart/2005/8/layout/lProcess2"/>
    <dgm:cxn modelId="{D1558DD3-7A05-4534-8EE9-D9366F325865}" type="presParOf" srcId="{533A268E-215C-474A-8A7A-CC045A7FFEC3}" destId="{211DDDCD-7378-4BEA-A98D-65ED33393EC4}" srcOrd="10" destOrd="0" presId="urn:microsoft.com/office/officeart/2005/8/layout/lProcess2"/>
    <dgm:cxn modelId="{EC334A76-5583-4F2A-973A-E9AD86B4709D}" type="presParOf" srcId="{7D112E5F-5E8D-4BAC-B50E-86C24ABA9E6B}" destId="{C16AB182-874D-4807-9AFD-D4E1B87B6A38}" srcOrd="1" destOrd="0" presId="urn:microsoft.com/office/officeart/2005/8/layout/lProcess2"/>
    <dgm:cxn modelId="{74F1208B-3AF7-4357-B024-6D1FB2CECDE9}" type="presParOf" srcId="{7D112E5F-5E8D-4BAC-B50E-86C24ABA9E6B}" destId="{DDC1624A-B4AF-45C4-96AB-6684F5D040BE}" srcOrd="2" destOrd="0" presId="urn:microsoft.com/office/officeart/2005/8/layout/lProcess2"/>
    <dgm:cxn modelId="{727F27BE-AE0D-4B68-B42B-596CF09531AD}" type="presParOf" srcId="{DDC1624A-B4AF-45C4-96AB-6684F5D040BE}" destId="{54671E33-5AC7-4CD0-91C9-A60A47022F3E}" srcOrd="0" destOrd="0" presId="urn:microsoft.com/office/officeart/2005/8/layout/lProcess2"/>
    <dgm:cxn modelId="{793EEAE4-420B-4D3B-A88A-F2136FA1A235}" type="presParOf" srcId="{DDC1624A-B4AF-45C4-96AB-6684F5D040BE}" destId="{6480FF0A-C4CA-4878-B3DC-5C3D2BC5401E}" srcOrd="1" destOrd="0" presId="urn:microsoft.com/office/officeart/2005/8/layout/lProcess2"/>
    <dgm:cxn modelId="{94B84977-A4F6-4448-9D58-685A72097A15}" type="presParOf" srcId="{DDC1624A-B4AF-45C4-96AB-6684F5D040BE}" destId="{A367C46E-BD57-4EAA-AAC8-349DD5760DC9}" srcOrd="2" destOrd="0" presId="urn:microsoft.com/office/officeart/2005/8/layout/lProcess2"/>
    <dgm:cxn modelId="{9DE71FA0-C308-4A6D-A79A-627AB6B9ABD9}" type="presParOf" srcId="{A367C46E-BD57-4EAA-AAC8-349DD5760DC9}" destId="{10201B17-1614-4D45-8D1F-E89E82CE147B}" srcOrd="0" destOrd="0" presId="urn:microsoft.com/office/officeart/2005/8/layout/lProcess2"/>
    <dgm:cxn modelId="{B69C4A38-A460-44E4-B339-D89F99E0A4ED}" type="presParOf" srcId="{10201B17-1614-4D45-8D1F-E89E82CE147B}" destId="{9B677AB5-8643-43AB-A8BB-D8E12AD5A274}" srcOrd="0" destOrd="0" presId="urn:microsoft.com/office/officeart/2005/8/layout/lProcess2"/>
    <dgm:cxn modelId="{F5F776D9-CA4F-4208-B41C-1662B9990B85}" type="presParOf" srcId="{10201B17-1614-4D45-8D1F-E89E82CE147B}" destId="{E6B89461-4A3D-42F9-9724-85D072F06CBB}" srcOrd="1" destOrd="0" presId="urn:microsoft.com/office/officeart/2005/8/layout/lProcess2"/>
    <dgm:cxn modelId="{A763D499-898B-43C6-8A74-5B370EF3F50B}" type="presParOf" srcId="{10201B17-1614-4D45-8D1F-E89E82CE147B}" destId="{ED72BB4B-3283-4FB6-8CED-112A7127815D}" srcOrd="2" destOrd="0" presId="urn:microsoft.com/office/officeart/2005/8/layout/lProcess2"/>
    <dgm:cxn modelId="{3B28D20C-372B-46FB-9D36-2A67DE52AB5E}" type="presParOf" srcId="{10201B17-1614-4D45-8D1F-E89E82CE147B}" destId="{D367107A-E0F3-4662-86D0-A24CFBAFCFBD}" srcOrd="3" destOrd="0" presId="urn:microsoft.com/office/officeart/2005/8/layout/lProcess2"/>
    <dgm:cxn modelId="{524032EB-5300-49C2-AD94-98CF9CF39C22}" type="presParOf" srcId="{10201B17-1614-4D45-8D1F-E89E82CE147B}" destId="{7690A3C0-559A-413A-80CB-EF7F0448F8BE}" srcOrd="4" destOrd="0" presId="urn:microsoft.com/office/officeart/2005/8/layout/lProcess2"/>
    <dgm:cxn modelId="{F88C8E16-8F3A-4F4B-AD76-2685F596CF70}" type="presParOf" srcId="{10201B17-1614-4D45-8D1F-E89E82CE147B}" destId="{58704564-5E38-41D6-A13C-09493EB402C8}" srcOrd="5" destOrd="0" presId="urn:microsoft.com/office/officeart/2005/8/layout/lProcess2"/>
    <dgm:cxn modelId="{307C607C-A001-4009-B9CE-3E60A9B01B58}" type="presParOf" srcId="{10201B17-1614-4D45-8D1F-E89E82CE147B}" destId="{D903526D-479C-481C-A099-9D4B76AF7C8B}" srcOrd="6" destOrd="0" presId="urn:microsoft.com/office/officeart/2005/8/layout/lProcess2"/>
    <dgm:cxn modelId="{B9BA0E50-8C2A-419B-9FEB-6D06532EB621}" type="presParOf" srcId="{10201B17-1614-4D45-8D1F-E89E82CE147B}" destId="{FDD3DE1F-0461-4B4E-A1AA-E45EF04D108E}" srcOrd="7" destOrd="0" presId="urn:microsoft.com/office/officeart/2005/8/layout/lProcess2"/>
    <dgm:cxn modelId="{E95AF614-F345-4C6A-973D-774C48BEC537}" type="presParOf" srcId="{10201B17-1614-4D45-8D1F-E89E82CE147B}" destId="{44452195-DE33-436B-A472-C9844E86BA39}" srcOrd="8" destOrd="0" presId="urn:microsoft.com/office/officeart/2005/8/layout/lProcess2"/>
    <dgm:cxn modelId="{19FA7A70-1A7B-405C-8C9F-A0EB42071384}" type="presParOf" srcId="{7D112E5F-5E8D-4BAC-B50E-86C24ABA9E6B}" destId="{E1E0E8BA-EBC3-4F70-B3ED-DB8A17482F28}" srcOrd="3" destOrd="0" presId="urn:microsoft.com/office/officeart/2005/8/layout/lProcess2"/>
    <dgm:cxn modelId="{29349B50-153A-43D1-AA95-E2633D2BAA0F}" type="presParOf" srcId="{7D112E5F-5E8D-4BAC-B50E-86C24ABA9E6B}" destId="{402D373B-B130-4BCE-B754-88E874A8BA2F}" srcOrd="4" destOrd="0" presId="urn:microsoft.com/office/officeart/2005/8/layout/lProcess2"/>
    <dgm:cxn modelId="{4C4DF165-B39C-42F3-BF0D-8F2721C8088F}" type="presParOf" srcId="{402D373B-B130-4BCE-B754-88E874A8BA2F}" destId="{6D56517E-766B-45C1-B3BA-03A92A9F1628}" srcOrd="0" destOrd="0" presId="urn:microsoft.com/office/officeart/2005/8/layout/lProcess2"/>
    <dgm:cxn modelId="{B6F48FD7-59C7-4558-A446-40E4A21E2FE9}" type="presParOf" srcId="{402D373B-B130-4BCE-B754-88E874A8BA2F}" destId="{3D88E221-0C0B-49C5-BB85-D37F5241594C}" srcOrd="1" destOrd="0" presId="urn:microsoft.com/office/officeart/2005/8/layout/lProcess2"/>
    <dgm:cxn modelId="{B2540334-EEF1-4C03-A15D-E38BC4D2BFDE}" type="presParOf" srcId="{402D373B-B130-4BCE-B754-88E874A8BA2F}" destId="{FC127A81-509B-4C31-A143-B820FFD61064}" srcOrd="2" destOrd="0" presId="urn:microsoft.com/office/officeart/2005/8/layout/lProcess2"/>
    <dgm:cxn modelId="{30B8A702-3504-4149-B1D6-B5E2C309E86A}" type="presParOf" srcId="{FC127A81-509B-4C31-A143-B820FFD61064}" destId="{E3A1EC06-F8F1-47EA-A4C0-7BCCDF995841}" srcOrd="0" destOrd="0" presId="urn:microsoft.com/office/officeart/2005/8/layout/lProcess2"/>
    <dgm:cxn modelId="{1F598639-395E-4A74-8D46-D6194C90E113}" type="presParOf" srcId="{E3A1EC06-F8F1-47EA-A4C0-7BCCDF995841}" destId="{A239EC8B-8508-4BCF-8FEB-C4B29C102781}" srcOrd="0" destOrd="0" presId="urn:microsoft.com/office/officeart/2005/8/layout/lProcess2"/>
    <dgm:cxn modelId="{B73DD717-E1F0-4B43-9420-2009A3ED0853}" type="presParOf" srcId="{E3A1EC06-F8F1-47EA-A4C0-7BCCDF995841}" destId="{DF1C0E16-9921-47F0-A6F2-1E91F143E5F6}" srcOrd="1" destOrd="0" presId="urn:microsoft.com/office/officeart/2005/8/layout/lProcess2"/>
    <dgm:cxn modelId="{66969849-4E8A-430C-8F20-F63C1E99ADFE}" type="presParOf" srcId="{E3A1EC06-F8F1-47EA-A4C0-7BCCDF995841}" destId="{E2E1DA1B-0A76-431F-B9C4-BDBEA068BDB9}" srcOrd="2" destOrd="0" presId="urn:microsoft.com/office/officeart/2005/8/layout/lProcess2"/>
    <dgm:cxn modelId="{03343FCC-DCD9-4926-B8E9-83C5F19F6304}" type="presParOf" srcId="{E3A1EC06-F8F1-47EA-A4C0-7BCCDF995841}" destId="{867C5404-DDD4-4835-90A2-32002DFE937E}" srcOrd="3" destOrd="0" presId="urn:microsoft.com/office/officeart/2005/8/layout/lProcess2"/>
    <dgm:cxn modelId="{094F041E-1CE4-43F1-8913-461A895CCC7F}" type="presParOf" srcId="{E3A1EC06-F8F1-47EA-A4C0-7BCCDF995841}" destId="{D853A1B2-3770-4EED-904A-C0129498A003}" srcOrd="4" destOrd="0" presId="urn:microsoft.com/office/officeart/2005/8/layout/lProcess2"/>
    <dgm:cxn modelId="{AF51D15C-C377-41DC-9FD9-B12221ACFCE6}" type="presParOf" srcId="{E3A1EC06-F8F1-47EA-A4C0-7BCCDF995841}" destId="{7E7CFDB6-7738-48DB-9D75-12AF33CCFC76}" srcOrd="5" destOrd="0" presId="urn:microsoft.com/office/officeart/2005/8/layout/lProcess2"/>
    <dgm:cxn modelId="{2CA06481-34E6-4829-B00A-47153B43485E}" type="presParOf" srcId="{E3A1EC06-F8F1-47EA-A4C0-7BCCDF995841}" destId="{4E4E0C84-B248-4A7C-85E8-2FD9EC6B9EC1}" srcOrd="6" destOrd="0" presId="urn:microsoft.com/office/officeart/2005/8/layout/lProcess2"/>
    <dgm:cxn modelId="{5C518608-CA02-4D80-9B9B-455A8D2039C1}" type="presParOf" srcId="{E3A1EC06-F8F1-47EA-A4C0-7BCCDF995841}" destId="{3C2B07E6-77EB-424F-8346-DFFA37174642}" srcOrd="7" destOrd="0" presId="urn:microsoft.com/office/officeart/2005/8/layout/lProcess2"/>
    <dgm:cxn modelId="{FFD8B0B0-4FBB-4584-AF6E-3DEF68BDB88A}" type="presParOf" srcId="{E3A1EC06-F8F1-47EA-A4C0-7BCCDF995841}" destId="{91C2F32A-F8FB-4AA3-9810-FF746F947A8A}" srcOrd="8" destOrd="0" presId="urn:microsoft.com/office/officeart/2005/8/layout/lProcess2"/>
    <dgm:cxn modelId="{0AC80DD8-3BEC-4952-B6DE-AF90259CE7B2}" type="presParOf" srcId="{7D112E5F-5E8D-4BAC-B50E-86C24ABA9E6B}" destId="{3E1558C7-1B44-4DF1-9150-BC01D24B90ED}" srcOrd="5" destOrd="0" presId="urn:microsoft.com/office/officeart/2005/8/layout/lProcess2"/>
    <dgm:cxn modelId="{3C952C8B-3A52-403F-A6F3-5561A9C3464D}" type="presParOf" srcId="{7D112E5F-5E8D-4BAC-B50E-86C24ABA9E6B}" destId="{8A5ABB40-4AF3-4F54-8A23-25AF2440FB8F}" srcOrd="6" destOrd="0" presId="urn:microsoft.com/office/officeart/2005/8/layout/lProcess2"/>
    <dgm:cxn modelId="{EFFFF2BB-0F41-494E-ADC2-859E75BC9C74}" type="presParOf" srcId="{8A5ABB40-4AF3-4F54-8A23-25AF2440FB8F}" destId="{D3D71071-A754-4C0E-9FFD-064FC19C1E19}" srcOrd="0" destOrd="0" presId="urn:microsoft.com/office/officeart/2005/8/layout/lProcess2"/>
    <dgm:cxn modelId="{C80A7A74-C622-42E3-86FF-235E26E77346}" type="presParOf" srcId="{8A5ABB40-4AF3-4F54-8A23-25AF2440FB8F}" destId="{7B18AFFD-E121-412C-9D04-2A61C280EF92}" srcOrd="1" destOrd="0" presId="urn:microsoft.com/office/officeart/2005/8/layout/lProcess2"/>
    <dgm:cxn modelId="{6EDD2137-29B6-432F-8A7C-C8E99A15BBF3}" type="presParOf" srcId="{8A5ABB40-4AF3-4F54-8A23-25AF2440FB8F}" destId="{6464E99A-573D-4147-88DF-98BE15D9D1B3}" srcOrd="2" destOrd="0" presId="urn:microsoft.com/office/officeart/2005/8/layout/lProcess2"/>
    <dgm:cxn modelId="{3971B6C4-FAF4-4BBD-85C1-C230D1137D55}" type="presParOf" srcId="{6464E99A-573D-4147-88DF-98BE15D9D1B3}" destId="{9429677E-75CB-407F-90AA-2397BCA125A9}" srcOrd="0" destOrd="0" presId="urn:microsoft.com/office/officeart/2005/8/layout/lProcess2"/>
    <dgm:cxn modelId="{339FB0A5-324F-40B8-8252-74F01619B08E}" type="presParOf" srcId="{9429677E-75CB-407F-90AA-2397BCA125A9}" destId="{5FFDAE0D-01DD-4F48-856B-01906FDFAC4D}" srcOrd="0" destOrd="0" presId="urn:microsoft.com/office/officeart/2005/8/layout/lProcess2"/>
    <dgm:cxn modelId="{4EFDAB99-74E6-497F-B539-B12513908C99}" type="presParOf" srcId="{9429677E-75CB-407F-90AA-2397BCA125A9}" destId="{60D1828E-3849-4FD2-B0B7-E09590FEA5A9}" srcOrd="1" destOrd="0" presId="urn:microsoft.com/office/officeart/2005/8/layout/lProcess2"/>
    <dgm:cxn modelId="{7DFFD8BC-4D0D-4055-92DF-64AED45DB561}" type="presParOf" srcId="{9429677E-75CB-407F-90AA-2397BCA125A9}" destId="{7BE6FBB6-2C7F-4090-924E-AD3A157FFABE}" srcOrd="2" destOrd="0" presId="urn:microsoft.com/office/officeart/2005/8/layout/lProcess2"/>
    <dgm:cxn modelId="{476A1405-CCDB-4DEA-94B4-04705F09949A}" type="presParOf" srcId="{9429677E-75CB-407F-90AA-2397BCA125A9}" destId="{EB50AF21-1867-4AFD-9D93-5104C82232E5}" srcOrd="3" destOrd="0" presId="urn:microsoft.com/office/officeart/2005/8/layout/lProcess2"/>
    <dgm:cxn modelId="{1AA3931C-C6CA-4123-8B71-201AC9573086}" type="presParOf" srcId="{9429677E-75CB-407F-90AA-2397BCA125A9}" destId="{1BF27B21-0FAC-4F32-B691-48071D34A960}" srcOrd="4" destOrd="0" presId="urn:microsoft.com/office/officeart/2005/8/layout/lProcess2"/>
    <dgm:cxn modelId="{48F04CA5-9E03-463D-914D-04A3FB584A8B}" type="presParOf" srcId="{9429677E-75CB-407F-90AA-2397BCA125A9}" destId="{E10D0A9F-4D55-40F0-920D-07936253DA14}" srcOrd="5" destOrd="0" presId="urn:microsoft.com/office/officeart/2005/8/layout/lProcess2"/>
    <dgm:cxn modelId="{1390E960-1F36-451B-A5E2-D73DDABA1B25}" type="presParOf" srcId="{9429677E-75CB-407F-90AA-2397BCA125A9}" destId="{9821E4E8-E247-4525-A9DD-43D8B524714D}" srcOrd="6" destOrd="0" presId="urn:microsoft.com/office/officeart/2005/8/layout/lProcess2"/>
    <dgm:cxn modelId="{E74D2205-B9B3-4F3A-9F3E-EADDDDCE4864}" type="presParOf" srcId="{9429677E-75CB-407F-90AA-2397BCA125A9}" destId="{01482FE3-B603-4D03-A6E2-136BA9F2BD0C}" srcOrd="7" destOrd="0" presId="urn:microsoft.com/office/officeart/2005/8/layout/lProcess2"/>
    <dgm:cxn modelId="{6098A5D6-09B8-4439-B5F7-B9F97617A3B4}" type="presParOf" srcId="{9429677E-75CB-407F-90AA-2397BCA125A9}" destId="{6081A0E7-3270-44D0-B4CD-B69CEEB69F68}" srcOrd="8" destOrd="0" presId="urn:microsoft.com/office/officeart/2005/8/layout/lProcess2"/>
    <dgm:cxn modelId="{B58F1AC7-5271-4B2D-86CE-2CEA1F7582C7}" type="presParOf" srcId="{7D112E5F-5E8D-4BAC-B50E-86C24ABA9E6B}" destId="{2F25DA26-E475-4DCC-81D7-E51A03860FE1}" srcOrd="7" destOrd="0" presId="urn:microsoft.com/office/officeart/2005/8/layout/lProcess2"/>
    <dgm:cxn modelId="{92572A93-D97B-428F-B729-08CA10B5C713}" type="presParOf" srcId="{7D112E5F-5E8D-4BAC-B50E-86C24ABA9E6B}" destId="{7945454D-625D-4AB2-B97D-5B3833EB7F93}" srcOrd="8" destOrd="0" presId="urn:microsoft.com/office/officeart/2005/8/layout/lProcess2"/>
    <dgm:cxn modelId="{E8011017-626A-476A-9012-08B6A5593BBC}" type="presParOf" srcId="{7945454D-625D-4AB2-B97D-5B3833EB7F93}" destId="{8387A50E-865C-4F7E-BAF7-78F89B5F3C88}" srcOrd="0" destOrd="0" presId="urn:microsoft.com/office/officeart/2005/8/layout/lProcess2"/>
    <dgm:cxn modelId="{F88250FA-C354-46E5-BFB3-7652F26A4928}" type="presParOf" srcId="{7945454D-625D-4AB2-B97D-5B3833EB7F93}" destId="{639BD1C7-0242-4D12-913E-B2E949B465C2}" srcOrd="1" destOrd="0" presId="urn:microsoft.com/office/officeart/2005/8/layout/lProcess2"/>
    <dgm:cxn modelId="{E90E3D55-052A-4957-83C5-A692D1735657}" type="presParOf" srcId="{7945454D-625D-4AB2-B97D-5B3833EB7F93}" destId="{CEC341EC-BD97-4257-ACDD-A06B55818C2D}" srcOrd="2" destOrd="0" presId="urn:microsoft.com/office/officeart/2005/8/layout/lProcess2"/>
    <dgm:cxn modelId="{D7913AEA-BDEB-48B0-A9DD-A233B47DFEDE}" type="presParOf" srcId="{CEC341EC-BD97-4257-ACDD-A06B55818C2D}" destId="{AEC892E2-6604-443A-A67F-53AE05637B15}" srcOrd="0" destOrd="0" presId="urn:microsoft.com/office/officeart/2005/8/layout/lProcess2"/>
    <dgm:cxn modelId="{6EAAA6FF-DF37-4587-9849-AB37A71481B1}" type="presParOf" srcId="{AEC892E2-6604-443A-A67F-53AE05637B15}" destId="{45ED17EB-782D-462A-9CC1-E53FA40A33C7}" srcOrd="0" destOrd="0" presId="urn:microsoft.com/office/officeart/2005/8/layout/lProcess2"/>
    <dgm:cxn modelId="{7FFBA2FF-DC70-4E95-BC8E-D238EC5E2114}" type="presParOf" srcId="{AEC892E2-6604-443A-A67F-53AE05637B15}" destId="{16E19EC9-ED01-4DAC-B0F1-F8A96C2B51C5}" srcOrd="1" destOrd="0" presId="urn:microsoft.com/office/officeart/2005/8/layout/lProcess2"/>
    <dgm:cxn modelId="{60EA8CE6-DBA3-46DD-95DB-AB304FA16B39}" type="presParOf" srcId="{AEC892E2-6604-443A-A67F-53AE05637B15}" destId="{0482D866-2B3F-412E-9D66-E84151969353}" srcOrd="2" destOrd="0" presId="urn:microsoft.com/office/officeart/2005/8/layout/lProcess2"/>
    <dgm:cxn modelId="{03A85D16-8B75-4E16-A986-451F9C971CCF}" type="presParOf" srcId="{AEC892E2-6604-443A-A67F-53AE05637B15}" destId="{7093F947-1EB5-42F2-8171-F0AB740A3D09}" srcOrd="3" destOrd="0" presId="urn:microsoft.com/office/officeart/2005/8/layout/lProcess2"/>
    <dgm:cxn modelId="{0A1F46A3-3195-4A2D-91B8-237F45AA3E69}" type="presParOf" srcId="{AEC892E2-6604-443A-A67F-53AE05637B15}" destId="{07A918F0-62D9-46AE-9F9F-62DB5B328CB3}" srcOrd="4" destOrd="0" presId="urn:microsoft.com/office/officeart/2005/8/layout/lProcess2"/>
    <dgm:cxn modelId="{175EDDAC-611C-49B5-8934-EE6B8A97170B}" type="presParOf" srcId="{AEC892E2-6604-443A-A67F-53AE05637B15}" destId="{D02C7D20-3486-4424-8131-95B71FAD3264}" srcOrd="5" destOrd="0" presId="urn:microsoft.com/office/officeart/2005/8/layout/lProcess2"/>
    <dgm:cxn modelId="{35285825-F0D3-4204-8E24-C435CFCE23D4}" type="presParOf" srcId="{AEC892E2-6604-443A-A67F-53AE05637B15}" destId="{DED3F222-26E6-4809-AA91-F07F244295C3}" srcOrd="6" destOrd="0" presId="urn:microsoft.com/office/officeart/2005/8/layout/lProcess2"/>
    <dgm:cxn modelId="{E3BA7ABB-5306-455F-8300-DD676516D827}" type="presParOf" srcId="{AEC892E2-6604-443A-A67F-53AE05637B15}" destId="{6CA8B92D-366A-4BEA-A92A-6679C45DAB15}" srcOrd="7" destOrd="0" presId="urn:microsoft.com/office/officeart/2005/8/layout/lProcess2"/>
    <dgm:cxn modelId="{5F53D0CB-9DF7-4043-AB2B-594E1E68A130}" type="presParOf" srcId="{AEC892E2-6604-443A-A67F-53AE05637B15}" destId="{AAF2ACE6-5E38-4636-B080-BC2D37E74DD8}" srcOrd="8" destOrd="0" presId="urn:microsoft.com/office/officeart/2005/8/layout/lProcess2"/>
    <dgm:cxn modelId="{8C1E96BA-18C3-44A7-B448-22C4B68F8889}" type="presParOf" srcId="{7D112E5F-5E8D-4BAC-B50E-86C24ABA9E6B}" destId="{0CBD8366-63C9-47EF-B087-7561B6477CB6}" srcOrd="9" destOrd="0" presId="urn:microsoft.com/office/officeart/2005/8/layout/lProcess2"/>
    <dgm:cxn modelId="{6184E2D8-F98E-47BE-B96E-42B3DF6B9D2A}" type="presParOf" srcId="{7D112E5F-5E8D-4BAC-B50E-86C24ABA9E6B}" destId="{C76F0AA8-C3B8-424D-828B-9F3AEB3DDD02}" srcOrd="10" destOrd="0" presId="urn:microsoft.com/office/officeart/2005/8/layout/lProcess2"/>
    <dgm:cxn modelId="{9E1DC7B1-EA05-4AF1-BE47-559D583CB911}" type="presParOf" srcId="{C76F0AA8-C3B8-424D-828B-9F3AEB3DDD02}" destId="{788DE979-FF1A-4219-BF84-8A28593CCB94}" srcOrd="0" destOrd="0" presId="urn:microsoft.com/office/officeart/2005/8/layout/lProcess2"/>
    <dgm:cxn modelId="{246380CE-FBE9-477C-B217-EC5BB476AFD0}" type="presParOf" srcId="{C76F0AA8-C3B8-424D-828B-9F3AEB3DDD02}" destId="{71B56B25-BAF1-420C-B037-BB4722F02D90}" srcOrd="1" destOrd="0" presId="urn:microsoft.com/office/officeart/2005/8/layout/lProcess2"/>
    <dgm:cxn modelId="{C9638C92-1290-4616-AAF0-4F00A6203D52}" type="presParOf" srcId="{C76F0AA8-C3B8-424D-828B-9F3AEB3DDD02}" destId="{3F1D360B-481D-4C5E-90CF-3EAB36CBAFB2}" srcOrd="2" destOrd="0" presId="urn:microsoft.com/office/officeart/2005/8/layout/lProcess2"/>
    <dgm:cxn modelId="{44F227BE-82A8-4959-AF1C-19BB2D299232}" type="presParOf" srcId="{3F1D360B-481D-4C5E-90CF-3EAB36CBAFB2}" destId="{E1A254AC-78C7-4655-ACAE-FADF2CEC1676}" srcOrd="0" destOrd="0" presId="urn:microsoft.com/office/officeart/2005/8/layout/lProcess2"/>
    <dgm:cxn modelId="{728948CE-5026-4D66-8C75-A858F05555C3}" type="presParOf" srcId="{E1A254AC-78C7-4655-ACAE-FADF2CEC1676}" destId="{F1F16BAE-86C3-4B1E-85EA-E74B55A21462}" srcOrd="0" destOrd="0" presId="urn:microsoft.com/office/officeart/2005/8/layout/lProcess2"/>
    <dgm:cxn modelId="{8D7B1AC6-942A-4DF2-B181-FCB78F24DD4C}" type="presParOf" srcId="{E1A254AC-78C7-4655-ACAE-FADF2CEC1676}" destId="{C398DBA4-3F4A-45C5-A3D1-F3F64D633C42}" srcOrd="1" destOrd="0" presId="urn:microsoft.com/office/officeart/2005/8/layout/lProcess2"/>
    <dgm:cxn modelId="{DBF8A06D-FE53-43B0-B09F-70E62EE8312D}" type="presParOf" srcId="{E1A254AC-78C7-4655-ACAE-FADF2CEC1676}" destId="{2EA20561-6CFD-4954-A64B-AB91B0668E80}" srcOrd="2" destOrd="0" presId="urn:microsoft.com/office/officeart/2005/8/layout/lProcess2"/>
    <dgm:cxn modelId="{382AFC1B-8E1A-4750-8EAB-5F29799134D0}" type="presParOf" srcId="{E1A254AC-78C7-4655-ACAE-FADF2CEC1676}" destId="{D0826BCA-BC11-48B7-B01F-89A295A6B808}" srcOrd="3" destOrd="0" presId="urn:microsoft.com/office/officeart/2005/8/layout/lProcess2"/>
    <dgm:cxn modelId="{9016D371-354C-4A65-B282-DCC1751E81EA}" type="presParOf" srcId="{E1A254AC-78C7-4655-ACAE-FADF2CEC1676}" destId="{23C873A2-9912-4FE4-BDE7-C88BA9B2ECB3}" srcOrd="4" destOrd="0" presId="urn:microsoft.com/office/officeart/2005/8/layout/lProcess2"/>
    <dgm:cxn modelId="{231E8D50-C85E-44F7-B53B-CFA644377AAD}" type="presParOf" srcId="{E1A254AC-78C7-4655-ACAE-FADF2CEC1676}" destId="{ED34EE53-D035-4AEC-9CC5-068CFCF668D1}" srcOrd="5" destOrd="0" presId="urn:microsoft.com/office/officeart/2005/8/layout/lProcess2"/>
    <dgm:cxn modelId="{B233CE19-05A3-48B0-AFBC-03B43F5280C3}" type="presParOf" srcId="{E1A254AC-78C7-4655-ACAE-FADF2CEC1676}" destId="{95E7D6F0-32A9-4AB9-8051-93F3945D429B}" srcOrd="6" destOrd="0" presId="urn:microsoft.com/office/officeart/2005/8/layout/lProcess2"/>
    <dgm:cxn modelId="{431E756B-41B3-47C8-B891-1EEDF42A3349}" type="presParOf" srcId="{E1A254AC-78C7-4655-ACAE-FADF2CEC1676}" destId="{A3398A3F-042E-4757-B783-3A417B74E948}" srcOrd="7" destOrd="0" presId="urn:microsoft.com/office/officeart/2005/8/layout/lProcess2"/>
    <dgm:cxn modelId="{44F7E31F-A761-4336-A460-112F8BA476CB}" type="presParOf" srcId="{E1A254AC-78C7-4655-ACAE-FADF2CEC1676}" destId="{66D2E35F-6AA8-4674-9525-32D6D3B769C9}" srcOrd="8" destOrd="0" presId="urn:microsoft.com/office/officeart/2005/8/layout/lProcess2"/>
  </dgm:cxnLst>
  <dgm:bg/>
  <dgm:whole/>
  <dgm:extLst>
    <a:ext uri="http://schemas.microsoft.com/office/drawing/2008/diagram">
      <dsp:dataModelExt xmlns:dsp="http://schemas.microsoft.com/office/drawing/2008/diagram" relId="rId6"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4470F352-0887-4B4E-81B9-385C6AD8A1EF}">
      <dsp:nvSpPr>
        <dsp:cNvPr id="0" name=""/>
        <dsp:cNvSpPr/>
      </dsp:nvSpPr>
      <dsp:spPr>
        <a:xfrm>
          <a:off x="0" y="0"/>
          <a:ext cx="1320415" cy="4653703"/>
        </a:xfrm>
        <a:prstGeom prst="roundRect">
          <a:avLst>
            <a:gd name="adj" fmla="val 10000"/>
          </a:avLst>
        </a:prstGeom>
        <a:solidFill>
          <a:schemeClr val="accent6">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nl-NL" sz="1800" b="1" kern="1200"/>
            <a:t>Digital Power Basic Skills</a:t>
          </a:r>
        </a:p>
      </dsp:txBody>
      <dsp:txXfrm>
        <a:off x="0" y="0"/>
        <a:ext cx="1320415" cy="1396111"/>
      </dsp:txXfrm>
    </dsp:sp>
    <dsp:sp modelId="{D9D4FC23-0730-4C6A-92D3-55905B566BDA}">
      <dsp:nvSpPr>
        <dsp:cNvPr id="0" name=""/>
        <dsp:cNvSpPr/>
      </dsp:nvSpPr>
      <dsp:spPr>
        <a:xfrm>
          <a:off x="135383" y="1396338"/>
          <a:ext cx="1056332" cy="44679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Leren &amp; reflecteren</a:t>
          </a:r>
        </a:p>
      </dsp:txBody>
      <dsp:txXfrm>
        <a:off x="148469" y="1409424"/>
        <a:ext cx="1030160" cy="420622"/>
      </dsp:txXfrm>
    </dsp:sp>
    <dsp:sp modelId="{B92FF65D-7314-4281-8C61-D2E02ABB453E}">
      <dsp:nvSpPr>
        <dsp:cNvPr id="0" name=""/>
        <dsp:cNvSpPr/>
      </dsp:nvSpPr>
      <dsp:spPr>
        <a:xfrm>
          <a:off x="135383" y="1911870"/>
          <a:ext cx="1056332" cy="44679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Ondersteunen &amp; samenwerken</a:t>
          </a:r>
        </a:p>
      </dsp:txBody>
      <dsp:txXfrm>
        <a:off x="148469" y="1924956"/>
        <a:ext cx="1030160" cy="420622"/>
      </dsp:txXfrm>
    </dsp:sp>
    <dsp:sp modelId="{8BA67AC5-5D23-4E1E-BC34-5B51379E48E7}">
      <dsp:nvSpPr>
        <dsp:cNvPr id="0" name=""/>
        <dsp:cNvSpPr/>
      </dsp:nvSpPr>
      <dsp:spPr>
        <a:xfrm>
          <a:off x="135383" y="2427402"/>
          <a:ext cx="1056332" cy="44679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Ondernemen &amp; resultaatgericht</a:t>
          </a:r>
        </a:p>
      </dsp:txBody>
      <dsp:txXfrm>
        <a:off x="148469" y="2440488"/>
        <a:ext cx="1030160" cy="420622"/>
      </dsp:txXfrm>
    </dsp:sp>
    <dsp:sp modelId="{EE4F65C3-F61D-4F57-82E6-6248AF681702}">
      <dsp:nvSpPr>
        <dsp:cNvPr id="0" name=""/>
        <dsp:cNvSpPr/>
      </dsp:nvSpPr>
      <dsp:spPr>
        <a:xfrm>
          <a:off x="135383" y="2942933"/>
          <a:ext cx="1056332" cy="44679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Klantgericht</a:t>
          </a:r>
        </a:p>
      </dsp:txBody>
      <dsp:txXfrm>
        <a:off x="148469" y="2956019"/>
        <a:ext cx="1030160" cy="420622"/>
      </dsp:txXfrm>
    </dsp:sp>
    <dsp:sp modelId="{4AA2C2D8-38AC-49A4-B325-32683F44EAF4}">
      <dsp:nvSpPr>
        <dsp:cNvPr id="0" name=""/>
        <dsp:cNvSpPr/>
      </dsp:nvSpPr>
      <dsp:spPr>
        <a:xfrm>
          <a:off x="135383" y="3458465"/>
          <a:ext cx="1056332" cy="44679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Kennisdeling</a:t>
          </a:r>
        </a:p>
      </dsp:txBody>
      <dsp:txXfrm>
        <a:off x="148469" y="3471551"/>
        <a:ext cx="1030160" cy="420622"/>
      </dsp:txXfrm>
    </dsp:sp>
    <dsp:sp modelId="{211DDDCD-7378-4BEA-A98D-65ED33393EC4}">
      <dsp:nvSpPr>
        <dsp:cNvPr id="0" name=""/>
        <dsp:cNvSpPr/>
      </dsp:nvSpPr>
      <dsp:spPr>
        <a:xfrm>
          <a:off x="135383" y="3973997"/>
          <a:ext cx="1056332" cy="44679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Coaching &amp; begeleiding</a:t>
          </a:r>
        </a:p>
      </dsp:txBody>
      <dsp:txXfrm>
        <a:off x="148469" y="3987083"/>
        <a:ext cx="1030160" cy="420622"/>
      </dsp:txXfrm>
    </dsp:sp>
    <dsp:sp modelId="{54671E33-5AC7-4CD0-91C9-A60A47022F3E}">
      <dsp:nvSpPr>
        <dsp:cNvPr id="0" name=""/>
        <dsp:cNvSpPr/>
      </dsp:nvSpPr>
      <dsp:spPr>
        <a:xfrm>
          <a:off x="1422788" y="0"/>
          <a:ext cx="1320415" cy="4653703"/>
        </a:xfrm>
        <a:prstGeom prst="roundRect">
          <a:avLst>
            <a:gd name="adj" fmla="val 10000"/>
          </a:avLst>
        </a:prstGeom>
        <a:solidFill>
          <a:schemeClr val="accent6">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nl-NL" sz="1800" b="1" kern="1200"/>
            <a:t>Domein skills</a:t>
          </a:r>
        </a:p>
      </dsp:txBody>
      <dsp:txXfrm>
        <a:off x="1422788" y="0"/>
        <a:ext cx="1320415" cy="1396111"/>
      </dsp:txXfrm>
    </dsp:sp>
    <dsp:sp modelId="{9B677AB5-8643-43AB-A8BB-D8E12AD5A274}">
      <dsp:nvSpPr>
        <dsp:cNvPr id="0" name=""/>
        <dsp:cNvSpPr/>
      </dsp:nvSpPr>
      <dsp:spPr>
        <a:xfrm>
          <a:off x="1554830" y="1396991"/>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Domein kennis</a:t>
          </a:r>
        </a:p>
      </dsp:txBody>
      <dsp:txXfrm>
        <a:off x="1570598" y="1412759"/>
        <a:ext cx="1024796" cy="506832"/>
      </dsp:txXfrm>
    </dsp:sp>
    <dsp:sp modelId="{ED72BB4B-3283-4FB6-8CED-112A7127815D}">
      <dsp:nvSpPr>
        <dsp:cNvPr id="0" name=""/>
        <dsp:cNvSpPr/>
      </dsp:nvSpPr>
      <dsp:spPr>
        <a:xfrm>
          <a:off x="1554830" y="2018186"/>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Metrics, KPIs en doelen</a:t>
          </a:r>
        </a:p>
      </dsp:txBody>
      <dsp:txXfrm>
        <a:off x="1570598" y="2033954"/>
        <a:ext cx="1024796" cy="506832"/>
      </dsp:txXfrm>
    </dsp:sp>
    <dsp:sp modelId="{7690A3C0-559A-413A-80CB-EF7F0448F8BE}">
      <dsp:nvSpPr>
        <dsp:cNvPr id="0" name=""/>
        <dsp:cNvSpPr/>
      </dsp:nvSpPr>
      <dsp:spPr>
        <a:xfrm>
          <a:off x="1554830" y="2639380"/>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Wiskunde &amp; statistiek</a:t>
          </a:r>
        </a:p>
      </dsp:txBody>
      <dsp:txXfrm>
        <a:off x="1570598" y="2655148"/>
        <a:ext cx="1024796" cy="506832"/>
      </dsp:txXfrm>
    </dsp:sp>
    <dsp:sp modelId="{D903526D-479C-481C-A099-9D4B76AF7C8B}">
      <dsp:nvSpPr>
        <dsp:cNvPr id="0" name=""/>
        <dsp:cNvSpPr/>
      </dsp:nvSpPr>
      <dsp:spPr>
        <a:xfrm>
          <a:off x="1554830" y="3260575"/>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Data interpretatie &amp; analyse</a:t>
          </a:r>
        </a:p>
      </dsp:txBody>
      <dsp:txXfrm>
        <a:off x="1570598" y="3276343"/>
        <a:ext cx="1024796" cy="506832"/>
      </dsp:txXfrm>
    </dsp:sp>
    <dsp:sp modelId="{44452195-DE33-436B-A472-C9844E86BA39}">
      <dsp:nvSpPr>
        <dsp:cNvPr id="0" name=""/>
        <dsp:cNvSpPr/>
      </dsp:nvSpPr>
      <dsp:spPr>
        <a:xfrm>
          <a:off x="1554830" y="3881769"/>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Dashboarding &amp; reporting</a:t>
          </a:r>
        </a:p>
      </dsp:txBody>
      <dsp:txXfrm>
        <a:off x="1570598" y="3897537"/>
        <a:ext cx="1024796" cy="506832"/>
      </dsp:txXfrm>
    </dsp:sp>
    <dsp:sp modelId="{6D56517E-766B-45C1-B3BA-03A92A9F1628}">
      <dsp:nvSpPr>
        <dsp:cNvPr id="0" name=""/>
        <dsp:cNvSpPr/>
      </dsp:nvSpPr>
      <dsp:spPr>
        <a:xfrm>
          <a:off x="2859163" y="0"/>
          <a:ext cx="1320415" cy="4653703"/>
        </a:xfrm>
        <a:prstGeom prst="roundRect">
          <a:avLst>
            <a:gd name="adj" fmla="val 10000"/>
          </a:avLst>
        </a:prstGeom>
        <a:solidFill>
          <a:schemeClr val="accent6">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nl-NL" sz="1800" b="1" kern="1200"/>
            <a:t>Hardskills</a:t>
          </a:r>
        </a:p>
      </dsp:txBody>
      <dsp:txXfrm>
        <a:off x="2859163" y="0"/>
        <a:ext cx="1320415" cy="1396111"/>
      </dsp:txXfrm>
    </dsp:sp>
    <dsp:sp modelId="{A239EC8B-8508-4BCF-8FEB-C4B29C102781}">
      <dsp:nvSpPr>
        <dsp:cNvPr id="0" name=""/>
        <dsp:cNvSpPr/>
      </dsp:nvSpPr>
      <dsp:spPr>
        <a:xfrm>
          <a:off x="2974276" y="1396991"/>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Toolkennis</a:t>
          </a:r>
        </a:p>
      </dsp:txBody>
      <dsp:txXfrm>
        <a:off x="2990044" y="1412759"/>
        <a:ext cx="1024796" cy="506832"/>
      </dsp:txXfrm>
    </dsp:sp>
    <dsp:sp modelId="{E2E1DA1B-0A76-431F-B9C4-BDBEA068BDB9}">
      <dsp:nvSpPr>
        <dsp:cNvPr id="0" name=""/>
        <dsp:cNvSpPr/>
      </dsp:nvSpPr>
      <dsp:spPr>
        <a:xfrm>
          <a:off x="2974276" y="2018186"/>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Implementatie &amp; data verzameling</a:t>
          </a:r>
        </a:p>
      </dsp:txBody>
      <dsp:txXfrm>
        <a:off x="2990044" y="2033954"/>
        <a:ext cx="1024796" cy="506832"/>
      </dsp:txXfrm>
    </dsp:sp>
    <dsp:sp modelId="{D853A1B2-3770-4EED-904A-C0129498A003}">
      <dsp:nvSpPr>
        <dsp:cNvPr id="0" name=""/>
        <dsp:cNvSpPr/>
      </dsp:nvSpPr>
      <dsp:spPr>
        <a:xfrm>
          <a:off x="2974276" y="2639380"/>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Data verwerking</a:t>
          </a:r>
        </a:p>
      </dsp:txBody>
      <dsp:txXfrm>
        <a:off x="2990044" y="2655148"/>
        <a:ext cx="1024796" cy="506832"/>
      </dsp:txXfrm>
    </dsp:sp>
    <dsp:sp modelId="{4E4E0C84-B248-4A7C-85E8-2FD9EC6B9EC1}">
      <dsp:nvSpPr>
        <dsp:cNvPr id="0" name=""/>
        <dsp:cNvSpPr/>
      </dsp:nvSpPr>
      <dsp:spPr>
        <a:xfrm>
          <a:off x="2974276" y="3260575"/>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Data visualisatie</a:t>
          </a:r>
        </a:p>
      </dsp:txBody>
      <dsp:txXfrm>
        <a:off x="2990044" y="3276343"/>
        <a:ext cx="1024796" cy="506832"/>
      </dsp:txXfrm>
    </dsp:sp>
    <dsp:sp modelId="{91C2F32A-F8FB-4AA3-9810-FF746F947A8A}">
      <dsp:nvSpPr>
        <dsp:cNvPr id="0" name=""/>
        <dsp:cNvSpPr/>
      </dsp:nvSpPr>
      <dsp:spPr>
        <a:xfrm>
          <a:off x="2974276" y="3881769"/>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Wettelijke &amp; ethische kaders</a:t>
          </a:r>
        </a:p>
      </dsp:txBody>
      <dsp:txXfrm>
        <a:off x="2990044" y="3897537"/>
        <a:ext cx="1024796" cy="506832"/>
      </dsp:txXfrm>
    </dsp:sp>
    <dsp:sp modelId="{D3D71071-A754-4C0E-9FFD-064FC19C1E19}">
      <dsp:nvSpPr>
        <dsp:cNvPr id="0" name=""/>
        <dsp:cNvSpPr/>
      </dsp:nvSpPr>
      <dsp:spPr>
        <a:xfrm>
          <a:off x="4261682" y="0"/>
          <a:ext cx="1320415" cy="4653703"/>
        </a:xfrm>
        <a:prstGeom prst="roundRect">
          <a:avLst>
            <a:gd name="adj" fmla="val 10000"/>
          </a:avLst>
        </a:prstGeom>
        <a:solidFill>
          <a:schemeClr val="accent6">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nl-NL" sz="1800" b="1" kern="1200"/>
            <a:t>Basic Consultancy Skills</a:t>
          </a:r>
        </a:p>
      </dsp:txBody>
      <dsp:txXfrm>
        <a:off x="4261682" y="0"/>
        <a:ext cx="1320415" cy="1396111"/>
      </dsp:txXfrm>
    </dsp:sp>
    <dsp:sp modelId="{5FFDAE0D-01DD-4F48-856B-01906FDFAC4D}">
      <dsp:nvSpPr>
        <dsp:cNvPr id="0" name=""/>
        <dsp:cNvSpPr/>
      </dsp:nvSpPr>
      <dsp:spPr>
        <a:xfrm>
          <a:off x="4393723" y="1396991"/>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Adviseren</a:t>
          </a:r>
        </a:p>
      </dsp:txBody>
      <dsp:txXfrm>
        <a:off x="4409491" y="1412759"/>
        <a:ext cx="1024796" cy="506832"/>
      </dsp:txXfrm>
    </dsp:sp>
    <dsp:sp modelId="{7BE6FBB6-2C7F-4090-924E-AD3A157FFABE}">
      <dsp:nvSpPr>
        <dsp:cNvPr id="0" name=""/>
        <dsp:cNvSpPr/>
      </dsp:nvSpPr>
      <dsp:spPr>
        <a:xfrm>
          <a:off x="4393723" y="2018186"/>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Doortastend &amp; probleemoplossend</a:t>
          </a:r>
        </a:p>
      </dsp:txBody>
      <dsp:txXfrm>
        <a:off x="4409491" y="2033954"/>
        <a:ext cx="1024796" cy="506832"/>
      </dsp:txXfrm>
    </dsp:sp>
    <dsp:sp modelId="{1BF27B21-0FAC-4F32-B691-48071D34A960}">
      <dsp:nvSpPr>
        <dsp:cNvPr id="0" name=""/>
        <dsp:cNvSpPr/>
      </dsp:nvSpPr>
      <dsp:spPr>
        <a:xfrm>
          <a:off x="4393723" y="2639380"/>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Interpersoonlijke communicatie</a:t>
          </a:r>
        </a:p>
      </dsp:txBody>
      <dsp:txXfrm>
        <a:off x="4409491" y="2655148"/>
        <a:ext cx="1024796" cy="506832"/>
      </dsp:txXfrm>
    </dsp:sp>
    <dsp:sp modelId="{9821E4E8-E247-4525-A9DD-43D8B524714D}">
      <dsp:nvSpPr>
        <dsp:cNvPr id="0" name=""/>
        <dsp:cNvSpPr/>
      </dsp:nvSpPr>
      <dsp:spPr>
        <a:xfrm>
          <a:off x="4393723" y="3260575"/>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Verwachtings-management</a:t>
          </a:r>
        </a:p>
      </dsp:txBody>
      <dsp:txXfrm>
        <a:off x="4409491" y="3276343"/>
        <a:ext cx="1024796" cy="506832"/>
      </dsp:txXfrm>
    </dsp:sp>
    <dsp:sp modelId="{6081A0E7-3270-44D0-B4CD-B69CEEB69F68}">
      <dsp:nvSpPr>
        <dsp:cNvPr id="0" name=""/>
        <dsp:cNvSpPr/>
      </dsp:nvSpPr>
      <dsp:spPr>
        <a:xfrm>
          <a:off x="4393723" y="3881769"/>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Schriftelijke en mondelinge communicatie</a:t>
          </a:r>
        </a:p>
      </dsp:txBody>
      <dsp:txXfrm>
        <a:off x="4409491" y="3897537"/>
        <a:ext cx="1024796" cy="506832"/>
      </dsp:txXfrm>
    </dsp:sp>
    <dsp:sp modelId="{8387A50E-865C-4F7E-BAF7-78F89B5F3C88}">
      <dsp:nvSpPr>
        <dsp:cNvPr id="0" name=""/>
        <dsp:cNvSpPr/>
      </dsp:nvSpPr>
      <dsp:spPr>
        <a:xfrm>
          <a:off x="5681128" y="0"/>
          <a:ext cx="1320415" cy="4653703"/>
        </a:xfrm>
        <a:prstGeom prst="roundRect">
          <a:avLst>
            <a:gd name="adj" fmla="val 10000"/>
          </a:avLst>
        </a:prstGeom>
        <a:solidFill>
          <a:schemeClr val="accent6">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nl-NL" sz="1800" b="1" kern="1200"/>
            <a:t>Business Skills</a:t>
          </a:r>
        </a:p>
      </dsp:txBody>
      <dsp:txXfrm>
        <a:off x="5681128" y="0"/>
        <a:ext cx="1320415" cy="1396111"/>
      </dsp:txXfrm>
    </dsp:sp>
    <dsp:sp modelId="{45ED17EB-782D-462A-9CC1-E53FA40A33C7}">
      <dsp:nvSpPr>
        <dsp:cNvPr id="0" name=""/>
        <dsp:cNvSpPr/>
      </dsp:nvSpPr>
      <dsp:spPr>
        <a:xfrm>
          <a:off x="5813170" y="1396991"/>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Organisatie- en management identificatie</a:t>
          </a:r>
        </a:p>
      </dsp:txBody>
      <dsp:txXfrm>
        <a:off x="5828938" y="1412759"/>
        <a:ext cx="1024796" cy="506832"/>
      </dsp:txXfrm>
    </dsp:sp>
    <dsp:sp modelId="{0482D866-2B3F-412E-9D66-E84151969353}">
      <dsp:nvSpPr>
        <dsp:cNvPr id="0" name=""/>
        <dsp:cNvSpPr/>
      </dsp:nvSpPr>
      <dsp:spPr>
        <a:xfrm>
          <a:off x="5813170" y="2018186"/>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Strategische conceptualisatie</a:t>
          </a:r>
        </a:p>
      </dsp:txBody>
      <dsp:txXfrm>
        <a:off x="5828938" y="2033954"/>
        <a:ext cx="1024796" cy="506832"/>
      </dsp:txXfrm>
    </dsp:sp>
    <dsp:sp modelId="{07A918F0-62D9-46AE-9F9F-62DB5B328CB3}">
      <dsp:nvSpPr>
        <dsp:cNvPr id="0" name=""/>
        <dsp:cNvSpPr/>
      </dsp:nvSpPr>
      <dsp:spPr>
        <a:xfrm>
          <a:off x="5813170" y="2639380"/>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Projectmanagement</a:t>
          </a:r>
        </a:p>
      </dsp:txBody>
      <dsp:txXfrm>
        <a:off x="5828938" y="2655148"/>
        <a:ext cx="1024796" cy="506832"/>
      </dsp:txXfrm>
    </dsp:sp>
    <dsp:sp modelId="{DED3F222-26E6-4809-AA91-F07F244295C3}">
      <dsp:nvSpPr>
        <dsp:cNvPr id="0" name=""/>
        <dsp:cNvSpPr/>
      </dsp:nvSpPr>
      <dsp:spPr>
        <a:xfrm>
          <a:off x="5813170" y="3260575"/>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Verander-management</a:t>
          </a:r>
        </a:p>
      </dsp:txBody>
      <dsp:txXfrm>
        <a:off x="5828938" y="3276343"/>
        <a:ext cx="1024796" cy="506832"/>
      </dsp:txXfrm>
    </dsp:sp>
    <dsp:sp modelId="{AAF2ACE6-5E38-4636-B080-BC2D37E74DD8}">
      <dsp:nvSpPr>
        <dsp:cNvPr id="0" name=""/>
        <dsp:cNvSpPr/>
      </dsp:nvSpPr>
      <dsp:spPr>
        <a:xfrm>
          <a:off x="5813170" y="3881769"/>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Leidinggeven</a:t>
          </a:r>
        </a:p>
      </dsp:txBody>
      <dsp:txXfrm>
        <a:off x="5828938" y="3897537"/>
        <a:ext cx="1024796" cy="506832"/>
      </dsp:txXfrm>
    </dsp:sp>
    <dsp:sp modelId="{788DE979-FF1A-4219-BF84-8A28593CCB94}">
      <dsp:nvSpPr>
        <dsp:cNvPr id="0" name=""/>
        <dsp:cNvSpPr/>
      </dsp:nvSpPr>
      <dsp:spPr>
        <a:xfrm>
          <a:off x="7100575" y="0"/>
          <a:ext cx="1320415" cy="4653703"/>
        </a:xfrm>
        <a:prstGeom prst="roundRect">
          <a:avLst>
            <a:gd name="adj" fmla="val 10000"/>
          </a:avLst>
        </a:prstGeom>
        <a:solidFill>
          <a:schemeClr val="accent6">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nl-NL" sz="1800" b="1" kern="1200"/>
            <a:t>Expert Consultancy Skills</a:t>
          </a:r>
        </a:p>
      </dsp:txBody>
      <dsp:txXfrm>
        <a:off x="7100575" y="0"/>
        <a:ext cx="1320415" cy="1396111"/>
      </dsp:txXfrm>
    </dsp:sp>
    <dsp:sp modelId="{F1F16BAE-86C3-4B1E-85EA-E74B55A21462}">
      <dsp:nvSpPr>
        <dsp:cNvPr id="0" name=""/>
        <dsp:cNvSpPr/>
      </dsp:nvSpPr>
      <dsp:spPr>
        <a:xfrm>
          <a:off x="7232616" y="1396991"/>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Situationele communicatie</a:t>
          </a:r>
        </a:p>
      </dsp:txBody>
      <dsp:txXfrm>
        <a:off x="7248384" y="1412759"/>
        <a:ext cx="1024796" cy="506832"/>
      </dsp:txXfrm>
    </dsp:sp>
    <dsp:sp modelId="{2EA20561-6CFD-4954-A64B-AB91B0668E80}">
      <dsp:nvSpPr>
        <dsp:cNvPr id="0" name=""/>
        <dsp:cNvSpPr/>
      </dsp:nvSpPr>
      <dsp:spPr>
        <a:xfrm>
          <a:off x="7232616" y="2018186"/>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Doelgerichte &amp; effectieve communicatie</a:t>
          </a:r>
        </a:p>
      </dsp:txBody>
      <dsp:txXfrm>
        <a:off x="7248384" y="2033954"/>
        <a:ext cx="1024796" cy="506832"/>
      </dsp:txXfrm>
    </dsp:sp>
    <dsp:sp modelId="{23C873A2-9912-4FE4-BDE7-C88BA9B2ECB3}">
      <dsp:nvSpPr>
        <dsp:cNvPr id="0" name=""/>
        <dsp:cNvSpPr/>
      </dsp:nvSpPr>
      <dsp:spPr>
        <a:xfrm>
          <a:off x="7232616" y="2639380"/>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Besluitvaardigheid</a:t>
          </a:r>
        </a:p>
      </dsp:txBody>
      <dsp:txXfrm>
        <a:off x="7248384" y="2655148"/>
        <a:ext cx="1024796" cy="506832"/>
      </dsp:txXfrm>
    </dsp:sp>
    <dsp:sp modelId="{95E7D6F0-32A9-4AB9-8051-93F3945D429B}">
      <dsp:nvSpPr>
        <dsp:cNvPr id="0" name=""/>
        <dsp:cNvSpPr/>
      </dsp:nvSpPr>
      <dsp:spPr>
        <a:xfrm>
          <a:off x="7232616" y="3260575"/>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Overtuigen &amp; beinvloeden</a:t>
          </a:r>
        </a:p>
      </dsp:txBody>
      <dsp:txXfrm>
        <a:off x="7248384" y="3276343"/>
        <a:ext cx="1024796" cy="506832"/>
      </dsp:txXfrm>
    </dsp:sp>
    <dsp:sp modelId="{66D2E35F-6AA8-4674-9525-32D6D3B769C9}">
      <dsp:nvSpPr>
        <dsp:cNvPr id="0" name=""/>
        <dsp:cNvSpPr/>
      </dsp:nvSpPr>
      <dsp:spPr>
        <a:xfrm>
          <a:off x="7232616" y="3881769"/>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Opbouwende feedback &amp; slecht nieuws gesprekken</a:t>
          </a:r>
        </a:p>
      </dsp:txBody>
      <dsp:txXfrm>
        <a:off x="7248384" y="3897537"/>
        <a:ext cx="1024796" cy="506832"/>
      </dsp:txXfrm>
    </dsp:sp>
  </dsp:spTree>
</dsp:drawing>
</file>

<file path=xl/diagrams/layout1.xml><?xml version="1.0" encoding="utf-8"?>
<dgm:layoutDef xmlns:dgm="http://schemas.openxmlformats.org/drawingml/2006/diagram" xmlns:a="http://schemas.openxmlformats.org/drawingml/2006/main" uniqueId="urn:microsoft.com/office/officeart/2005/8/layout/lProcess2">
  <dgm:title val=""/>
  <dgm:desc val=""/>
  <dgm:catLst>
    <dgm:cat type="list" pri="10000"/>
    <dgm:cat type="relationship" pri="13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13" srcId="1" destId="11" srcOrd="0" destOrd="0"/>
        <dgm:cxn modelId="14" srcId="1" destId="12" srcOrd="0" destOrd="0"/>
        <dgm:cxn modelId="23" srcId="2" destId="21" srcOrd="0" destOrd="0"/>
        <dgm:cxn modelId="24" srcId="2" destId="22" srcOrd="0" destOrd="0"/>
        <dgm:cxn modelId="33" srcId="3" destId="31" srcOrd="0" destOrd="0"/>
        <dgm:cxn modelId="34" srcId="3" destId="32" srcOrd="0" destOrd="0"/>
      </dgm:cxnLst>
      <dgm:bg/>
      <dgm:whole/>
    </dgm:dataModel>
  </dgm:sampData>
  <dgm:styleData useDef="1">
    <dgm:dataModel>
      <dgm:ptLst/>
      <dgm:bg/>
      <dgm:whole/>
    </dgm:dataModel>
  </dgm:styleData>
  <dgm:clrData useDef="1">
    <dgm:dataModel>
      <dgm:ptLst/>
      <dgm:bg/>
      <dgm:whole/>
    </dgm:dataModel>
  </dgm:clrData>
  <dgm:layoutNode name="theList">
    <dgm:varLst>
      <dgm:dir/>
      <dgm:animLvl val="lvl"/>
      <dgm:resizeHandles val="exact"/>
    </dgm:varLst>
    <dgm:choose name="Name0">
      <dgm:if name="Name1" func="var" arg="dir" op="equ" val="norm">
        <dgm:alg type="lin"/>
      </dgm:if>
      <dgm:else name="Name2">
        <dgm:alg type="lin">
          <dgm:param type="linDir" val="fromR"/>
        </dgm:alg>
      </dgm:else>
    </dgm:choose>
    <dgm:shape xmlns:r="http://schemas.openxmlformats.org/officeDocument/2006/relationships" r:blip="">
      <dgm:adjLst/>
    </dgm:shape>
    <dgm:presOf/>
    <dgm:constrLst>
      <dgm:constr type="w" for="ch" forName="compNode" refType="w"/>
      <dgm:constr type="h" for="ch" forName="compNode" refType="h"/>
      <dgm:constr type="w" for="ch" forName="aSpace" refType="w" fact="0.075"/>
      <dgm:constr type="h" for="des" forName="aSpace2" refType="h" fact="0.1"/>
      <dgm:constr type="primFontSz" for="des" forName="textNode" op="equ"/>
      <dgm:constr type="primFontSz" for="des" forName="childNode" op="equ"/>
    </dgm:constrLst>
    <dgm:ruleLst/>
    <dgm:forEach name="aNodeForEach" axis="ch" ptType="node">
      <dgm:layoutNode name="compNode">
        <dgm:alg type="composite"/>
        <dgm:shape xmlns:r="http://schemas.openxmlformats.org/officeDocument/2006/relationships" r:blip="">
          <dgm:adjLst/>
        </dgm:shape>
        <dgm:presOf/>
        <dgm:constrLst>
          <dgm:constr type="w" for="ch" forName="aNode" refType="w"/>
          <dgm:constr type="h" for="ch" forName="aNode" refType="h"/>
          <dgm:constr type="w" for="ch" forName="textNode" refType="w"/>
          <dgm:constr type="h" for="ch" forName="textNode" refType="h" fact="0.3"/>
          <dgm:constr type="ctrX" for="ch" forName="textNode" refType="w" fact="0.5"/>
          <dgm:constr type="w" for="ch" forName="compChildNode" refType="w" fact="0.8"/>
          <dgm:constr type="h" for="ch" forName="compChildNode" refType="h" fact="0.65"/>
          <dgm:constr type="t" for="ch" forName="compChildNode" refType="h" fact="0.3"/>
          <dgm:constr type="ctrX" for="ch" forName="compChildNode" refType="w" fact="0.5"/>
        </dgm:constrLst>
        <dgm:ruleLst/>
        <dgm:layoutNode name="aNode" styleLbl="bgShp">
          <dgm:alg type="sp"/>
          <dgm:shape xmlns:r="http://schemas.openxmlformats.org/officeDocument/2006/relationships" type="roundRect" r:blip="">
            <dgm:adjLst>
              <dgm:adj idx="1" val="0.1"/>
            </dgm:adjLst>
          </dgm:shape>
          <dgm:presOf axis="self"/>
          <dgm:constrLst/>
          <dgm:ruleLst/>
        </dgm:layoutNode>
        <dgm:layoutNode name="textNode" styleLbl="bgShp">
          <dgm:alg type="tx"/>
          <dgm:shape xmlns:r="http://schemas.openxmlformats.org/officeDocument/2006/relationships" type="rect" r:blip="" hideGeom="1">
            <dgm:adjLst>
              <dgm:adj idx="1" val="0.1"/>
            </dgm:adjLst>
          </dgm:shape>
          <dgm:presOf axis="self"/>
          <dgm:constrLst>
            <dgm:constr type="primFontSz" val="65"/>
            <dgm:constr type="lMarg" refType="primFontSz" fact="0.3"/>
            <dgm:constr type="rMarg" refType="primFontSz" fact="0.3"/>
            <dgm:constr type="tMarg" refType="primFontSz" fact="0.3"/>
            <dgm:constr type="bMarg" refType="primFontSz" fact="0.3"/>
          </dgm:constrLst>
          <dgm:ruleLst>
            <dgm:rule type="primFontSz" val="5" fact="NaN" max="NaN"/>
          </dgm:ruleLst>
        </dgm:layoutNode>
        <dgm:layoutNode name="compChildNode">
          <dgm:alg type="composite"/>
          <dgm:shape xmlns:r="http://schemas.openxmlformats.org/officeDocument/2006/relationships" r:blip="">
            <dgm:adjLst/>
          </dgm:shape>
          <dgm:presOf/>
          <dgm:constrLst>
            <dgm:constr type="w" for="des" forName="childNode" refType="w"/>
            <dgm:constr type="h" for="des" forName="childNode" refType="h"/>
          </dgm:constrLst>
          <dgm:ruleLst/>
          <dgm:layoutNode name="theInnerList">
            <dgm:alg type="lin">
              <dgm:param type="linDir" val="fromT"/>
            </dgm:alg>
            <dgm:shape xmlns:r="http://schemas.openxmlformats.org/officeDocument/2006/relationships" r:blip="">
              <dgm:adjLst/>
            </dgm:shape>
            <dgm:presOf/>
            <dgm:constrLst/>
            <dgm:ruleLst/>
            <dgm:forEach name="childNodeForEach" axis="ch" ptType="node">
              <dgm:layoutNode name="childNode" styleLbl="node1">
                <dgm:varLst>
                  <dgm:bulletEnabled val="1"/>
                </dgm:varLst>
                <dgm:alg type="tx"/>
                <dgm:shape xmlns:r="http://schemas.openxmlformats.org/officeDocument/2006/relationships" type="roundRect" r:blip="">
                  <dgm:adjLst>
                    <dgm:adj idx="1" val="0.1"/>
                  </dgm:adjLst>
                </dgm:shape>
                <dgm:presOf axis="desOrSelf" ptType="node"/>
                <dgm:constrLst>
                  <dgm:constr type="primFontSz" val="65"/>
                  <dgm:constr type="tMarg" refType="primFontSz" fact="0.15"/>
                  <dgm:constr type="bMarg" refType="primFontSz" fact="0.15"/>
                  <dgm:constr type="lMarg" refType="primFontSz" fact="0.2"/>
                  <dgm:constr type="rMarg" refType="primFontSz" fact="0.2"/>
                </dgm:constrLst>
                <dgm:ruleLst>
                  <dgm:rule type="primFontSz" val="5" fact="NaN" max="NaN"/>
                </dgm:ruleLst>
              </dgm:layoutNode>
              <dgm:choose name="Name3">
                <dgm:if name="Name4" axis="self" ptType="node" func="revPos" op="equ" val="1"/>
                <dgm:else name="Name5">
                  <dgm:layoutNode name="aSpace2">
                    <dgm:alg type="sp"/>
                    <dgm:shape xmlns:r="http://schemas.openxmlformats.org/officeDocument/2006/relationships" r:blip="">
                      <dgm:adjLst/>
                    </dgm:shape>
                    <dgm:presOf/>
                    <dgm:constrLst/>
                    <dgm:ruleLst/>
                  </dgm:layoutNode>
                </dgm:else>
              </dgm:choose>
            </dgm:forEach>
          </dgm:layoutNode>
        </dgm:layoutNode>
      </dgm:layoutNode>
      <dgm:choose name="Name6">
        <dgm:if name="Name7" axis="self" ptType="node" func="revPos" op="equ" val="1"/>
        <dgm:else name="Name8">
          <dgm:layoutNode name="aSpace">
            <dgm:alg type="sp"/>
            <dgm:shape xmlns:r="http://schemas.openxmlformats.org/officeDocument/2006/relationships" r:blip="">
              <dgm:adjLst/>
            </dgm:shape>
            <dgm:presOf/>
            <dgm:constrLst/>
            <dgm:ruleLst/>
          </dgm:layoutNode>
        </dgm:else>
      </dgm:choose>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Layout" Target="../diagrams/layout1.xml"/><Relationship Id="rId7" Type="http://schemas.openxmlformats.org/officeDocument/2006/relationships/image" Target="../media/image1.png"/><Relationship Id="rId2" Type="http://schemas.openxmlformats.org/officeDocument/2006/relationships/diagramData" Target="../diagrams/data1.xml"/><Relationship Id="rId6" Type="http://schemas.microsoft.com/office/2007/relationships/diagramDrawing" Target="../diagrams/drawing1.xml"/><Relationship Id="rId5" Type="http://schemas.openxmlformats.org/officeDocument/2006/relationships/diagramColors" Target="../diagrams/colors1.xml"/><Relationship Id="rId4" Type="http://schemas.openxmlformats.org/officeDocument/2006/relationships/diagramQuickStyle" Target="../diagrams/quickStyle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7</xdr:col>
      <xdr:colOff>335679</xdr:colOff>
      <xdr:row>24</xdr:row>
      <xdr:rowOff>60610</xdr:rowOff>
    </xdr:to>
    <xdr:pic>
      <xdr:nvPicPr>
        <xdr:cNvPr id="23" name="Afbeelding 22">
          <a:extLst>
            <a:ext uri="{FF2B5EF4-FFF2-40B4-BE49-F238E27FC236}">
              <a16:creationId xmlns:a16="http://schemas.microsoft.com/office/drawing/2014/main" id="{FFBA8916-7AB3-45D4-AB3F-C1B4FEEED8F8}"/>
            </a:ext>
          </a:extLst>
        </xdr:cNvPr>
        <xdr:cNvPicPr>
          <a:picLocks noChangeAspect="1"/>
        </xdr:cNvPicPr>
      </xdr:nvPicPr>
      <xdr:blipFill>
        <a:blip xmlns:r="http://schemas.openxmlformats.org/officeDocument/2006/relationships" r:embed="rId7"/>
        <a:stretch>
          <a:fillRect/>
        </a:stretch>
      </xdr:blipFill>
      <xdr:spPr>
        <a:xfrm>
          <a:off x="0" y="815340"/>
          <a:ext cx="4496199" cy="3718210"/>
        </a:xfrm>
        <a:prstGeom prst="rect">
          <a:avLst/>
        </a:prstGeom>
      </xdr:spPr>
    </xdr:pic>
    <xdr:clientData/>
  </xdr:twoCellAnchor>
  <xdr:twoCellAnchor>
    <xdr:from>
      <xdr:col>9</xdr:col>
      <xdr:colOff>0</xdr:colOff>
      <xdr:row>4</xdr:row>
      <xdr:rowOff>0</xdr:rowOff>
    </xdr:from>
    <xdr:to>
      <xdr:col>15</xdr:col>
      <xdr:colOff>423333</xdr:colOff>
      <xdr:row>29</xdr:row>
      <xdr:rowOff>81704</xdr:rowOff>
    </xdr:to>
    <xdr:graphicFrame macro="">
      <xdr:nvGraphicFramePr>
        <xdr:cNvPr id="4" name="Diagram 3">
          <a:extLst>
            <a:ext uri="{FF2B5EF4-FFF2-40B4-BE49-F238E27FC236}">
              <a16:creationId xmlns:a16="http://schemas.microsoft.com/office/drawing/2014/main" id="{2184C21C-2349-467C-B9AB-812D5EC831C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2" r:lo="rId3" r:qs="rId4" r:cs="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29765</xdr:colOff>
      <xdr:row>10</xdr:row>
      <xdr:rowOff>3571</xdr:rowOff>
    </xdr:from>
    <xdr:to>
      <xdr:col>9</xdr:col>
      <xdr:colOff>0</xdr:colOff>
      <xdr:row>24</xdr:row>
      <xdr:rowOff>79771</xdr:rowOff>
    </xdr:to>
    <xdr:graphicFrame macro="">
      <xdr:nvGraphicFramePr>
        <xdr:cNvPr id="2" name="Grafiek 1">
          <a:extLst>
            <a:ext uri="{FF2B5EF4-FFF2-40B4-BE49-F238E27FC236}">
              <a16:creationId xmlns:a16="http://schemas.microsoft.com/office/drawing/2014/main" id="{8BC94068-89F0-422E-A08D-0D55168B5A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76200</xdr:colOff>
      <xdr:row>10</xdr:row>
      <xdr:rowOff>0</xdr:rowOff>
    </xdr:from>
    <xdr:to>
      <xdr:col>21</xdr:col>
      <xdr:colOff>9525</xdr:colOff>
      <xdr:row>24</xdr:row>
      <xdr:rowOff>76200</xdr:rowOff>
    </xdr:to>
    <xdr:graphicFrame macro="">
      <xdr:nvGraphicFramePr>
        <xdr:cNvPr id="8" name="Grafiek 7">
          <a:extLst>
            <a:ext uri="{FF2B5EF4-FFF2-40B4-BE49-F238E27FC236}">
              <a16:creationId xmlns:a16="http://schemas.microsoft.com/office/drawing/2014/main" id="{2C06592C-C7FE-4F7F-A7CC-5864C8CD5CF7}"/>
            </a:ext>
            <a:ext uri="{147F2762-F138-4A5C-976F-8EAC2B608ADB}">
              <a16:predDERef xmlns:a16="http://schemas.microsoft.com/office/drawing/2014/main" pred="{8BC94068-89F0-422E-A08D-0D55168B5A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57150</xdr:colOff>
      <xdr:row>10</xdr:row>
      <xdr:rowOff>0</xdr:rowOff>
    </xdr:from>
    <xdr:to>
      <xdr:col>31</xdr:col>
      <xdr:colOff>261938</xdr:colOff>
      <xdr:row>24</xdr:row>
      <xdr:rowOff>76200</xdr:rowOff>
    </xdr:to>
    <xdr:graphicFrame macro="">
      <xdr:nvGraphicFramePr>
        <xdr:cNvPr id="9" name="Grafiek 8">
          <a:extLst>
            <a:ext uri="{FF2B5EF4-FFF2-40B4-BE49-F238E27FC236}">
              <a16:creationId xmlns:a16="http://schemas.microsoft.com/office/drawing/2014/main" id="{F3FC2585-D2A6-46CB-A1D2-356F154BB21A}"/>
            </a:ext>
            <a:ext uri="{147F2762-F138-4A5C-976F-8EAC2B608ADB}">
              <a16:predDERef xmlns:a16="http://schemas.microsoft.com/office/drawing/2014/main" pred="{2C06592C-C7FE-4F7F-A7CC-5864C8CD5C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35720</xdr:colOff>
      <xdr:row>25</xdr:row>
      <xdr:rowOff>0</xdr:rowOff>
    </xdr:from>
    <xdr:to>
      <xdr:col>9</xdr:col>
      <xdr:colOff>0</xdr:colOff>
      <xdr:row>39</xdr:row>
      <xdr:rowOff>76200</xdr:rowOff>
    </xdr:to>
    <xdr:graphicFrame macro="">
      <xdr:nvGraphicFramePr>
        <xdr:cNvPr id="10" name="Grafiek 9">
          <a:extLst>
            <a:ext uri="{FF2B5EF4-FFF2-40B4-BE49-F238E27FC236}">
              <a16:creationId xmlns:a16="http://schemas.microsoft.com/office/drawing/2014/main" id="{B5CA9B28-7B21-4472-BFF3-0B5CF3E4FAD7}"/>
            </a:ext>
            <a:ext uri="{147F2762-F138-4A5C-976F-8EAC2B608ADB}">
              <a16:predDERef xmlns:a16="http://schemas.microsoft.com/office/drawing/2014/main" pred="{F3FC2585-D2A6-46CB-A1D2-356F154BB2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85724</xdr:colOff>
      <xdr:row>25</xdr:row>
      <xdr:rowOff>0</xdr:rowOff>
    </xdr:from>
    <xdr:to>
      <xdr:col>20</xdr:col>
      <xdr:colOff>438149</xdr:colOff>
      <xdr:row>39</xdr:row>
      <xdr:rowOff>76200</xdr:rowOff>
    </xdr:to>
    <xdr:graphicFrame macro="">
      <xdr:nvGraphicFramePr>
        <xdr:cNvPr id="11" name="Grafiek 10">
          <a:extLst>
            <a:ext uri="{FF2B5EF4-FFF2-40B4-BE49-F238E27FC236}">
              <a16:creationId xmlns:a16="http://schemas.microsoft.com/office/drawing/2014/main" id="{60441FA0-E444-4A52-AA01-716A96B586CB}"/>
            </a:ext>
            <a:ext uri="{147F2762-F138-4A5C-976F-8EAC2B608ADB}">
              <a16:predDERef xmlns:a16="http://schemas.microsoft.com/office/drawing/2014/main" pred="{B5CA9B28-7B21-4472-BFF3-0B5CF3E4FA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33</xdr:col>
      <xdr:colOff>0</xdr:colOff>
      <xdr:row>0</xdr:row>
      <xdr:rowOff>0</xdr:rowOff>
    </xdr:from>
    <xdr:to>
      <xdr:col>46</xdr:col>
      <xdr:colOff>511967</xdr:colOff>
      <xdr:row>9</xdr:row>
      <xdr:rowOff>0</xdr:rowOff>
    </xdr:to>
    <xdr:graphicFrame macro="">
      <xdr:nvGraphicFramePr>
        <xdr:cNvPr id="13" name="Grafiek 12">
          <a:extLst>
            <a:ext uri="{FF2B5EF4-FFF2-40B4-BE49-F238E27FC236}">
              <a16:creationId xmlns:a16="http://schemas.microsoft.com/office/drawing/2014/main" id="{6D5DAD57-B223-4292-9225-77E20D3E8D61}"/>
            </a:ext>
            <a:ext uri="{147F2762-F138-4A5C-976F-8EAC2B608ADB}">
              <a16:predDERef xmlns:a16="http://schemas.microsoft.com/office/drawing/2014/main" pred="{60441FA0-E444-4A52-AA01-716A96B586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57150</xdr:colOff>
      <xdr:row>25</xdr:row>
      <xdr:rowOff>0</xdr:rowOff>
    </xdr:from>
    <xdr:to>
      <xdr:col>31</xdr:col>
      <xdr:colOff>250032</xdr:colOff>
      <xdr:row>39</xdr:row>
      <xdr:rowOff>76200</xdr:rowOff>
    </xdr:to>
    <xdr:graphicFrame macro="">
      <xdr:nvGraphicFramePr>
        <xdr:cNvPr id="14" name="Grafiek 13">
          <a:extLst>
            <a:ext uri="{FF2B5EF4-FFF2-40B4-BE49-F238E27FC236}">
              <a16:creationId xmlns:a16="http://schemas.microsoft.com/office/drawing/2014/main" id="{411B7777-4200-495E-AA19-8871A37BD29C}"/>
            </a:ext>
            <a:ext uri="{147F2762-F138-4A5C-976F-8EAC2B608ADB}">
              <a16:predDERef xmlns:a16="http://schemas.microsoft.com/office/drawing/2014/main" pred="{6D5DAD57-B223-4292-9225-77E20D3E8D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31</xdr:col>
      <xdr:colOff>332184</xdr:colOff>
      <xdr:row>9</xdr:row>
      <xdr:rowOff>167878</xdr:rowOff>
    </xdr:from>
    <xdr:to>
      <xdr:col>39</xdr:col>
      <xdr:colOff>215503</xdr:colOff>
      <xdr:row>24</xdr:row>
      <xdr:rowOff>63103</xdr:rowOff>
    </xdr:to>
    <xdr:graphicFrame macro="">
      <xdr:nvGraphicFramePr>
        <xdr:cNvPr id="3" name="Grafiek 2">
          <a:extLst>
            <a:ext uri="{FF2B5EF4-FFF2-40B4-BE49-F238E27FC236}">
              <a16:creationId xmlns:a16="http://schemas.microsoft.com/office/drawing/2014/main" id="{7885E01C-CEA6-43D1-9C48-4F8189248CA6}"/>
            </a:ext>
            <a:ext uri="{147F2762-F138-4A5C-976F-8EAC2B608ADB}">
              <a16:predDERef xmlns:a16="http://schemas.microsoft.com/office/drawing/2014/main" pred="{411B7777-4200-495E-AA19-8871A37BD2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31</xdr:col>
      <xdr:colOff>342900</xdr:colOff>
      <xdr:row>24</xdr:row>
      <xdr:rowOff>171450</xdr:rowOff>
    </xdr:from>
    <xdr:to>
      <xdr:col>39</xdr:col>
      <xdr:colOff>228600</xdr:colOff>
      <xdr:row>39</xdr:row>
      <xdr:rowOff>66675</xdr:rowOff>
    </xdr:to>
    <xdr:graphicFrame macro="">
      <xdr:nvGraphicFramePr>
        <xdr:cNvPr id="12" name="Grafiek 11">
          <a:extLst>
            <a:ext uri="{FF2B5EF4-FFF2-40B4-BE49-F238E27FC236}">
              <a16:creationId xmlns:a16="http://schemas.microsoft.com/office/drawing/2014/main" id="{4BBE5C71-09B1-486E-A48A-92659182056A}"/>
            </a:ext>
            <a:ext uri="{147F2762-F138-4A5C-976F-8EAC2B608ADB}">
              <a16:predDERef xmlns:a16="http://schemas.microsoft.com/office/drawing/2014/main" pred="{7885E01C-CEA6-43D1-9C48-4F8189248C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E7C02-900F-4AD3-8FC2-27B5DAC4D4E3}">
  <dimension ref="A2:P2"/>
  <sheetViews>
    <sheetView showGridLines="0" topLeftCell="A4" workbookViewId="0">
      <selection activeCell="E29" sqref="E29"/>
    </sheetView>
  </sheetViews>
  <sheetFormatPr defaultColWidth="8.7109375" defaultRowHeight="14.45"/>
  <cols>
    <col min="1" max="9" width="8.7109375" style="50"/>
    <col min="10" max="16" width="19.42578125" style="51" customWidth="1"/>
    <col min="17" max="16384" width="8.7109375" style="50"/>
  </cols>
  <sheetData>
    <row r="2" spans="1:10" ht="21">
      <c r="A2" s="49" t="s">
        <v>0</v>
      </c>
      <c r="J2" s="49" t="s">
        <v>1</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89429-DB0B-4382-A6DD-ABAFA63F9653}">
  <sheetPr>
    <pageSetUpPr fitToPage="1"/>
  </sheetPr>
  <dimension ref="A1:M232"/>
  <sheetViews>
    <sheetView showGridLines="0" tabSelected="1" topLeftCell="A219" zoomScale="80" zoomScaleNormal="80" workbookViewId="0">
      <selection activeCell="A227" sqref="A227"/>
    </sheetView>
  </sheetViews>
  <sheetFormatPr defaultColWidth="8.7109375" defaultRowHeight="14.45"/>
  <cols>
    <col min="1" max="1" width="128.28515625" style="86" customWidth="1"/>
    <col min="2" max="3" width="18.5703125" style="87" customWidth="1"/>
    <col min="4" max="4" width="13.85546875" style="94" customWidth="1"/>
    <col min="5" max="16384" width="8.7109375" style="86"/>
  </cols>
  <sheetData>
    <row r="1" spans="1:13" ht="25.9">
      <c r="A1" s="102" t="s">
        <v>2</v>
      </c>
    </row>
    <row r="2" spans="1:13" ht="14.45" customHeight="1"/>
    <row r="3" spans="1:13" ht="29.45" customHeight="1">
      <c r="A3" s="111" t="s">
        <v>3</v>
      </c>
      <c r="B3" s="130" t="s">
        <v>4</v>
      </c>
      <c r="C3" s="131"/>
      <c r="D3" s="132"/>
      <c r="F3" s="127" t="s">
        <v>5</v>
      </c>
      <c r="G3" s="128"/>
      <c r="H3" s="128"/>
      <c r="I3" s="128"/>
      <c r="J3" s="128"/>
      <c r="K3" s="128"/>
      <c r="L3" s="128"/>
      <c r="M3" s="129"/>
    </row>
    <row r="4" spans="1:13" ht="28.9" customHeight="1">
      <c r="A4" s="100" t="s">
        <v>6</v>
      </c>
      <c r="B4" s="89" t="s">
        <v>7</v>
      </c>
      <c r="C4" s="89" t="s">
        <v>8</v>
      </c>
      <c r="D4" s="89" t="s">
        <v>9</v>
      </c>
      <c r="F4" s="133" t="s">
        <v>10</v>
      </c>
      <c r="G4" s="134"/>
      <c r="H4" s="134"/>
      <c r="I4" s="134"/>
      <c r="J4" s="134"/>
      <c r="K4" s="134"/>
      <c r="L4" s="134"/>
      <c r="M4" s="135"/>
    </row>
    <row r="5" spans="1:13" ht="14.45" customHeight="1">
      <c r="A5" s="85" t="s">
        <v>11</v>
      </c>
      <c r="B5" s="93"/>
      <c r="C5" s="93"/>
      <c r="D5" s="90">
        <v>1</v>
      </c>
      <c r="F5" s="136"/>
      <c r="G5" s="137"/>
      <c r="H5" s="137"/>
      <c r="I5" s="137"/>
      <c r="J5" s="137"/>
      <c r="K5" s="137"/>
      <c r="L5" s="137"/>
      <c r="M5" s="138"/>
    </row>
    <row r="6" spans="1:13" ht="14.45" customHeight="1">
      <c r="A6" s="85" t="s">
        <v>12</v>
      </c>
      <c r="B6" s="119">
        <v>1</v>
      </c>
      <c r="C6" s="93"/>
      <c r="D6" s="90">
        <v>2</v>
      </c>
      <c r="F6" s="136"/>
      <c r="G6" s="137"/>
      <c r="H6" s="137"/>
      <c r="I6" s="137"/>
      <c r="J6" s="137"/>
      <c r="K6" s="137"/>
      <c r="L6" s="137"/>
      <c r="M6" s="138"/>
    </row>
    <row r="7" spans="1:13" ht="14.45" customHeight="1">
      <c r="A7" s="85" t="s">
        <v>13</v>
      </c>
      <c r="B7" s="93">
        <v>3</v>
      </c>
      <c r="C7" s="119">
        <v>5</v>
      </c>
      <c r="D7" s="90">
        <v>3</v>
      </c>
      <c r="F7" s="136"/>
      <c r="G7" s="137"/>
      <c r="H7" s="137"/>
      <c r="I7" s="137"/>
      <c r="J7" s="137"/>
      <c r="K7" s="137"/>
      <c r="L7" s="137"/>
      <c r="M7" s="138"/>
    </row>
    <row r="8" spans="1:13" ht="14.45" customHeight="1">
      <c r="A8" s="85" t="s">
        <v>14</v>
      </c>
      <c r="B8" s="93"/>
      <c r="C8" s="93">
        <v>4</v>
      </c>
      <c r="D8" s="90">
        <v>4</v>
      </c>
      <c r="F8" s="136"/>
      <c r="G8" s="137"/>
      <c r="H8" s="137"/>
      <c r="I8" s="137"/>
      <c r="J8" s="137"/>
      <c r="K8" s="137"/>
      <c r="L8" s="137"/>
      <c r="M8" s="138"/>
    </row>
    <row r="9" spans="1:13" ht="15">
      <c r="A9" s="85" t="s">
        <v>15</v>
      </c>
      <c r="B9" s="93"/>
      <c r="C9" s="93"/>
      <c r="D9" s="90">
        <v>5</v>
      </c>
      <c r="F9" s="136"/>
      <c r="G9" s="137"/>
      <c r="H9" s="137"/>
      <c r="I9" s="137"/>
      <c r="J9" s="137"/>
      <c r="K9" s="137"/>
      <c r="L9" s="137"/>
      <c r="M9" s="138"/>
    </row>
    <row r="10" spans="1:13" ht="15">
      <c r="A10" s="88"/>
      <c r="F10" s="136"/>
      <c r="G10" s="137"/>
      <c r="H10" s="137"/>
      <c r="I10" s="137"/>
      <c r="J10" s="137"/>
      <c r="K10" s="137"/>
      <c r="L10" s="137"/>
      <c r="M10" s="138"/>
    </row>
    <row r="11" spans="1:13" ht="23.25">
      <c r="A11" s="112" t="s">
        <v>16</v>
      </c>
      <c r="F11" s="136"/>
      <c r="G11" s="137"/>
      <c r="H11" s="137"/>
      <c r="I11" s="137"/>
      <c r="J11" s="137"/>
      <c r="K11" s="137"/>
      <c r="L11" s="137"/>
      <c r="M11" s="138"/>
    </row>
    <row r="12" spans="1:13" ht="30.75">
      <c r="A12" s="99" t="s">
        <v>17</v>
      </c>
      <c r="B12" s="104" t="s">
        <v>7</v>
      </c>
      <c r="C12" s="104" t="s">
        <v>8</v>
      </c>
      <c r="D12" s="89" t="s">
        <v>9</v>
      </c>
      <c r="F12" s="136"/>
      <c r="G12" s="137"/>
      <c r="H12" s="137"/>
      <c r="I12" s="137"/>
      <c r="J12" s="137"/>
      <c r="K12" s="137"/>
      <c r="L12" s="137"/>
      <c r="M12" s="138"/>
    </row>
    <row r="13" spans="1:13" ht="15">
      <c r="A13" s="120" t="s">
        <v>18</v>
      </c>
      <c r="B13" s="92"/>
      <c r="C13" s="92"/>
      <c r="D13" s="90">
        <v>1</v>
      </c>
      <c r="F13" s="136"/>
      <c r="G13" s="137"/>
      <c r="H13" s="137"/>
      <c r="I13" s="137"/>
      <c r="J13" s="137"/>
      <c r="K13" s="137"/>
      <c r="L13" s="137"/>
      <c r="M13" s="138"/>
    </row>
    <row r="14" spans="1:13" ht="30.75">
      <c r="A14" s="120" t="s">
        <v>19</v>
      </c>
      <c r="B14" s="92"/>
      <c r="C14" s="92"/>
      <c r="D14" s="90">
        <v>2</v>
      </c>
      <c r="F14" s="136"/>
      <c r="G14" s="137"/>
      <c r="H14" s="137"/>
      <c r="I14" s="137"/>
      <c r="J14" s="137"/>
      <c r="K14" s="137"/>
      <c r="L14" s="137"/>
      <c r="M14" s="138"/>
    </row>
    <row r="15" spans="1:13" ht="30.75">
      <c r="A15" s="120" t="s">
        <v>20</v>
      </c>
      <c r="B15" s="92"/>
      <c r="C15" s="92"/>
      <c r="D15" s="90">
        <v>3</v>
      </c>
      <c r="F15" s="136"/>
      <c r="G15" s="137"/>
      <c r="H15" s="137"/>
      <c r="I15" s="137"/>
      <c r="J15" s="137"/>
      <c r="K15" s="137"/>
      <c r="L15" s="137"/>
      <c r="M15" s="138"/>
    </row>
    <row r="16" spans="1:13" ht="30.75">
      <c r="A16" s="120" t="s">
        <v>21</v>
      </c>
      <c r="B16" s="92"/>
      <c r="C16" s="92"/>
      <c r="D16" s="90">
        <v>4</v>
      </c>
      <c r="F16" s="136"/>
      <c r="G16" s="137"/>
      <c r="H16" s="137"/>
      <c r="I16" s="137"/>
      <c r="J16" s="137"/>
      <c r="K16" s="137"/>
      <c r="L16" s="137"/>
      <c r="M16" s="138"/>
    </row>
    <row r="17" spans="1:13" ht="30.75">
      <c r="A17" s="120" t="s">
        <v>22</v>
      </c>
      <c r="B17" s="92"/>
      <c r="C17" s="92"/>
      <c r="D17" s="90">
        <v>5</v>
      </c>
      <c r="F17" s="136"/>
      <c r="G17" s="137"/>
      <c r="H17" s="137"/>
      <c r="I17" s="137"/>
      <c r="J17" s="137"/>
      <c r="K17" s="137"/>
      <c r="L17" s="137"/>
      <c r="M17" s="138"/>
    </row>
    <row r="18" spans="1:13" ht="15">
      <c r="A18" s="91"/>
      <c r="B18" s="92"/>
      <c r="C18" s="92"/>
      <c r="D18" s="90"/>
      <c r="F18" s="136"/>
      <c r="G18" s="137"/>
      <c r="H18" s="137"/>
      <c r="I18" s="137"/>
      <c r="J18" s="137"/>
      <c r="K18" s="137"/>
      <c r="L18" s="137"/>
      <c r="M18" s="138"/>
    </row>
    <row r="19" spans="1:13" ht="30.75">
      <c r="A19" s="99" t="s">
        <v>23</v>
      </c>
      <c r="B19" s="104" t="s">
        <v>7</v>
      </c>
      <c r="C19" s="104" t="s">
        <v>8</v>
      </c>
      <c r="D19" s="89" t="s">
        <v>9</v>
      </c>
      <c r="F19" s="136"/>
      <c r="G19" s="137"/>
      <c r="H19" s="137"/>
      <c r="I19" s="137"/>
      <c r="J19" s="137"/>
      <c r="K19" s="137"/>
      <c r="L19" s="137"/>
      <c r="M19" s="138"/>
    </row>
    <row r="20" spans="1:13" ht="15">
      <c r="A20" s="120" t="s">
        <v>24</v>
      </c>
      <c r="B20" s="92"/>
      <c r="C20" s="92"/>
      <c r="D20" s="90">
        <v>1</v>
      </c>
      <c r="F20" s="136"/>
      <c r="G20" s="137"/>
      <c r="H20" s="137"/>
      <c r="I20" s="137"/>
      <c r="J20" s="137"/>
      <c r="K20" s="137"/>
      <c r="L20" s="137"/>
      <c r="M20" s="138"/>
    </row>
    <row r="21" spans="1:13" ht="15">
      <c r="A21" s="120" t="s">
        <v>25</v>
      </c>
      <c r="B21" s="92"/>
      <c r="C21" s="92"/>
      <c r="D21" s="90">
        <v>2</v>
      </c>
      <c r="F21" s="136"/>
      <c r="G21" s="137"/>
      <c r="H21" s="137"/>
      <c r="I21" s="137"/>
      <c r="J21" s="137"/>
      <c r="K21" s="137"/>
      <c r="L21" s="137"/>
      <c r="M21" s="138"/>
    </row>
    <row r="22" spans="1:13" ht="15">
      <c r="A22" s="120" t="s">
        <v>26</v>
      </c>
      <c r="B22" s="92"/>
      <c r="C22" s="92"/>
      <c r="D22" s="90">
        <v>3</v>
      </c>
      <c r="F22" s="139"/>
      <c r="G22" s="140"/>
      <c r="H22" s="140"/>
      <c r="I22" s="140"/>
      <c r="J22" s="140"/>
      <c r="K22" s="140"/>
      <c r="L22" s="140"/>
      <c r="M22" s="141"/>
    </row>
    <row r="23" spans="1:13" ht="30.75">
      <c r="A23" s="120" t="s">
        <v>27</v>
      </c>
      <c r="B23" s="92"/>
      <c r="C23" s="92"/>
      <c r="D23" s="90">
        <v>4</v>
      </c>
      <c r="F23" s="118"/>
      <c r="G23" s="118"/>
      <c r="H23" s="118"/>
      <c r="I23" s="118"/>
      <c r="J23" s="118"/>
      <c r="K23" s="118"/>
      <c r="L23" s="118"/>
      <c r="M23" s="118"/>
    </row>
    <row r="24" spans="1:13" ht="15">
      <c r="A24" s="91" t="s">
        <v>28</v>
      </c>
      <c r="B24" s="92"/>
      <c r="C24" s="92"/>
      <c r="D24" s="90">
        <v>5</v>
      </c>
      <c r="F24" s="118"/>
      <c r="G24" s="118"/>
      <c r="H24" s="118"/>
      <c r="I24" s="118"/>
      <c r="J24" s="118"/>
      <c r="K24" s="118"/>
      <c r="L24" s="118"/>
      <c r="M24" s="118"/>
    </row>
    <row r="25" spans="1:13">
      <c r="A25" s="91"/>
      <c r="B25" s="92"/>
      <c r="C25" s="92"/>
      <c r="D25" s="90"/>
      <c r="F25" s="118"/>
      <c r="G25" s="118"/>
      <c r="H25" s="118"/>
      <c r="I25" s="118"/>
      <c r="J25" s="118"/>
      <c r="K25" s="118"/>
      <c r="L25" s="118"/>
      <c r="M25" s="118"/>
    </row>
    <row r="26" spans="1:13" ht="28.9">
      <c r="A26" s="124" t="s">
        <v>29</v>
      </c>
      <c r="B26" s="104" t="s">
        <v>7</v>
      </c>
      <c r="C26" s="104" t="s">
        <v>8</v>
      </c>
      <c r="D26" s="89" t="s">
        <v>9</v>
      </c>
    </row>
    <row r="27" spans="1:13" ht="15">
      <c r="A27" s="122" t="s">
        <v>30</v>
      </c>
      <c r="B27" s="123"/>
      <c r="C27" s="92"/>
      <c r="D27" s="90">
        <v>1</v>
      </c>
    </row>
    <row r="28" spans="1:13" ht="15">
      <c r="A28" s="122" t="s">
        <v>31</v>
      </c>
      <c r="B28" s="123"/>
      <c r="C28" s="92"/>
      <c r="D28" s="90">
        <v>2</v>
      </c>
    </row>
    <row r="29" spans="1:13" ht="30.75">
      <c r="A29" s="122" t="s">
        <v>32</v>
      </c>
      <c r="B29" s="123"/>
      <c r="C29" s="92"/>
      <c r="D29" s="90">
        <v>3</v>
      </c>
    </row>
    <row r="30" spans="1:13" ht="30.75">
      <c r="A30" s="122" t="s">
        <v>33</v>
      </c>
      <c r="B30" s="123"/>
      <c r="C30" s="92"/>
      <c r="D30" s="90">
        <v>4</v>
      </c>
    </row>
    <row r="31" spans="1:13" ht="30.75">
      <c r="A31" s="122" t="s">
        <v>34</v>
      </c>
      <c r="B31" s="123"/>
      <c r="C31" s="92"/>
      <c r="D31" s="90">
        <v>5</v>
      </c>
    </row>
    <row r="32" spans="1:13">
      <c r="A32" s="121"/>
      <c r="B32" s="92"/>
      <c r="C32" s="92"/>
      <c r="D32" s="90"/>
    </row>
    <row r="33" spans="1:4" ht="28.9">
      <c r="A33" s="124" t="s">
        <v>35</v>
      </c>
      <c r="B33" s="104" t="s">
        <v>7</v>
      </c>
      <c r="C33" s="104" t="s">
        <v>8</v>
      </c>
      <c r="D33" s="89" t="s">
        <v>9</v>
      </c>
    </row>
    <row r="34" spans="1:4" ht="15">
      <c r="A34" s="122" t="s">
        <v>36</v>
      </c>
      <c r="B34" s="123"/>
      <c r="C34" s="92"/>
      <c r="D34" s="90">
        <v>1</v>
      </c>
    </row>
    <row r="35" spans="1:4" ht="15">
      <c r="A35" s="122" t="s">
        <v>37</v>
      </c>
      <c r="B35" s="123"/>
      <c r="C35" s="92"/>
      <c r="D35" s="90">
        <v>2</v>
      </c>
    </row>
    <row r="36" spans="1:4" ht="30.75">
      <c r="A36" s="122" t="s">
        <v>38</v>
      </c>
      <c r="B36" s="123"/>
      <c r="C36" s="92"/>
      <c r="D36" s="90">
        <v>3</v>
      </c>
    </row>
    <row r="37" spans="1:4" ht="30.75">
      <c r="A37" s="122" t="s">
        <v>39</v>
      </c>
      <c r="B37" s="123"/>
      <c r="C37" s="92"/>
      <c r="D37" s="90">
        <v>4</v>
      </c>
    </row>
    <row r="38" spans="1:4" ht="30.75">
      <c r="A38" s="122" t="s">
        <v>40</v>
      </c>
      <c r="B38" s="123"/>
      <c r="C38" s="92"/>
      <c r="D38" s="90">
        <v>5</v>
      </c>
    </row>
    <row r="39" spans="1:4">
      <c r="A39" s="121"/>
      <c r="B39" s="92"/>
      <c r="C39" s="92"/>
      <c r="D39" s="90"/>
    </row>
    <row r="40" spans="1:4" ht="28.9">
      <c r="A40" s="124" t="s">
        <v>41</v>
      </c>
      <c r="B40" s="104" t="s">
        <v>7</v>
      </c>
      <c r="C40" s="104" t="s">
        <v>8</v>
      </c>
      <c r="D40" s="89" t="s">
        <v>9</v>
      </c>
    </row>
    <row r="41" spans="1:4" ht="15">
      <c r="A41" s="122" t="s">
        <v>42</v>
      </c>
      <c r="B41" s="123"/>
      <c r="C41" s="92"/>
      <c r="D41" s="90">
        <v>1</v>
      </c>
    </row>
    <row r="42" spans="1:4" ht="15">
      <c r="A42" s="122" t="s">
        <v>43</v>
      </c>
      <c r="B42" s="123"/>
      <c r="C42" s="92"/>
      <c r="D42" s="90">
        <v>2</v>
      </c>
    </row>
    <row r="43" spans="1:4" ht="30.75">
      <c r="A43" s="122" t="s">
        <v>44</v>
      </c>
      <c r="B43" s="123"/>
      <c r="C43" s="92"/>
      <c r="D43" s="90">
        <v>3</v>
      </c>
    </row>
    <row r="44" spans="1:4" ht="30.75">
      <c r="A44" s="122" t="s">
        <v>45</v>
      </c>
      <c r="B44" s="123"/>
      <c r="C44" s="92"/>
      <c r="D44" s="90">
        <v>4</v>
      </c>
    </row>
    <row r="45" spans="1:4" ht="30.75">
      <c r="A45" s="122" t="s">
        <v>46</v>
      </c>
      <c r="B45" s="123"/>
      <c r="C45" s="92"/>
      <c r="D45" s="90">
        <v>5</v>
      </c>
    </row>
    <row r="46" spans="1:4">
      <c r="A46" s="121"/>
      <c r="B46" s="92"/>
      <c r="C46" s="92"/>
      <c r="D46" s="90"/>
    </row>
    <row r="47" spans="1:4" ht="28.9">
      <c r="A47" s="124" t="s">
        <v>47</v>
      </c>
      <c r="B47" s="104" t="s">
        <v>7</v>
      </c>
      <c r="C47" s="104" t="s">
        <v>8</v>
      </c>
      <c r="D47" s="89" t="s">
        <v>9</v>
      </c>
    </row>
    <row r="48" spans="1:4" ht="15">
      <c r="A48" s="122" t="s">
        <v>48</v>
      </c>
      <c r="B48" s="123"/>
      <c r="C48" s="92"/>
      <c r="D48" s="90">
        <v>1</v>
      </c>
    </row>
    <row r="49" spans="1:4" ht="15">
      <c r="A49" s="122" t="s">
        <v>49</v>
      </c>
      <c r="B49" s="123"/>
      <c r="C49" s="92"/>
      <c r="D49" s="90">
        <v>2</v>
      </c>
    </row>
    <row r="50" spans="1:4" ht="15">
      <c r="A50" s="122" t="s">
        <v>50</v>
      </c>
      <c r="B50" s="123"/>
      <c r="C50" s="92"/>
      <c r="D50" s="90">
        <v>3</v>
      </c>
    </row>
    <row r="51" spans="1:4" ht="15">
      <c r="A51" s="122" t="s">
        <v>51</v>
      </c>
      <c r="B51" s="123"/>
      <c r="C51" s="92"/>
      <c r="D51" s="90">
        <v>4</v>
      </c>
    </row>
    <row r="52" spans="1:4" ht="15">
      <c r="A52" s="122" t="s">
        <v>52</v>
      </c>
      <c r="B52" s="123"/>
      <c r="C52" s="92"/>
      <c r="D52" s="90">
        <v>5</v>
      </c>
    </row>
    <row r="54" spans="1:4" ht="23.25">
      <c r="A54" s="113" t="s">
        <v>53</v>
      </c>
    </row>
    <row r="55" spans="1:4" ht="30.75">
      <c r="A55" s="101" t="s">
        <v>54</v>
      </c>
      <c r="B55" s="105" t="s">
        <v>7</v>
      </c>
      <c r="C55" s="105" t="s">
        <v>8</v>
      </c>
      <c r="D55" s="89" t="s">
        <v>9</v>
      </c>
    </row>
    <row r="56" spans="1:4" ht="15">
      <c r="A56" s="91" t="s">
        <v>55</v>
      </c>
      <c r="B56" s="92"/>
      <c r="C56" s="92"/>
      <c r="D56" s="90">
        <v>1</v>
      </c>
    </row>
    <row r="57" spans="1:4" ht="15">
      <c r="A57" s="91" t="s">
        <v>56</v>
      </c>
      <c r="B57" s="92"/>
      <c r="C57" s="92"/>
      <c r="D57" s="90">
        <v>2</v>
      </c>
    </row>
    <row r="58" spans="1:4" ht="15">
      <c r="A58" s="91" t="s">
        <v>57</v>
      </c>
      <c r="B58" s="92"/>
      <c r="C58" s="92"/>
      <c r="D58" s="90">
        <v>3</v>
      </c>
    </row>
    <row r="59" spans="1:4" ht="15">
      <c r="A59" s="91" t="s">
        <v>58</v>
      </c>
      <c r="B59" s="92"/>
      <c r="C59" s="92"/>
      <c r="D59" s="90">
        <v>4</v>
      </c>
    </row>
    <row r="60" spans="1:4" ht="15">
      <c r="A60" s="91" t="s">
        <v>59</v>
      </c>
      <c r="B60" s="92"/>
      <c r="C60" s="92"/>
      <c r="D60" s="90">
        <v>5</v>
      </c>
    </row>
    <row r="61" spans="1:4">
      <c r="A61" s="91"/>
      <c r="B61" s="92"/>
      <c r="C61" s="92"/>
      <c r="D61" s="90"/>
    </row>
    <row r="62" spans="1:4" ht="30.75">
      <c r="A62" s="101" t="s">
        <v>60</v>
      </c>
      <c r="B62" s="105" t="s">
        <v>7</v>
      </c>
      <c r="C62" s="105" t="s">
        <v>8</v>
      </c>
      <c r="D62" s="89" t="s">
        <v>9</v>
      </c>
    </row>
    <row r="63" spans="1:4" ht="15">
      <c r="A63" s="91" t="s">
        <v>61</v>
      </c>
      <c r="B63" s="92"/>
      <c r="C63" s="92"/>
      <c r="D63" s="90">
        <v>1</v>
      </c>
    </row>
    <row r="64" spans="1:4" ht="15">
      <c r="A64" s="91" t="s">
        <v>62</v>
      </c>
      <c r="B64" s="92"/>
      <c r="C64" s="92"/>
      <c r="D64" s="90">
        <v>2</v>
      </c>
    </row>
    <row r="65" spans="1:4" ht="15">
      <c r="A65" s="91" t="s">
        <v>63</v>
      </c>
      <c r="B65" s="92"/>
      <c r="C65" s="92"/>
      <c r="D65" s="90">
        <v>3</v>
      </c>
    </row>
    <row r="66" spans="1:4" ht="15">
      <c r="A66" s="91" t="s">
        <v>64</v>
      </c>
      <c r="B66" s="92"/>
      <c r="C66" s="92"/>
      <c r="D66" s="90">
        <v>4</v>
      </c>
    </row>
    <row r="67" spans="1:4" ht="30.75">
      <c r="A67" s="91" t="s">
        <v>65</v>
      </c>
      <c r="B67" s="92"/>
      <c r="C67" s="92"/>
      <c r="D67" s="90">
        <v>5</v>
      </c>
    </row>
    <row r="68" spans="1:4">
      <c r="A68" s="91"/>
      <c r="B68" s="92"/>
      <c r="C68" s="92"/>
      <c r="D68" s="90"/>
    </row>
    <row r="69" spans="1:4" ht="30.75">
      <c r="A69" s="101" t="s">
        <v>66</v>
      </c>
      <c r="B69" s="105" t="s">
        <v>7</v>
      </c>
      <c r="C69" s="105" t="s">
        <v>8</v>
      </c>
      <c r="D69" s="89" t="s">
        <v>9</v>
      </c>
    </row>
    <row r="70" spans="1:4" ht="15">
      <c r="A70" s="91" t="s">
        <v>67</v>
      </c>
      <c r="B70" s="92"/>
      <c r="C70" s="92"/>
      <c r="D70" s="90">
        <v>1</v>
      </c>
    </row>
    <row r="71" spans="1:4" ht="15">
      <c r="A71" s="91" t="s">
        <v>68</v>
      </c>
      <c r="B71" s="92"/>
      <c r="C71" s="92"/>
      <c r="D71" s="90">
        <v>2</v>
      </c>
    </row>
    <row r="72" spans="1:4" ht="15">
      <c r="A72" s="91" t="s">
        <v>69</v>
      </c>
      <c r="B72" s="92"/>
      <c r="C72" s="92"/>
      <c r="D72" s="90">
        <v>3</v>
      </c>
    </row>
    <row r="73" spans="1:4" ht="15">
      <c r="A73" s="91" t="s">
        <v>70</v>
      </c>
      <c r="B73" s="92"/>
      <c r="C73" s="92"/>
      <c r="D73" s="90">
        <v>4</v>
      </c>
    </row>
    <row r="74" spans="1:4" ht="15">
      <c r="A74" s="91" t="s">
        <v>71</v>
      </c>
      <c r="B74" s="92"/>
      <c r="C74" s="92"/>
      <c r="D74" s="90">
        <v>5</v>
      </c>
    </row>
    <row r="75" spans="1:4">
      <c r="A75" s="91"/>
      <c r="B75" s="92"/>
      <c r="C75" s="92"/>
      <c r="D75" s="90"/>
    </row>
    <row r="76" spans="1:4" ht="30.75">
      <c r="A76" s="101" t="s">
        <v>72</v>
      </c>
      <c r="B76" s="105" t="s">
        <v>7</v>
      </c>
      <c r="C76" s="105" t="s">
        <v>8</v>
      </c>
      <c r="D76" s="89" t="s">
        <v>9</v>
      </c>
    </row>
    <row r="77" spans="1:4" ht="15">
      <c r="A77" s="91" t="s">
        <v>73</v>
      </c>
      <c r="B77" s="92"/>
      <c r="C77" s="92"/>
      <c r="D77" s="90">
        <v>1</v>
      </c>
    </row>
    <row r="78" spans="1:4" ht="15">
      <c r="A78" s="91" t="s">
        <v>74</v>
      </c>
      <c r="B78" s="92"/>
      <c r="C78" s="92"/>
      <c r="D78" s="90">
        <v>2</v>
      </c>
    </row>
    <row r="79" spans="1:4" ht="45.75">
      <c r="A79" s="91" t="s">
        <v>75</v>
      </c>
      <c r="B79" s="92"/>
      <c r="C79" s="92"/>
      <c r="D79" s="90">
        <v>3</v>
      </c>
    </row>
    <row r="80" spans="1:4" ht="45.75">
      <c r="A80" s="91" t="s">
        <v>76</v>
      </c>
      <c r="B80" s="92"/>
      <c r="C80" s="92"/>
      <c r="D80" s="90">
        <v>4</v>
      </c>
    </row>
    <row r="81" spans="1:4" ht="30.75">
      <c r="A81" s="91" t="s">
        <v>77</v>
      </c>
      <c r="B81" s="92"/>
      <c r="C81" s="92"/>
      <c r="D81" s="90">
        <v>5</v>
      </c>
    </row>
    <row r="82" spans="1:4">
      <c r="A82" s="91"/>
      <c r="B82" s="92"/>
      <c r="C82" s="92"/>
      <c r="D82" s="90"/>
    </row>
    <row r="83" spans="1:4" ht="28.9">
      <c r="A83" s="101" t="s">
        <v>78</v>
      </c>
      <c r="B83" s="105" t="s">
        <v>7</v>
      </c>
      <c r="C83" s="105" t="s">
        <v>8</v>
      </c>
      <c r="D83" s="89" t="s">
        <v>9</v>
      </c>
    </row>
    <row r="84" spans="1:4" ht="15">
      <c r="A84" s="91" t="s">
        <v>79</v>
      </c>
      <c r="B84" s="92"/>
      <c r="C84" s="92"/>
      <c r="D84" s="90">
        <v>1</v>
      </c>
    </row>
    <row r="85" spans="1:4" ht="15">
      <c r="A85" s="91" t="s">
        <v>80</v>
      </c>
      <c r="B85" s="92"/>
      <c r="C85" s="92"/>
      <c r="D85" s="90">
        <v>2</v>
      </c>
    </row>
    <row r="86" spans="1:4" ht="30.75">
      <c r="A86" s="91" t="s">
        <v>81</v>
      </c>
      <c r="B86" s="92"/>
      <c r="C86" s="92"/>
      <c r="D86" s="90">
        <v>3</v>
      </c>
    </row>
    <row r="87" spans="1:4" ht="30.75">
      <c r="A87" s="91" t="s">
        <v>82</v>
      </c>
      <c r="B87" s="92"/>
      <c r="C87" s="92"/>
      <c r="D87" s="90">
        <v>4</v>
      </c>
    </row>
    <row r="88" spans="1:4" ht="30.75">
      <c r="A88" s="91" t="s">
        <v>83</v>
      </c>
      <c r="B88" s="92"/>
      <c r="C88" s="92"/>
      <c r="D88" s="90">
        <v>5</v>
      </c>
    </row>
    <row r="90" spans="1:4" ht="23.25">
      <c r="A90" s="114" t="s">
        <v>84</v>
      </c>
    </row>
    <row r="91" spans="1:4" ht="30.75">
      <c r="A91" s="98" t="s">
        <v>85</v>
      </c>
      <c r="B91" s="106" t="s">
        <v>7</v>
      </c>
      <c r="C91" s="106" t="s">
        <v>8</v>
      </c>
      <c r="D91" s="89" t="s">
        <v>9</v>
      </c>
    </row>
    <row r="92" spans="1:4" ht="15">
      <c r="A92" s="91" t="s">
        <v>86</v>
      </c>
      <c r="B92" s="92"/>
      <c r="C92" s="92"/>
      <c r="D92" s="90">
        <v>1</v>
      </c>
    </row>
    <row r="93" spans="1:4" ht="30.75">
      <c r="A93" s="91" t="s">
        <v>87</v>
      </c>
      <c r="B93" s="92"/>
      <c r="C93" s="92"/>
      <c r="D93" s="90">
        <v>2</v>
      </c>
    </row>
    <row r="94" spans="1:4" ht="30.75">
      <c r="A94" s="91" t="s">
        <v>88</v>
      </c>
      <c r="B94" s="92"/>
      <c r="C94" s="92"/>
      <c r="D94" s="90">
        <v>3</v>
      </c>
    </row>
    <row r="95" spans="1:4" ht="30.75">
      <c r="A95" s="91" t="s">
        <v>89</v>
      </c>
      <c r="B95" s="92"/>
      <c r="C95" s="92"/>
      <c r="D95" s="90">
        <v>4</v>
      </c>
    </row>
    <row r="96" spans="1:4" ht="15">
      <c r="A96" s="91" t="s">
        <v>90</v>
      </c>
      <c r="B96" s="92"/>
      <c r="C96" s="92"/>
      <c r="D96" s="90">
        <v>5</v>
      </c>
    </row>
    <row r="97" spans="1:4">
      <c r="A97" s="91"/>
      <c r="B97" s="92"/>
      <c r="C97" s="92"/>
      <c r="D97" s="90"/>
    </row>
    <row r="98" spans="1:4" ht="30.75">
      <c r="A98" s="98" t="s">
        <v>91</v>
      </c>
      <c r="B98" s="106" t="s">
        <v>7</v>
      </c>
      <c r="C98" s="106" t="s">
        <v>8</v>
      </c>
      <c r="D98" s="89" t="s">
        <v>9</v>
      </c>
    </row>
    <row r="99" spans="1:4" ht="15">
      <c r="A99" s="91" t="s">
        <v>92</v>
      </c>
      <c r="B99" s="92"/>
      <c r="C99" s="92"/>
      <c r="D99" s="90">
        <v>1</v>
      </c>
    </row>
    <row r="100" spans="1:4" ht="15">
      <c r="A100" s="91" t="s">
        <v>93</v>
      </c>
      <c r="B100" s="92"/>
      <c r="C100" s="92"/>
      <c r="D100" s="90">
        <v>2</v>
      </c>
    </row>
    <row r="101" spans="1:4" ht="76.5">
      <c r="A101" s="91" t="s">
        <v>94</v>
      </c>
      <c r="B101" s="92"/>
      <c r="C101" s="92"/>
      <c r="D101" s="90">
        <v>3</v>
      </c>
    </row>
    <row r="102" spans="1:4" ht="30.75">
      <c r="A102" s="91" t="s">
        <v>95</v>
      </c>
      <c r="B102" s="92"/>
      <c r="C102" s="92"/>
      <c r="D102" s="90">
        <v>4</v>
      </c>
    </row>
    <row r="103" spans="1:4" ht="15">
      <c r="A103" s="91" t="s">
        <v>96</v>
      </c>
      <c r="B103" s="92"/>
      <c r="C103" s="92"/>
      <c r="D103" s="90">
        <v>5</v>
      </c>
    </row>
    <row r="104" spans="1:4">
      <c r="A104" s="91"/>
      <c r="B104" s="92"/>
      <c r="C104" s="92"/>
      <c r="D104" s="90"/>
    </row>
    <row r="105" spans="1:4" ht="30.75">
      <c r="A105" s="98" t="s">
        <v>97</v>
      </c>
      <c r="B105" s="106" t="s">
        <v>7</v>
      </c>
      <c r="C105" s="106" t="s">
        <v>8</v>
      </c>
      <c r="D105" s="89" t="s">
        <v>9</v>
      </c>
    </row>
    <row r="106" spans="1:4" ht="15">
      <c r="A106" s="91" t="s">
        <v>98</v>
      </c>
      <c r="B106" s="92"/>
      <c r="C106" s="92"/>
      <c r="D106" s="90">
        <v>1</v>
      </c>
    </row>
    <row r="107" spans="1:4" ht="15">
      <c r="A107" s="91" t="s">
        <v>99</v>
      </c>
      <c r="B107" s="92"/>
      <c r="C107" s="92"/>
      <c r="D107" s="90">
        <v>2</v>
      </c>
    </row>
    <row r="108" spans="1:4" ht="30.75">
      <c r="A108" s="91" t="s">
        <v>100</v>
      </c>
      <c r="B108" s="92"/>
      <c r="C108" s="92"/>
      <c r="D108" s="90">
        <v>3</v>
      </c>
    </row>
    <row r="109" spans="1:4" ht="15">
      <c r="A109" s="91" t="s">
        <v>101</v>
      </c>
      <c r="B109" s="92"/>
      <c r="C109" s="92"/>
      <c r="D109" s="90">
        <v>4</v>
      </c>
    </row>
    <row r="110" spans="1:4" ht="15">
      <c r="A110" s="91" t="s">
        <v>102</v>
      </c>
      <c r="B110" s="92"/>
      <c r="C110" s="92"/>
      <c r="D110" s="90">
        <v>5</v>
      </c>
    </row>
    <row r="111" spans="1:4">
      <c r="A111" s="91"/>
      <c r="B111" s="92"/>
      <c r="C111" s="92"/>
      <c r="D111" s="90"/>
    </row>
    <row r="112" spans="1:4" ht="30.75">
      <c r="A112" s="98" t="s">
        <v>103</v>
      </c>
      <c r="B112" s="106" t="s">
        <v>7</v>
      </c>
      <c r="C112" s="106" t="s">
        <v>8</v>
      </c>
      <c r="D112" s="89" t="s">
        <v>9</v>
      </c>
    </row>
    <row r="113" spans="1:4" ht="15">
      <c r="A113" s="91" t="s">
        <v>104</v>
      </c>
      <c r="B113" s="92"/>
      <c r="C113" s="92"/>
      <c r="D113" s="90">
        <v>1</v>
      </c>
    </row>
    <row r="114" spans="1:4" ht="15">
      <c r="A114" s="91" t="s">
        <v>105</v>
      </c>
      <c r="B114" s="92"/>
      <c r="C114" s="92"/>
      <c r="D114" s="90">
        <v>2</v>
      </c>
    </row>
    <row r="115" spans="1:4" ht="15">
      <c r="A115" s="91" t="s">
        <v>106</v>
      </c>
      <c r="B115" s="92"/>
      <c r="C115" s="92"/>
      <c r="D115" s="90">
        <v>3</v>
      </c>
    </row>
    <row r="116" spans="1:4" ht="30.75">
      <c r="A116" s="91" t="s">
        <v>107</v>
      </c>
      <c r="B116" s="92"/>
      <c r="C116" s="92"/>
      <c r="D116" s="90">
        <v>4</v>
      </c>
    </row>
    <row r="117" spans="1:4" ht="30.75">
      <c r="A117" s="91" t="s">
        <v>108</v>
      </c>
      <c r="B117" s="92"/>
      <c r="C117" s="92"/>
      <c r="D117" s="90">
        <v>5</v>
      </c>
    </row>
    <row r="118" spans="1:4">
      <c r="A118" s="91"/>
      <c r="B118" s="92"/>
      <c r="C118" s="92"/>
      <c r="D118" s="90"/>
    </row>
    <row r="119" spans="1:4" ht="30.75">
      <c r="A119" s="98" t="s">
        <v>109</v>
      </c>
      <c r="B119" s="106" t="s">
        <v>7</v>
      </c>
      <c r="C119" s="106" t="s">
        <v>8</v>
      </c>
      <c r="D119" s="89" t="s">
        <v>9</v>
      </c>
    </row>
    <row r="120" spans="1:4" ht="15">
      <c r="A120" s="91" t="s">
        <v>110</v>
      </c>
      <c r="B120" s="92"/>
      <c r="C120" s="92"/>
      <c r="D120" s="90">
        <v>1</v>
      </c>
    </row>
    <row r="121" spans="1:4" ht="30.75">
      <c r="A121" s="91" t="s">
        <v>111</v>
      </c>
      <c r="B121" s="92"/>
      <c r="C121" s="92"/>
      <c r="D121" s="90">
        <v>2</v>
      </c>
    </row>
    <row r="122" spans="1:4" ht="15">
      <c r="A122" s="91" t="s">
        <v>112</v>
      </c>
      <c r="B122" s="92"/>
      <c r="C122" s="92"/>
      <c r="D122" s="90">
        <v>3</v>
      </c>
    </row>
    <row r="123" spans="1:4" ht="15">
      <c r="A123" s="91" t="s">
        <v>113</v>
      </c>
      <c r="B123" s="92"/>
      <c r="C123" s="92"/>
      <c r="D123" s="90">
        <v>4</v>
      </c>
    </row>
    <row r="124" spans="1:4" ht="15">
      <c r="A124" s="91" t="s">
        <v>114</v>
      </c>
      <c r="B124" s="92"/>
      <c r="C124" s="92"/>
      <c r="D124" s="90">
        <v>5</v>
      </c>
    </row>
    <row r="126" spans="1:4" ht="23.25">
      <c r="A126" s="115" t="s">
        <v>115</v>
      </c>
    </row>
    <row r="127" spans="1:4" ht="30.75">
      <c r="A127" s="126" t="s">
        <v>116</v>
      </c>
      <c r="B127" s="107" t="s">
        <v>7</v>
      </c>
      <c r="C127" s="107" t="s">
        <v>8</v>
      </c>
      <c r="D127" s="89" t="s">
        <v>9</v>
      </c>
    </row>
    <row r="128" spans="1:4" ht="15">
      <c r="A128" s="125" t="s">
        <v>28</v>
      </c>
      <c r="B128" s="123"/>
      <c r="C128" s="92"/>
      <c r="D128" s="90">
        <v>1</v>
      </c>
    </row>
    <row r="129" spans="1:4" ht="15">
      <c r="A129" s="122" t="s">
        <v>117</v>
      </c>
      <c r="B129" s="123"/>
      <c r="C129" s="92"/>
      <c r="D129" s="90">
        <v>2</v>
      </c>
    </row>
    <row r="130" spans="1:4" ht="30.75">
      <c r="A130" s="122" t="s">
        <v>118</v>
      </c>
      <c r="B130" s="123"/>
      <c r="C130" s="92"/>
      <c r="D130" s="90">
        <v>3</v>
      </c>
    </row>
    <row r="131" spans="1:4" ht="15">
      <c r="A131" s="122" t="s">
        <v>119</v>
      </c>
      <c r="B131" s="123"/>
      <c r="C131" s="92"/>
      <c r="D131" s="90">
        <v>4</v>
      </c>
    </row>
    <row r="132" spans="1:4" ht="15">
      <c r="A132" s="122" t="s">
        <v>120</v>
      </c>
      <c r="B132" s="123"/>
      <c r="C132" s="92"/>
      <c r="D132" s="90">
        <v>5</v>
      </c>
    </row>
    <row r="133" spans="1:4">
      <c r="A133" s="121"/>
      <c r="B133" s="92"/>
      <c r="C133" s="92"/>
      <c r="D133" s="90"/>
    </row>
    <row r="134" spans="1:4" ht="30.75">
      <c r="A134" s="97" t="s">
        <v>121</v>
      </c>
      <c r="B134" s="107" t="s">
        <v>7</v>
      </c>
      <c r="C134" s="107" t="s">
        <v>8</v>
      </c>
      <c r="D134" s="89" t="s">
        <v>9</v>
      </c>
    </row>
    <row r="135" spans="1:4" ht="15">
      <c r="A135" s="91" t="s">
        <v>122</v>
      </c>
      <c r="B135" s="92"/>
      <c r="C135" s="92"/>
      <c r="D135" s="90">
        <v>1</v>
      </c>
    </row>
    <row r="136" spans="1:4" ht="15">
      <c r="A136" s="91" t="s">
        <v>123</v>
      </c>
      <c r="B136" s="92"/>
      <c r="C136" s="92"/>
      <c r="D136" s="90">
        <v>2</v>
      </c>
    </row>
    <row r="137" spans="1:4" ht="30.75">
      <c r="A137" s="91" t="s">
        <v>124</v>
      </c>
      <c r="B137" s="92"/>
      <c r="C137" s="92"/>
      <c r="D137" s="90">
        <v>3</v>
      </c>
    </row>
    <row r="138" spans="1:4" ht="15">
      <c r="A138" s="91" t="s">
        <v>125</v>
      </c>
      <c r="B138" s="92"/>
      <c r="C138" s="92"/>
      <c r="D138" s="90">
        <v>4</v>
      </c>
    </row>
    <row r="139" spans="1:4" ht="30.75">
      <c r="A139" s="91" t="s">
        <v>126</v>
      </c>
      <c r="B139" s="92"/>
      <c r="C139" s="92"/>
      <c r="D139" s="90">
        <v>5</v>
      </c>
    </row>
    <row r="140" spans="1:4">
      <c r="A140" s="91"/>
      <c r="B140" s="92"/>
      <c r="C140" s="92"/>
      <c r="D140" s="90"/>
    </row>
    <row r="141" spans="1:4" ht="30.75">
      <c r="A141" s="97" t="s">
        <v>127</v>
      </c>
      <c r="B141" s="107" t="s">
        <v>7</v>
      </c>
      <c r="C141" s="107" t="s">
        <v>8</v>
      </c>
      <c r="D141" s="89" t="s">
        <v>9</v>
      </c>
    </row>
    <row r="142" spans="1:4" ht="15">
      <c r="A142" s="91" t="s">
        <v>128</v>
      </c>
      <c r="B142" s="92"/>
      <c r="C142" s="92"/>
      <c r="D142" s="90">
        <v>1</v>
      </c>
    </row>
    <row r="143" spans="1:4" ht="15">
      <c r="A143" s="91" t="s">
        <v>129</v>
      </c>
      <c r="B143" s="92"/>
      <c r="C143" s="92"/>
      <c r="D143" s="90">
        <v>2</v>
      </c>
    </row>
    <row r="144" spans="1:4" ht="30.75">
      <c r="A144" s="91" t="s">
        <v>130</v>
      </c>
      <c r="B144" s="92"/>
      <c r="C144" s="92"/>
      <c r="D144" s="90">
        <v>3</v>
      </c>
    </row>
    <row r="145" spans="1:4" ht="30.75">
      <c r="A145" s="91" t="s">
        <v>131</v>
      </c>
      <c r="B145" s="92"/>
      <c r="C145" s="92"/>
      <c r="D145" s="90">
        <v>4</v>
      </c>
    </row>
    <row r="146" spans="1:4" ht="30.75">
      <c r="A146" s="91" t="s">
        <v>132</v>
      </c>
      <c r="B146" s="92"/>
      <c r="C146" s="92"/>
      <c r="D146" s="90">
        <v>5</v>
      </c>
    </row>
    <row r="147" spans="1:4">
      <c r="A147" s="91"/>
      <c r="B147" s="92"/>
      <c r="C147" s="92"/>
      <c r="D147" s="90"/>
    </row>
    <row r="148" spans="1:4" ht="30.75">
      <c r="A148" s="97" t="s">
        <v>133</v>
      </c>
      <c r="B148" s="107" t="s">
        <v>7</v>
      </c>
      <c r="C148" s="107" t="s">
        <v>8</v>
      </c>
      <c r="D148" s="89" t="s">
        <v>9</v>
      </c>
    </row>
    <row r="149" spans="1:4" ht="15">
      <c r="A149" s="91" t="s">
        <v>28</v>
      </c>
      <c r="B149" s="92"/>
      <c r="C149" s="92"/>
      <c r="D149" s="90">
        <v>1</v>
      </c>
    </row>
    <row r="150" spans="1:4" ht="15">
      <c r="A150" s="91" t="s">
        <v>134</v>
      </c>
      <c r="B150" s="92"/>
      <c r="C150" s="92"/>
      <c r="D150" s="90">
        <v>2</v>
      </c>
    </row>
    <row r="151" spans="1:4" ht="30.75">
      <c r="A151" s="91" t="s">
        <v>135</v>
      </c>
      <c r="B151" s="92"/>
      <c r="C151" s="92"/>
      <c r="D151" s="90">
        <v>3</v>
      </c>
    </row>
    <row r="152" spans="1:4" ht="30.75">
      <c r="A152" s="91" t="s">
        <v>136</v>
      </c>
      <c r="B152" s="92"/>
      <c r="C152" s="92"/>
      <c r="D152" s="90">
        <v>4</v>
      </c>
    </row>
    <row r="153" spans="1:4" ht="30.75">
      <c r="A153" s="91" t="s">
        <v>137</v>
      </c>
      <c r="B153" s="92"/>
      <c r="C153" s="92"/>
      <c r="D153" s="90">
        <v>5</v>
      </c>
    </row>
    <row r="154" spans="1:4">
      <c r="A154" s="91"/>
      <c r="B154" s="92"/>
      <c r="C154" s="92"/>
      <c r="D154" s="90"/>
    </row>
    <row r="155" spans="1:4" ht="30.75">
      <c r="A155" s="97" t="s">
        <v>138</v>
      </c>
      <c r="B155" s="107" t="s">
        <v>7</v>
      </c>
      <c r="C155" s="107" t="s">
        <v>8</v>
      </c>
      <c r="D155" s="89" t="s">
        <v>9</v>
      </c>
    </row>
    <row r="156" spans="1:4" ht="30.75">
      <c r="A156" s="91" t="s">
        <v>139</v>
      </c>
      <c r="B156" s="92"/>
      <c r="C156" s="92"/>
      <c r="D156" s="90">
        <v>1</v>
      </c>
    </row>
    <row r="157" spans="1:4" ht="30.75">
      <c r="A157" s="91" t="s">
        <v>140</v>
      </c>
      <c r="B157" s="92"/>
      <c r="C157" s="92"/>
      <c r="D157" s="90">
        <v>2</v>
      </c>
    </row>
    <row r="158" spans="1:4" ht="30.75">
      <c r="A158" s="91" t="s">
        <v>141</v>
      </c>
      <c r="B158" s="92"/>
      <c r="C158" s="92"/>
      <c r="D158" s="90">
        <v>3</v>
      </c>
    </row>
    <row r="159" spans="1:4" ht="30.75">
      <c r="A159" s="91" t="s">
        <v>142</v>
      </c>
      <c r="B159" s="92"/>
      <c r="C159" s="92"/>
      <c r="D159" s="90">
        <v>4</v>
      </c>
    </row>
    <row r="160" spans="1:4" ht="30.75">
      <c r="A160" s="91" t="s">
        <v>143</v>
      </c>
      <c r="B160" s="92"/>
      <c r="C160" s="92"/>
      <c r="D160" s="90">
        <v>5</v>
      </c>
    </row>
    <row r="162" spans="1:4" ht="23.25">
      <c r="A162" s="116" t="s">
        <v>144</v>
      </c>
    </row>
    <row r="163" spans="1:4" ht="30.75">
      <c r="A163" s="96" t="s">
        <v>145</v>
      </c>
      <c r="B163" s="108" t="s">
        <v>7</v>
      </c>
      <c r="C163" s="108" t="s">
        <v>8</v>
      </c>
      <c r="D163" s="89" t="s">
        <v>9</v>
      </c>
    </row>
    <row r="164" spans="1:4" ht="15">
      <c r="A164" s="91" t="s">
        <v>146</v>
      </c>
      <c r="B164" s="92"/>
      <c r="C164" s="92"/>
      <c r="D164" s="90">
        <v>1</v>
      </c>
    </row>
    <row r="165" spans="1:4" ht="15">
      <c r="A165" s="91" t="s">
        <v>147</v>
      </c>
      <c r="B165" s="92"/>
      <c r="C165" s="92"/>
      <c r="D165" s="90">
        <v>2</v>
      </c>
    </row>
    <row r="166" spans="1:4" ht="15">
      <c r="A166" s="91" t="s">
        <v>148</v>
      </c>
      <c r="B166" s="92"/>
      <c r="C166" s="92"/>
      <c r="D166" s="90">
        <v>3</v>
      </c>
    </row>
    <row r="167" spans="1:4" ht="30.75">
      <c r="A167" s="91" t="s">
        <v>149</v>
      </c>
      <c r="B167" s="92"/>
      <c r="C167" s="92"/>
      <c r="D167" s="90">
        <v>4</v>
      </c>
    </row>
    <row r="168" spans="1:4" ht="15">
      <c r="A168" s="91" t="s">
        <v>150</v>
      </c>
      <c r="B168" s="92"/>
      <c r="C168" s="92"/>
      <c r="D168" s="90">
        <v>5</v>
      </c>
    </row>
    <row r="169" spans="1:4">
      <c r="A169" s="91"/>
      <c r="B169" s="92"/>
      <c r="C169" s="92"/>
      <c r="D169" s="90"/>
    </row>
    <row r="170" spans="1:4" ht="30.75">
      <c r="A170" s="96" t="s">
        <v>151</v>
      </c>
      <c r="B170" s="108" t="s">
        <v>7</v>
      </c>
      <c r="C170" s="108" t="s">
        <v>8</v>
      </c>
      <c r="D170" s="89" t="s">
        <v>9</v>
      </c>
    </row>
    <row r="171" spans="1:4" ht="15">
      <c r="A171" s="91" t="s">
        <v>152</v>
      </c>
      <c r="B171" s="92"/>
      <c r="C171" s="92"/>
      <c r="D171" s="90">
        <v>1</v>
      </c>
    </row>
    <row r="172" spans="1:4" ht="15">
      <c r="A172" s="91" t="s">
        <v>153</v>
      </c>
      <c r="B172" s="92"/>
      <c r="C172" s="92"/>
      <c r="D172" s="90">
        <v>2</v>
      </c>
    </row>
    <row r="173" spans="1:4" ht="15">
      <c r="A173" s="91" t="s">
        <v>154</v>
      </c>
      <c r="B173" s="92"/>
      <c r="C173" s="92"/>
      <c r="D173" s="90">
        <v>3</v>
      </c>
    </row>
    <row r="174" spans="1:4" ht="15">
      <c r="A174" s="91" t="s">
        <v>155</v>
      </c>
      <c r="B174" s="92"/>
      <c r="C174" s="92"/>
      <c r="D174" s="90">
        <v>4</v>
      </c>
    </row>
    <row r="175" spans="1:4" ht="15">
      <c r="A175" s="91" t="s">
        <v>156</v>
      </c>
      <c r="B175" s="92"/>
      <c r="C175" s="92"/>
      <c r="D175" s="90">
        <v>5</v>
      </c>
    </row>
    <row r="176" spans="1:4">
      <c r="A176" s="91"/>
      <c r="B176" s="92"/>
      <c r="C176" s="92"/>
      <c r="D176" s="90"/>
    </row>
    <row r="177" spans="1:4" ht="30.75">
      <c r="A177" s="96" t="s">
        <v>157</v>
      </c>
      <c r="B177" s="108" t="s">
        <v>7</v>
      </c>
      <c r="C177" s="108" t="s">
        <v>8</v>
      </c>
      <c r="D177" s="90" t="s">
        <v>9</v>
      </c>
    </row>
    <row r="178" spans="1:4" ht="15">
      <c r="A178" s="91" t="s">
        <v>158</v>
      </c>
      <c r="B178" s="92"/>
      <c r="C178" s="92"/>
      <c r="D178" s="90">
        <v>1</v>
      </c>
    </row>
    <row r="179" spans="1:4" ht="15">
      <c r="A179" s="91" t="s">
        <v>159</v>
      </c>
      <c r="B179" s="92"/>
      <c r="C179" s="92"/>
      <c r="D179" s="90">
        <v>2</v>
      </c>
    </row>
    <row r="180" spans="1:4" ht="15">
      <c r="A180" s="91" t="s">
        <v>160</v>
      </c>
      <c r="B180" s="92"/>
      <c r="C180" s="92"/>
      <c r="D180" s="90">
        <v>3</v>
      </c>
    </row>
    <row r="181" spans="1:4" ht="15">
      <c r="A181" s="91" t="s">
        <v>161</v>
      </c>
      <c r="B181" s="92"/>
      <c r="C181" s="92"/>
      <c r="D181" s="90">
        <v>4</v>
      </c>
    </row>
    <row r="182" spans="1:4" ht="15">
      <c r="A182" s="91" t="s">
        <v>162</v>
      </c>
      <c r="B182" s="92"/>
      <c r="C182" s="92"/>
      <c r="D182" s="90">
        <v>5</v>
      </c>
    </row>
    <row r="183" spans="1:4">
      <c r="A183" s="91"/>
      <c r="B183" s="92"/>
      <c r="C183" s="92"/>
      <c r="D183" s="90"/>
    </row>
    <row r="184" spans="1:4" ht="30.75">
      <c r="A184" s="96" t="s">
        <v>163</v>
      </c>
      <c r="B184" s="108" t="s">
        <v>7</v>
      </c>
      <c r="C184" s="108" t="s">
        <v>8</v>
      </c>
      <c r="D184" s="89" t="s">
        <v>9</v>
      </c>
    </row>
    <row r="185" spans="1:4" ht="15">
      <c r="A185" s="91" t="s">
        <v>164</v>
      </c>
      <c r="B185" s="92"/>
      <c r="C185" s="92"/>
      <c r="D185" s="90">
        <v>1</v>
      </c>
    </row>
    <row r="186" spans="1:4" ht="15">
      <c r="A186" s="91" t="s">
        <v>165</v>
      </c>
      <c r="B186" s="92"/>
      <c r="C186" s="92"/>
      <c r="D186" s="90">
        <v>2</v>
      </c>
    </row>
    <row r="187" spans="1:4" ht="15">
      <c r="A187" s="91" t="s">
        <v>166</v>
      </c>
      <c r="B187" s="92"/>
      <c r="C187" s="92"/>
      <c r="D187" s="90">
        <v>3</v>
      </c>
    </row>
    <row r="188" spans="1:4" ht="15">
      <c r="A188" s="91" t="s">
        <v>167</v>
      </c>
      <c r="B188" s="92"/>
      <c r="C188" s="92"/>
      <c r="D188" s="90">
        <v>4</v>
      </c>
    </row>
    <row r="189" spans="1:4" ht="15">
      <c r="A189" s="91" t="s">
        <v>168</v>
      </c>
      <c r="B189" s="92"/>
      <c r="C189" s="92"/>
      <c r="D189" s="90">
        <v>5</v>
      </c>
    </row>
    <row r="190" spans="1:4">
      <c r="A190" s="91"/>
      <c r="B190" s="92"/>
      <c r="C190" s="92"/>
      <c r="D190" s="90"/>
    </row>
    <row r="191" spans="1:4" ht="30.75">
      <c r="A191" s="96" t="s">
        <v>169</v>
      </c>
      <c r="B191" s="108" t="s">
        <v>7</v>
      </c>
      <c r="C191" s="108" t="s">
        <v>8</v>
      </c>
      <c r="D191" s="89" t="s">
        <v>9</v>
      </c>
    </row>
    <row r="192" spans="1:4" ht="15">
      <c r="A192" s="91" t="s">
        <v>170</v>
      </c>
      <c r="B192" s="92"/>
      <c r="C192" s="92"/>
      <c r="D192" s="90">
        <v>1</v>
      </c>
    </row>
    <row r="193" spans="1:4" ht="15">
      <c r="A193" s="91" t="s">
        <v>171</v>
      </c>
      <c r="B193" s="92"/>
      <c r="C193" s="92"/>
      <c r="D193" s="90">
        <v>2</v>
      </c>
    </row>
    <row r="194" spans="1:4" ht="15">
      <c r="A194" s="91" t="s">
        <v>172</v>
      </c>
      <c r="B194" s="92"/>
      <c r="C194" s="92"/>
      <c r="D194" s="90">
        <v>3</v>
      </c>
    </row>
    <row r="195" spans="1:4" ht="15">
      <c r="A195" s="91" t="s">
        <v>173</v>
      </c>
      <c r="B195" s="92"/>
      <c r="C195" s="92"/>
      <c r="D195" s="90">
        <v>4</v>
      </c>
    </row>
    <row r="196" spans="1:4" ht="15">
      <c r="A196" s="91" t="s">
        <v>174</v>
      </c>
      <c r="B196" s="92"/>
      <c r="C196" s="92"/>
      <c r="D196" s="90">
        <v>5</v>
      </c>
    </row>
    <row r="198" spans="1:4" ht="23.25">
      <c r="A198" s="117" t="s">
        <v>175</v>
      </c>
    </row>
    <row r="199" spans="1:4" ht="30.75">
      <c r="A199" s="95" t="s">
        <v>176</v>
      </c>
      <c r="B199" s="109" t="s">
        <v>7</v>
      </c>
      <c r="C199" s="109" t="s">
        <v>8</v>
      </c>
      <c r="D199" s="89" t="s">
        <v>9</v>
      </c>
    </row>
    <row r="200" spans="1:4" ht="15">
      <c r="A200" s="91" t="s">
        <v>177</v>
      </c>
      <c r="B200" s="92"/>
      <c r="C200" s="92"/>
      <c r="D200" s="90">
        <v>1</v>
      </c>
    </row>
    <row r="201" spans="1:4" ht="15">
      <c r="A201" s="91" t="s">
        <v>178</v>
      </c>
      <c r="B201" s="92"/>
      <c r="C201" s="92"/>
      <c r="D201" s="90">
        <v>2</v>
      </c>
    </row>
    <row r="202" spans="1:4" ht="30.75">
      <c r="A202" s="91" t="s">
        <v>179</v>
      </c>
      <c r="B202" s="92"/>
      <c r="C202" s="92"/>
      <c r="D202" s="90">
        <v>3</v>
      </c>
    </row>
    <row r="203" spans="1:4" ht="15">
      <c r="A203" s="91" t="s">
        <v>180</v>
      </c>
      <c r="B203" s="92"/>
      <c r="C203" s="92"/>
      <c r="D203" s="90">
        <v>4</v>
      </c>
    </row>
    <row r="204" spans="1:4" ht="15">
      <c r="A204" s="91" t="s">
        <v>181</v>
      </c>
      <c r="B204" s="92"/>
      <c r="C204" s="92"/>
      <c r="D204" s="90">
        <v>5</v>
      </c>
    </row>
    <row r="205" spans="1:4" ht="15">
      <c r="B205" s="92"/>
      <c r="C205" s="92"/>
      <c r="D205" s="90"/>
    </row>
    <row r="206" spans="1:4" ht="30.75">
      <c r="A206" s="95" t="s">
        <v>182</v>
      </c>
      <c r="B206" s="109" t="s">
        <v>7</v>
      </c>
      <c r="C206" s="109" t="s">
        <v>8</v>
      </c>
      <c r="D206" s="89" t="s">
        <v>9</v>
      </c>
    </row>
    <row r="207" spans="1:4">
      <c r="A207" s="91" t="s">
        <v>28</v>
      </c>
      <c r="B207" s="92"/>
      <c r="C207" s="92"/>
      <c r="D207" s="90">
        <v>1</v>
      </c>
    </row>
    <row r="208" spans="1:4" ht="15">
      <c r="A208" s="91" t="s">
        <v>183</v>
      </c>
      <c r="B208" s="92"/>
      <c r="C208" s="92"/>
      <c r="D208" s="90">
        <v>2</v>
      </c>
    </row>
    <row r="209" spans="1:9" ht="30.75">
      <c r="A209" s="91" t="s">
        <v>184</v>
      </c>
      <c r="B209" s="92"/>
      <c r="C209" s="92"/>
      <c r="D209" s="90">
        <v>3</v>
      </c>
    </row>
    <row r="210" spans="1:9" ht="30.75">
      <c r="A210" s="91" t="s">
        <v>185</v>
      </c>
      <c r="B210" s="92"/>
      <c r="C210" s="92"/>
      <c r="D210" s="90">
        <v>4</v>
      </c>
    </row>
    <row r="211" spans="1:9" ht="15">
      <c r="A211" s="91" t="s">
        <v>186</v>
      </c>
      <c r="B211" s="92"/>
      <c r="C211" s="92"/>
      <c r="D211" s="90">
        <v>5</v>
      </c>
    </row>
    <row r="212" spans="1:9">
      <c r="A212" s="91"/>
      <c r="B212" s="92"/>
      <c r="C212" s="92"/>
      <c r="D212" s="90"/>
    </row>
    <row r="213" spans="1:9" ht="30.75">
      <c r="A213" s="95" t="s">
        <v>187</v>
      </c>
      <c r="B213" s="109" t="s">
        <v>7</v>
      </c>
      <c r="C213" s="109" t="s">
        <v>8</v>
      </c>
      <c r="D213" s="89" t="s">
        <v>9</v>
      </c>
    </row>
    <row r="214" spans="1:9" ht="15">
      <c r="A214" s="91" t="s">
        <v>188</v>
      </c>
      <c r="B214" s="92"/>
      <c r="C214" s="92"/>
      <c r="D214" s="90">
        <v>1</v>
      </c>
    </row>
    <row r="215" spans="1:9" ht="30.75">
      <c r="A215" s="91" t="s">
        <v>189</v>
      </c>
      <c r="B215" s="92"/>
      <c r="C215" s="92"/>
      <c r="D215" s="90">
        <v>2</v>
      </c>
    </row>
    <row r="216" spans="1:9" ht="15">
      <c r="A216" s="91" t="s">
        <v>190</v>
      </c>
      <c r="B216" s="92"/>
      <c r="C216" s="92"/>
      <c r="D216" s="90">
        <v>3</v>
      </c>
    </row>
    <row r="217" spans="1:9" ht="15">
      <c r="A217" s="91" t="s">
        <v>191</v>
      </c>
      <c r="B217" s="92"/>
      <c r="C217" s="92"/>
      <c r="D217" s="90">
        <v>4</v>
      </c>
    </row>
    <row r="218" spans="1:9" ht="15">
      <c r="A218" s="91" t="s">
        <v>192</v>
      </c>
      <c r="B218" s="92"/>
      <c r="C218" s="92"/>
      <c r="D218" s="90">
        <v>5</v>
      </c>
    </row>
    <row r="219" spans="1:9">
      <c r="A219" s="91"/>
      <c r="B219" s="92"/>
      <c r="C219" s="92"/>
      <c r="D219" s="90"/>
    </row>
    <row r="220" spans="1:9" ht="30.75">
      <c r="A220" s="95" t="s">
        <v>193</v>
      </c>
      <c r="B220" s="109" t="s">
        <v>7</v>
      </c>
      <c r="C220" s="109" t="s">
        <v>8</v>
      </c>
      <c r="D220" s="89" t="s">
        <v>9</v>
      </c>
    </row>
    <row r="221" spans="1:9">
      <c r="A221" s="110" t="s">
        <v>28</v>
      </c>
      <c r="B221" s="92"/>
      <c r="C221" s="92"/>
      <c r="D221" s="90">
        <v>1</v>
      </c>
    </row>
    <row r="222" spans="1:9" ht="15">
      <c r="A222" s="91" t="s">
        <v>194</v>
      </c>
      <c r="B222" s="92"/>
      <c r="C222" s="92"/>
      <c r="D222" s="90">
        <v>2</v>
      </c>
    </row>
    <row r="223" spans="1:9" ht="30.75">
      <c r="A223" s="91" t="s">
        <v>195</v>
      </c>
      <c r="B223" s="92"/>
      <c r="C223" s="92"/>
      <c r="D223" s="90">
        <v>3</v>
      </c>
    </row>
    <row r="224" spans="1:9" ht="45.75">
      <c r="A224" s="91" t="s">
        <v>196</v>
      </c>
      <c r="B224" s="92"/>
      <c r="C224" s="92"/>
      <c r="D224" s="90">
        <v>4</v>
      </c>
      <c r="I224" s="103"/>
    </row>
    <row r="225" spans="1:4" ht="15">
      <c r="A225" s="91" t="s">
        <v>197</v>
      </c>
      <c r="B225" s="92"/>
      <c r="C225" s="92"/>
      <c r="D225" s="90">
        <v>5</v>
      </c>
    </row>
    <row r="226" spans="1:4" ht="15">
      <c r="A226" s="91"/>
      <c r="B226" s="92"/>
      <c r="C226" s="92"/>
      <c r="D226" s="90"/>
    </row>
    <row r="227" spans="1:4" ht="30.75">
      <c r="A227" s="95" t="s">
        <v>198</v>
      </c>
      <c r="B227" s="109" t="s">
        <v>7</v>
      </c>
      <c r="C227" s="109" t="s">
        <v>8</v>
      </c>
      <c r="D227" s="89" t="s">
        <v>9</v>
      </c>
    </row>
    <row r="228" spans="1:4" ht="15">
      <c r="A228" s="91" t="s">
        <v>199</v>
      </c>
      <c r="B228" s="92"/>
      <c r="C228" s="92"/>
      <c r="D228" s="90">
        <v>1</v>
      </c>
    </row>
    <row r="229" spans="1:4" ht="30.75">
      <c r="A229" s="91" t="s">
        <v>200</v>
      </c>
      <c r="B229" s="92"/>
      <c r="C229" s="92"/>
      <c r="D229" s="90">
        <v>2</v>
      </c>
    </row>
    <row r="230" spans="1:4" ht="30.75">
      <c r="A230" s="91" t="s">
        <v>201</v>
      </c>
      <c r="B230" s="92"/>
      <c r="C230" s="92"/>
      <c r="D230" s="90">
        <v>3</v>
      </c>
    </row>
    <row r="231" spans="1:4" ht="30.75">
      <c r="A231" s="91" t="s">
        <v>202</v>
      </c>
      <c r="B231" s="92"/>
      <c r="C231" s="92"/>
      <c r="D231" s="90">
        <v>4</v>
      </c>
    </row>
    <row r="232" spans="1:4" ht="30.75">
      <c r="A232" s="91" t="s">
        <v>203</v>
      </c>
      <c r="B232" s="92"/>
      <c r="C232" s="92"/>
      <c r="D232" s="90">
        <v>5</v>
      </c>
    </row>
  </sheetData>
  <mergeCells count="3">
    <mergeCell ref="F3:M3"/>
    <mergeCell ref="B3:D3"/>
    <mergeCell ref="F4:M22"/>
  </mergeCells>
  <pageMargins left="0.7" right="0.7" top="0.75" bottom="0.75" header="0.3" footer="0.3"/>
  <pageSetup scale="61"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0CE82-04DE-4473-9F68-C9833F9ED966}">
  <sheetPr>
    <tabColor rgb="FFFF0000"/>
  </sheetPr>
  <dimension ref="A1:AI27"/>
  <sheetViews>
    <sheetView showGridLines="0" zoomScale="80" zoomScaleNormal="80" workbookViewId="0">
      <selection activeCell="B18" sqref="B18"/>
    </sheetView>
  </sheetViews>
  <sheetFormatPr defaultColWidth="8.7109375" defaultRowHeight="14.45"/>
  <cols>
    <col min="1" max="1" width="8.7109375" bestFit="1" customWidth="1"/>
    <col min="2" max="4" width="25.7109375" customWidth="1"/>
    <col min="5" max="35" width="6.42578125" style="27" customWidth="1"/>
  </cols>
  <sheetData>
    <row r="1" spans="1:35" s="1" customFormat="1" ht="100.9" customHeight="1">
      <c r="A1" s="36"/>
      <c r="B1" s="37"/>
      <c r="C1" s="37"/>
      <c r="D1" s="38"/>
      <c r="E1" s="39" t="s">
        <v>204</v>
      </c>
      <c r="F1" s="40" t="s">
        <v>204</v>
      </c>
      <c r="G1" s="40" t="s">
        <v>204</v>
      </c>
      <c r="H1" s="40" t="s">
        <v>204</v>
      </c>
      <c r="I1" s="41" t="s">
        <v>204</v>
      </c>
      <c r="J1" s="42" t="s">
        <v>204</v>
      </c>
      <c r="K1" s="39" t="s">
        <v>205</v>
      </c>
      <c r="L1" s="40" t="s">
        <v>205</v>
      </c>
      <c r="M1" s="40" t="s">
        <v>205</v>
      </c>
      <c r="N1" s="40" t="s">
        <v>205</v>
      </c>
      <c r="O1" s="41" t="s">
        <v>205</v>
      </c>
      <c r="P1" s="43" t="s">
        <v>206</v>
      </c>
      <c r="Q1" s="40" t="s">
        <v>206</v>
      </c>
      <c r="R1" s="40" t="s">
        <v>206</v>
      </c>
      <c r="S1" s="40" t="s">
        <v>206</v>
      </c>
      <c r="T1" s="40" t="s">
        <v>206</v>
      </c>
      <c r="U1" s="39" t="s">
        <v>207</v>
      </c>
      <c r="V1" s="40" t="s">
        <v>207</v>
      </c>
      <c r="W1" s="40" t="s">
        <v>207</v>
      </c>
      <c r="X1" s="40" t="s">
        <v>207</v>
      </c>
      <c r="Y1" s="40" t="s">
        <v>207</v>
      </c>
      <c r="Z1" s="43" t="s">
        <v>208</v>
      </c>
      <c r="AA1" s="40" t="s">
        <v>208</v>
      </c>
      <c r="AB1" s="40" t="s">
        <v>208</v>
      </c>
      <c r="AC1" s="40" t="s">
        <v>208</v>
      </c>
      <c r="AD1" s="42" t="s">
        <v>208</v>
      </c>
      <c r="AE1" s="43" t="s">
        <v>209</v>
      </c>
      <c r="AF1" s="40" t="s">
        <v>209</v>
      </c>
      <c r="AG1" s="40" t="s">
        <v>209</v>
      </c>
      <c r="AH1" s="40" t="s">
        <v>209</v>
      </c>
      <c r="AI1" s="42" t="s">
        <v>209</v>
      </c>
    </row>
    <row r="2" spans="1:35" s="1" customFormat="1" ht="150.4" customHeight="1">
      <c r="A2" s="8"/>
      <c r="B2" s="9"/>
      <c r="C2" s="9"/>
      <c r="D2" s="10"/>
      <c r="E2" s="11" t="s">
        <v>17</v>
      </c>
      <c r="F2" s="12" t="s">
        <v>23</v>
      </c>
      <c r="G2" s="12" t="s">
        <v>29</v>
      </c>
      <c r="H2" s="12" t="s">
        <v>35</v>
      </c>
      <c r="I2" s="15" t="s">
        <v>41</v>
      </c>
      <c r="J2" s="13" t="s">
        <v>47</v>
      </c>
      <c r="K2" s="11" t="s">
        <v>54</v>
      </c>
      <c r="L2" s="12" t="s">
        <v>60</v>
      </c>
      <c r="M2" s="12" t="s">
        <v>66</v>
      </c>
      <c r="N2" s="12" t="s">
        <v>72</v>
      </c>
      <c r="O2" s="15" t="s">
        <v>78</v>
      </c>
      <c r="P2" s="14" t="s">
        <v>85</v>
      </c>
      <c r="Q2" s="12" t="s">
        <v>91</v>
      </c>
      <c r="R2" s="12" t="s">
        <v>97</v>
      </c>
      <c r="S2" s="12" t="s">
        <v>103</v>
      </c>
      <c r="T2" s="15" t="s">
        <v>109</v>
      </c>
      <c r="U2" s="11" t="s">
        <v>116</v>
      </c>
      <c r="V2" s="12" t="s">
        <v>121</v>
      </c>
      <c r="W2" s="12" t="s">
        <v>127</v>
      </c>
      <c r="X2" s="12" t="s">
        <v>133</v>
      </c>
      <c r="Y2" s="12" t="s">
        <v>210</v>
      </c>
      <c r="Z2" s="14" t="s">
        <v>145</v>
      </c>
      <c r="AA2" s="12" t="s">
        <v>151</v>
      </c>
      <c r="AB2" s="12" t="s">
        <v>157</v>
      </c>
      <c r="AC2" s="12" t="s">
        <v>211</v>
      </c>
      <c r="AD2" s="13" t="s">
        <v>169</v>
      </c>
      <c r="AE2" s="14" t="s">
        <v>176</v>
      </c>
      <c r="AF2" s="12" t="s">
        <v>182</v>
      </c>
      <c r="AG2" s="12" t="s">
        <v>187</v>
      </c>
      <c r="AH2" s="12" t="s">
        <v>193</v>
      </c>
      <c r="AI2" s="13" t="s">
        <v>198</v>
      </c>
    </row>
    <row r="3" spans="1:35">
      <c r="A3" s="6" t="s">
        <v>212</v>
      </c>
      <c r="B3" s="2" t="s">
        <v>213</v>
      </c>
      <c r="C3" s="2" t="s">
        <v>214</v>
      </c>
      <c r="D3" s="3" t="s">
        <v>215</v>
      </c>
      <c r="E3" s="16">
        <v>1</v>
      </c>
      <c r="F3" s="17">
        <v>2</v>
      </c>
      <c r="G3" s="17">
        <v>3</v>
      </c>
      <c r="H3" s="17">
        <v>4</v>
      </c>
      <c r="I3" s="20">
        <v>5</v>
      </c>
      <c r="J3" s="18">
        <v>6</v>
      </c>
      <c r="K3" s="16">
        <v>1</v>
      </c>
      <c r="L3" s="17">
        <v>2</v>
      </c>
      <c r="M3" s="17">
        <v>3</v>
      </c>
      <c r="N3" s="17">
        <v>4</v>
      </c>
      <c r="O3" s="20">
        <v>5</v>
      </c>
      <c r="P3" s="19">
        <v>1</v>
      </c>
      <c r="Q3" s="17">
        <v>2</v>
      </c>
      <c r="R3" s="17">
        <v>3</v>
      </c>
      <c r="S3" s="17">
        <v>4</v>
      </c>
      <c r="T3" s="20">
        <v>5</v>
      </c>
      <c r="U3" s="16">
        <v>1</v>
      </c>
      <c r="V3" s="17">
        <v>2</v>
      </c>
      <c r="W3" s="17">
        <v>3</v>
      </c>
      <c r="X3" s="17">
        <v>4</v>
      </c>
      <c r="Y3" s="17">
        <v>5</v>
      </c>
      <c r="Z3" s="19">
        <v>1</v>
      </c>
      <c r="AA3" s="17">
        <v>2</v>
      </c>
      <c r="AB3" s="17">
        <v>3</v>
      </c>
      <c r="AC3" s="17">
        <v>4</v>
      </c>
      <c r="AD3" s="18">
        <v>5</v>
      </c>
      <c r="AE3" s="19">
        <v>1</v>
      </c>
      <c r="AF3" s="17">
        <v>2</v>
      </c>
      <c r="AG3" s="17">
        <v>3</v>
      </c>
      <c r="AH3" s="17">
        <v>4</v>
      </c>
      <c r="AI3" s="18">
        <v>5</v>
      </c>
    </row>
    <row r="4" spans="1:35">
      <c r="A4" s="33" t="s">
        <v>216</v>
      </c>
      <c r="B4" s="5"/>
      <c r="C4" s="5"/>
      <c r="D4" s="5"/>
      <c r="E4" s="21"/>
      <c r="F4" s="22"/>
      <c r="G4" s="22"/>
      <c r="H4" s="22"/>
      <c r="I4" s="22"/>
      <c r="J4" s="23"/>
      <c r="K4" s="21"/>
      <c r="L4" s="22"/>
      <c r="M4" s="22"/>
      <c r="N4" s="22"/>
      <c r="O4" s="22"/>
      <c r="P4" s="22"/>
      <c r="Q4" s="22"/>
      <c r="R4" s="22"/>
      <c r="S4" s="22"/>
      <c r="T4" s="22"/>
      <c r="U4" s="21"/>
      <c r="V4" s="22"/>
      <c r="W4" s="22"/>
      <c r="X4" s="22"/>
      <c r="Y4" s="22"/>
      <c r="Z4" s="22"/>
      <c r="AA4" s="22"/>
      <c r="AB4" s="22"/>
      <c r="AC4" s="22"/>
      <c r="AD4" s="23"/>
      <c r="AE4" s="22"/>
      <c r="AF4" s="22"/>
      <c r="AG4" s="22"/>
      <c r="AH4" s="22"/>
      <c r="AI4" s="23"/>
    </row>
    <row r="5" spans="1:35">
      <c r="A5" s="6">
        <v>1</v>
      </c>
      <c r="B5" s="34" t="s">
        <v>217</v>
      </c>
      <c r="C5" s="2"/>
      <c r="D5" s="3"/>
      <c r="E5" s="44" t="e">
        <f>SUM(Questions!$B13:$B17)/COUNT(Questions!$B13:$B17)</f>
        <v>#DIV/0!</v>
      </c>
      <c r="F5" s="45" t="e">
        <f>SUM(Questions!$B20:$B24)/COUNT(Questions!$B20:$B24)</f>
        <v>#DIV/0!</v>
      </c>
      <c r="G5" s="45" t="e">
        <f>SUM(Questions!$B27:$B31)/COUNT(Questions!$B27:$B31)</f>
        <v>#DIV/0!</v>
      </c>
      <c r="H5" s="45" t="e">
        <f>SUM(Questions!$B34:$B38)/COUNT(Questions!$B34:$B38)</f>
        <v>#DIV/0!</v>
      </c>
      <c r="I5" s="45" t="e">
        <f>SUM(Questions!$B41:$B45)/COUNT(Questions!$B41:$B45)</f>
        <v>#DIV/0!</v>
      </c>
      <c r="J5" s="46" t="e">
        <f>SUM(Questions!$B48:$B52)/COUNT(Questions!$B48:$B52)</f>
        <v>#DIV/0!</v>
      </c>
      <c r="K5" s="44" t="e">
        <f>SUM(Questions!$B56:$B60)/COUNT(Questions!$B56:$B60)</f>
        <v>#DIV/0!</v>
      </c>
      <c r="L5" s="45" t="e">
        <f>SUM(Questions!$B63:$B67)/COUNT(Questions!$B63:$B67)</f>
        <v>#DIV/0!</v>
      </c>
      <c r="M5" s="47" t="e">
        <f>SUM(Questions!$B70:$B74)/COUNT(Questions!$B70:$B74)</f>
        <v>#DIV/0!</v>
      </c>
      <c r="N5" s="45" t="e">
        <f>SUM(Questions!$B77:$B81)/COUNT(Questions!$B77:$B81)</f>
        <v>#DIV/0!</v>
      </c>
      <c r="O5" s="48" t="e">
        <f>SUM(Questions!$B84:$B88)/COUNT(Questions!$B84:$B88)</f>
        <v>#DIV/0!</v>
      </c>
      <c r="P5" s="44" t="e">
        <f>SUM(Questions!$B92:$B96)/COUNT(Questions!$B92:$B96)</f>
        <v>#DIV/0!</v>
      </c>
      <c r="Q5" s="45" t="e">
        <f>SUM(Questions!$B99:$B103)/COUNT(Questions!$B99:$B103)</f>
        <v>#DIV/0!</v>
      </c>
      <c r="R5" s="45" t="e">
        <f>SUM(Questions!$B106:$B110)/COUNT(Questions!$B106:$B110)</f>
        <v>#DIV/0!</v>
      </c>
      <c r="S5" s="45" t="e">
        <f>SUM(Questions!$B113:$B117)/COUNT(Questions!$B113:$B117)</f>
        <v>#DIV/0!</v>
      </c>
      <c r="T5" s="45" t="e">
        <f>SUM(Questions!$B120:$B124)/COUNT(Questions!$B120:$B124)</f>
        <v>#DIV/0!</v>
      </c>
      <c r="U5" s="44" t="e">
        <f>SUM(Questions!$B128:$B132)/COUNT(Questions!$B128:$B132)</f>
        <v>#DIV/0!</v>
      </c>
      <c r="V5" s="45" t="e">
        <f>SUM(Questions!$B135:$B139)/COUNT(Questions!$B135:$B139)</f>
        <v>#DIV/0!</v>
      </c>
      <c r="W5" s="45" t="e">
        <f>SUM(Questions!$B142:$B146)/COUNT(Questions!$B142:$B146)</f>
        <v>#DIV/0!</v>
      </c>
      <c r="X5" s="45" t="e">
        <f>SUM(Questions!$B149:$B153)/COUNT(Questions!$B149:$B153)</f>
        <v>#DIV/0!</v>
      </c>
      <c r="Y5" s="45" t="e">
        <f>SUM(Questions!$B156:$B160)/COUNT(Questions!$B156:$B160)</f>
        <v>#DIV/0!</v>
      </c>
      <c r="Z5" s="44" t="e">
        <f>SUM(Questions!$B164:$B168)/COUNT(Questions!$B164:$B168)</f>
        <v>#DIV/0!</v>
      </c>
      <c r="AA5" s="45" t="e">
        <f>SUM(Questions!$B171:$B175)/COUNT(Questions!$B171:$B175)</f>
        <v>#DIV/0!</v>
      </c>
      <c r="AB5" s="45" t="e">
        <f>SUM(Questions!$B178:$B182)/COUNT(Questions!$B178:$B182)</f>
        <v>#DIV/0!</v>
      </c>
      <c r="AC5" s="45" t="e">
        <f>SUM(Questions!$B185:$B189)/COUNT(Questions!$B185:$B189)</f>
        <v>#DIV/0!</v>
      </c>
      <c r="AD5" s="46" t="e">
        <f>SUM(Questions!$B192:$B196)/COUNT(Questions!$B192:$B196)</f>
        <v>#DIV/0!</v>
      </c>
      <c r="AE5" s="44" t="e">
        <f>SUM(Questions!$B200:$B204)/COUNT(Questions!$B200:$B204)</f>
        <v>#DIV/0!</v>
      </c>
      <c r="AF5" s="45" t="e">
        <f>SUM(Questions!$B207:$B211)/COUNT(Questions!$B207:$B211)</f>
        <v>#DIV/0!</v>
      </c>
      <c r="AG5" s="45" t="e">
        <f>SUM(Questions!$B214:$B218)/COUNT(Questions!$B214:$B218)</f>
        <v>#DIV/0!</v>
      </c>
      <c r="AH5" s="45" t="e">
        <f>SUM(Questions!$B221:$B225)/COUNT(Questions!$B221:$B225)</f>
        <v>#DIV/0!</v>
      </c>
      <c r="AI5" s="46" t="e">
        <f>SUM(Questions!$B228:$B232)/COUNT(Questions!$B228:$B232)</f>
        <v>#DIV/0!</v>
      </c>
    </row>
    <row r="6" spans="1:35">
      <c r="A6" s="6">
        <v>2</v>
      </c>
      <c r="B6" s="28" t="s">
        <v>218</v>
      </c>
      <c r="C6" s="2"/>
      <c r="D6" s="3"/>
      <c r="E6" s="24"/>
      <c r="F6" s="25"/>
      <c r="G6" s="25"/>
      <c r="H6" s="25"/>
      <c r="I6" s="29"/>
      <c r="J6" s="26"/>
      <c r="K6" s="24"/>
      <c r="L6" s="29"/>
      <c r="M6" s="32"/>
      <c r="N6" s="30"/>
      <c r="O6" s="35"/>
      <c r="P6" s="24"/>
      <c r="Q6" s="25"/>
      <c r="R6" s="25"/>
      <c r="S6" s="25"/>
      <c r="T6" s="29"/>
      <c r="U6" s="24"/>
      <c r="V6" s="25"/>
      <c r="W6" s="25"/>
      <c r="X6" s="25"/>
      <c r="Y6" s="25"/>
      <c r="Z6" s="24"/>
      <c r="AA6" s="25"/>
      <c r="AB6" s="25"/>
      <c r="AC6" s="25"/>
      <c r="AD6" s="26"/>
      <c r="AE6" s="24"/>
      <c r="AF6" s="25"/>
      <c r="AG6" s="25"/>
      <c r="AH6" s="25"/>
      <c r="AI6" s="26"/>
    </row>
    <row r="7" spans="1:35">
      <c r="A7" s="6">
        <v>3</v>
      </c>
      <c r="B7" s="28" t="s">
        <v>219</v>
      </c>
      <c r="C7" s="2"/>
      <c r="D7" s="3"/>
      <c r="E7" s="24"/>
      <c r="F7" s="25"/>
      <c r="G7" s="25"/>
      <c r="H7" s="25"/>
      <c r="I7" s="29"/>
      <c r="J7" s="26"/>
      <c r="K7" s="24"/>
      <c r="L7" s="25"/>
      <c r="M7" s="32"/>
      <c r="N7" s="25"/>
      <c r="O7" s="29"/>
      <c r="P7" s="24"/>
      <c r="Q7" s="25"/>
      <c r="R7" s="25"/>
      <c r="S7" s="25"/>
      <c r="T7" s="29"/>
      <c r="U7" s="24"/>
      <c r="V7" s="25"/>
      <c r="W7" s="25"/>
      <c r="X7" s="25"/>
      <c r="Y7" s="25"/>
      <c r="Z7" s="24"/>
      <c r="AA7" s="25"/>
      <c r="AB7" s="25"/>
      <c r="AC7" s="25"/>
      <c r="AD7" s="26"/>
      <c r="AE7" s="24"/>
      <c r="AF7" s="25"/>
      <c r="AG7" s="25"/>
      <c r="AH7" s="25"/>
      <c r="AI7" s="26"/>
    </row>
    <row r="8" spans="1:35">
      <c r="A8" s="6">
        <v>4</v>
      </c>
      <c r="B8" s="2"/>
      <c r="C8" s="2"/>
      <c r="D8" s="3"/>
      <c r="E8" s="24"/>
      <c r="F8" s="25"/>
      <c r="G8" s="25"/>
      <c r="H8" s="25"/>
      <c r="I8" s="29"/>
      <c r="J8" s="31"/>
      <c r="K8" s="24"/>
      <c r="L8" s="25"/>
      <c r="M8" s="32"/>
      <c r="N8" s="25"/>
      <c r="O8" s="29"/>
      <c r="P8" s="24"/>
      <c r="Q8" s="25"/>
      <c r="R8" s="25"/>
      <c r="S8" s="25"/>
      <c r="T8" s="29"/>
      <c r="U8" s="24"/>
      <c r="V8" s="25"/>
      <c r="W8" s="25"/>
      <c r="X8" s="25"/>
      <c r="Y8" s="25"/>
      <c r="Z8" s="24"/>
      <c r="AA8" s="25"/>
      <c r="AB8" s="25"/>
      <c r="AC8" s="25"/>
      <c r="AD8" s="26"/>
      <c r="AE8" s="24"/>
      <c r="AF8" s="25"/>
      <c r="AG8" s="25"/>
      <c r="AH8" s="25"/>
      <c r="AI8" s="26"/>
    </row>
    <row r="9" spans="1:35">
      <c r="A9" s="6">
        <v>5</v>
      </c>
      <c r="B9" s="3"/>
      <c r="C9" s="3"/>
      <c r="D9" s="3"/>
      <c r="E9" s="24"/>
      <c r="F9" s="25"/>
      <c r="G9" s="25"/>
      <c r="H9" s="25"/>
      <c r="I9" s="29"/>
      <c r="J9" s="26"/>
      <c r="K9" s="24"/>
      <c r="L9" s="25"/>
      <c r="M9" s="32"/>
      <c r="N9" s="25"/>
      <c r="O9" s="29"/>
      <c r="P9" s="24"/>
      <c r="Q9" s="25"/>
      <c r="R9" s="25"/>
      <c r="S9" s="25"/>
      <c r="T9" s="29"/>
      <c r="U9" s="24"/>
      <c r="V9" s="25"/>
      <c r="W9" s="25"/>
      <c r="X9" s="25"/>
      <c r="Y9" s="25"/>
      <c r="Z9" s="24"/>
      <c r="AA9" s="25"/>
      <c r="AB9" s="25"/>
      <c r="AC9" s="25"/>
      <c r="AD9" s="26"/>
      <c r="AE9" s="24"/>
      <c r="AF9" s="25"/>
      <c r="AG9" s="25"/>
      <c r="AH9" s="25"/>
      <c r="AI9" s="26"/>
    </row>
    <row r="10" spans="1:35">
      <c r="A10" s="6">
        <v>6</v>
      </c>
      <c r="B10" s="2"/>
      <c r="C10" s="2"/>
      <c r="D10" s="3"/>
      <c r="E10" s="24"/>
      <c r="F10" s="25"/>
      <c r="G10" s="25"/>
      <c r="J10" s="26"/>
      <c r="K10" s="24"/>
      <c r="L10" s="25"/>
      <c r="M10" s="32"/>
      <c r="N10" s="25"/>
      <c r="O10" s="29"/>
      <c r="P10" s="24"/>
      <c r="Q10" s="25"/>
      <c r="R10" s="25"/>
      <c r="S10" s="25"/>
      <c r="T10" s="29"/>
      <c r="U10" s="24"/>
      <c r="V10" s="25"/>
      <c r="W10" s="25"/>
      <c r="X10" s="25"/>
      <c r="Y10" s="25"/>
      <c r="Z10" s="24"/>
      <c r="AA10" s="25"/>
      <c r="AB10" s="25"/>
      <c r="AC10" s="25"/>
      <c r="AD10" s="26"/>
      <c r="AE10" s="24"/>
      <c r="AF10" s="25"/>
      <c r="AG10" s="25"/>
      <c r="AH10" s="25"/>
      <c r="AI10" s="26"/>
    </row>
    <row r="11" spans="1:35">
      <c r="A11" s="6">
        <v>7</v>
      </c>
      <c r="B11" s="2"/>
      <c r="C11" s="2"/>
      <c r="D11" s="3"/>
      <c r="E11" s="24"/>
      <c r="F11" s="25"/>
      <c r="G11" s="25"/>
      <c r="H11" s="25"/>
      <c r="I11" s="29"/>
      <c r="J11" s="26"/>
      <c r="K11" s="24"/>
      <c r="L11" s="25"/>
      <c r="M11" s="32"/>
      <c r="N11" s="25"/>
      <c r="O11" s="29"/>
      <c r="P11" s="24"/>
      <c r="Q11" s="25"/>
      <c r="R11" s="25"/>
      <c r="S11" s="25"/>
      <c r="T11" s="29"/>
      <c r="U11" s="24"/>
      <c r="V11" s="25"/>
      <c r="W11" s="25"/>
      <c r="X11" s="25"/>
      <c r="Y11" s="25"/>
      <c r="Z11" s="24"/>
      <c r="AA11" s="25"/>
      <c r="AB11" s="25"/>
      <c r="AC11" s="25"/>
      <c r="AD11" s="26"/>
      <c r="AE11" s="24"/>
      <c r="AF11" s="25"/>
      <c r="AG11" s="25"/>
      <c r="AH11" s="25"/>
      <c r="AI11" s="26"/>
    </row>
    <row r="12" spans="1:35">
      <c r="A12" s="6">
        <v>8</v>
      </c>
      <c r="B12" s="2"/>
      <c r="C12" s="2"/>
      <c r="D12" s="3"/>
      <c r="E12" s="24"/>
      <c r="F12" s="25"/>
      <c r="G12" s="25"/>
      <c r="H12" s="25"/>
      <c r="I12" s="29"/>
      <c r="J12" s="26"/>
      <c r="K12" s="24"/>
      <c r="L12" s="25"/>
      <c r="M12" s="32"/>
      <c r="N12" s="25"/>
      <c r="O12" s="29"/>
      <c r="P12" s="24"/>
      <c r="Q12" s="25"/>
      <c r="R12" s="25"/>
      <c r="S12" s="25"/>
      <c r="T12" s="29"/>
      <c r="U12" s="24"/>
      <c r="V12" s="25"/>
      <c r="W12" s="25"/>
      <c r="X12" s="25"/>
      <c r="Y12" s="25"/>
      <c r="Z12" s="24"/>
      <c r="AA12" s="25"/>
      <c r="AB12" s="25"/>
      <c r="AC12" s="32"/>
      <c r="AD12" s="26"/>
      <c r="AE12" s="24"/>
      <c r="AF12" s="25"/>
      <c r="AG12" s="25"/>
      <c r="AH12" s="32"/>
      <c r="AI12" s="26"/>
    </row>
    <row r="13" spans="1:35">
      <c r="A13" s="6">
        <v>9</v>
      </c>
      <c r="B13" s="2"/>
      <c r="C13" s="2"/>
      <c r="D13" s="3"/>
      <c r="E13" s="24"/>
      <c r="F13" s="25"/>
      <c r="G13" s="25"/>
      <c r="H13" s="25"/>
      <c r="I13" s="29"/>
      <c r="J13" s="26"/>
      <c r="K13" s="24"/>
      <c r="L13" s="25"/>
      <c r="M13" s="32"/>
      <c r="N13" s="25"/>
      <c r="O13" s="29"/>
      <c r="P13" s="24"/>
      <c r="Q13" s="25"/>
      <c r="R13" s="25"/>
      <c r="S13" s="25"/>
      <c r="T13" s="29"/>
      <c r="U13" s="24"/>
      <c r="V13" s="25"/>
      <c r="W13" s="25"/>
      <c r="X13" s="25"/>
      <c r="Y13" s="25"/>
      <c r="Z13" s="24"/>
      <c r="AA13" s="25"/>
      <c r="AB13" s="25"/>
      <c r="AC13" s="25"/>
      <c r="AD13" s="26"/>
      <c r="AE13" s="24"/>
      <c r="AF13" s="25"/>
      <c r="AG13" s="25"/>
      <c r="AH13" s="25"/>
      <c r="AI13" s="26"/>
    </row>
    <row r="14" spans="1:35">
      <c r="A14" s="6">
        <v>10</v>
      </c>
      <c r="B14" s="2"/>
      <c r="C14" s="2"/>
      <c r="D14" s="3"/>
      <c r="E14" s="24"/>
      <c r="F14" s="25"/>
      <c r="G14" s="25"/>
      <c r="H14" s="25"/>
      <c r="I14" s="29"/>
      <c r="J14" s="26"/>
      <c r="K14" s="24"/>
      <c r="L14" s="25"/>
      <c r="M14" s="32"/>
      <c r="N14" s="25"/>
      <c r="O14" s="29"/>
      <c r="P14" s="24"/>
      <c r="Q14" s="25"/>
      <c r="R14" s="25"/>
      <c r="S14" s="25"/>
      <c r="T14" s="29"/>
      <c r="U14" s="24"/>
      <c r="V14" s="25"/>
      <c r="W14" s="25"/>
      <c r="X14" s="25"/>
      <c r="Y14" s="25"/>
      <c r="Z14" s="24"/>
      <c r="AA14" s="25"/>
      <c r="AB14" s="25"/>
      <c r="AC14" s="25"/>
      <c r="AD14" s="26"/>
      <c r="AE14" s="24"/>
      <c r="AF14" s="25"/>
      <c r="AG14" s="25"/>
      <c r="AH14" s="25"/>
      <c r="AI14" s="26"/>
    </row>
    <row r="15" spans="1:35">
      <c r="A15" s="7"/>
      <c r="C15" s="4"/>
    </row>
    <row r="16" spans="1:35">
      <c r="A16" s="33" t="s">
        <v>220</v>
      </c>
      <c r="B16" s="5"/>
      <c r="C16" s="5"/>
      <c r="D16" s="5"/>
      <c r="E16" s="21"/>
      <c r="F16" s="22"/>
      <c r="G16" s="22"/>
      <c r="H16" s="22"/>
      <c r="I16" s="22"/>
      <c r="J16" s="23"/>
      <c r="K16" s="21"/>
      <c r="L16" s="22"/>
      <c r="M16" s="22"/>
      <c r="N16" s="22"/>
      <c r="O16" s="22"/>
      <c r="P16" s="22"/>
      <c r="Q16" s="22"/>
      <c r="R16" s="22"/>
      <c r="S16" s="22"/>
      <c r="T16" s="22"/>
      <c r="U16" s="21"/>
      <c r="V16" s="22"/>
      <c r="W16" s="22"/>
      <c r="X16" s="22"/>
      <c r="Y16" s="22"/>
      <c r="Z16" s="22"/>
      <c r="AA16" s="22"/>
      <c r="AB16" s="22"/>
      <c r="AC16" s="22"/>
      <c r="AD16" s="23"/>
      <c r="AE16" s="22"/>
      <c r="AF16" s="22"/>
      <c r="AG16" s="22"/>
      <c r="AH16" s="22"/>
      <c r="AI16" s="23"/>
    </row>
    <row r="17" spans="1:35" ht="15">
      <c r="A17" s="6" t="s">
        <v>212</v>
      </c>
      <c r="B17" s="2" t="s">
        <v>213</v>
      </c>
      <c r="C17" s="2" t="s">
        <v>214</v>
      </c>
      <c r="D17" s="3" t="s">
        <v>215</v>
      </c>
      <c r="E17" s="16">
        <v>1</v>
      </c>
      <c r="F17" s="17">
        <v>2</v>
      </c>
      <c r="G17" s="17">
        <v>3</v>
      </c>
      <c r="H17" s="17">
        <v>4</v>
      </c>
      <c r="I17" s="20">
        <v>5</v>
      </c>
      <c r="J17" s="18">
        <v>6</v>
      </c>
      <c r="K17" s="16">
        <v>1</v>
      </c>
      <c r="L17" s="17">
        <v>2</v>
      </c>
      <c r="M17" s="17">
        <v>3</v>
      </c>
      <c r="N17" s="17">
        <v>4</v>
      </c>
      <c r="O17" s="20">
        <v>5</v>
      </c>
      <c r="P17" s="19">
        <v>1</v>
      </c>
      <c r="Q17" s="17">
        <v>2</v>
      </c>
      <c r="R17" s="17">
        <v>3</v>
      </c>
      <c r="S17" s="17">
        <v>4</v>
      </c>
      <c r="T17" s="20">
        <v>5</v>
      </c>
      <c r="U17" s="16">
        <v>1</v>
      </c>
      <c r="V17" s="17">
        <v>2</v>
      </c>
      <c r="W17" s="17">
        <v>3</v>
      </c>
      <c r="X17" s="17">
        <v>4</v>
      </c>
      <c r="Y17" s="17">
        <v>5</v>
      </c>
      <c r="Z17" s="19">
        <v>1</v>
      </c>
      <c r="AA17" s="17">
        <v>2</v>
      </c>
      <c r="AB17" s="17">
        <v>3</v>
      </c>
      <c r="AC17" s="17">
        <v>4</v>
      </c>
      <c r="AD17" s="18">
        <v>5</v>
      </c>
      <c r="AE17" s="19">
        <v>1</v>
      </c>
      <c r="AF17" s="17">
        <v>2</v>
      </c>
      <c r="AG17" s="17">
        <v>3</v>
      </c>
      <c r="AH17" s="17">
        <v>4</v>
      </c>
      <c r="AI17" s="18">
        <v>5</v>
      </c>
    </row>
    <row r="18" spans="1:35">
      <c r="A18" s="6">
        <f t="shared" ref="A18:D27" si="0">A5</f>
        <v>1</v>
      </c>
      <c r="B18" s="34" t="s">
        <v>217</v>
      </c>
      <c r="C18" s="2">
        <f t="shared" si="0"/>
        <v>0</v>
      </c>
      <c r="D18" s="2">
        <f t="shared" si="0"/>
        <v>0</v>
      </c>
      <c r="E18" s="44" t="e">
        <f>SUM(Questions!$C13:$C17)/COUNT(Questions!$C13:$C17)</f>
        <v>#DIV/0!</v>
      </c>
      <c r="F18" s="45" t="e">
        <f>SUM(Questions!$C20:$C24)/COUNT(Questions!$C20:$C24)</f>
        <v>#DIV/0!</v>
      </c>
      <c r="G18" s="45" t="e">
        <f>SUM(Questions!$C27:$C31)/COUNT(Questions!$C27:$C31)</f>
        <v>#DIV/0!</v>
      </c>
      <c r="H18" s="45" t="e">
        <f>SUM(Questions!$C34:$C38)/COUNT(Questions!$C34:$C38)</f>
        <v>#DIV/0!</v>
      </c>
      <c r="I18" s="45" t="e">
        <f>SUM(Questions!$C41:$C45)/COUNT(Questions!$C41:$C45)</f>
        <v>#DIV/0!</v>
      </c>
      <c r="J18" s="46" t="e">
        <f>SUM(Questions!$C48:$C52)/COUNT(Questions!$C48:$C52)</f>
        <v>#DIV/0!</v>
      </c>
      <c r="K18" s="44" t="e">
        <f>SUM(Questions!$C56:$C60)/COUNT(Questions!$C56:$C60)</f>
        <v>#DIV/0!</v>
      </c>
      <c r="L18" s="45" t="e">
        <f>SUM(Questions!$C63:$C67)/COUNT(Questions!$C63:$C67)</f>
        <v>#DIV/0!</v>
      </c>
      <c r="M18" s="47" t="e">
        <f>SUM(Questions!$C70:$C74)/COUNT(Questions!$C70:$C74)</f>
        <v>#DIV/0!</v>
      </c>
      <c r="N18" s="45" t="e">
        <f>SUM(Questions!$C77:$C81)/COUNT(Questions!$C77:$C81)</f>
        <v>#DIV/0!</v>
      </c>
      <c r="O18" s="48" t="e">
        <f>SUM(Questions!$C84:$C88)/COUNT(Questions!$C84:$C88)</f>
        <v>#DIV/0!</v>
      </c>
      <c r="P18" s="44" t="e">
        <f>SUM(Questions!$C92:$C96)/COUNT(Questions!$C92:$C96)</f>
        <v>#DIV/0!</v>
      </c>
      <c r="Q18" s="45" t="e">
        <f>SUM(Questions!$C99:$C103)/COUNT(Questions!$C99:$C103)</f>
        <v>#DIV/0!</v>
      </c>
      <c r="R18" s="45" t="e">
        <f>SUM(Questions!$C106:$C110)/COUNT(Questions!$C106:$C110)</f>
        <v>#DIV/0!</v>
      </c>
      <c r="S18" s="45" t="e">
        <f>SUM(Questions!$C113:$C117)/COUNT(Questions!$C113:$C117)</f>
        <v>#DIV/0!</v>
      </c>
      <c r="T18" s="45" t="e">
        <f>SUM(Questions!$C120:$C124)/COUNT(Questions!$C120:$C124)</f>
        <v>#DIV/0!</v>
      </c>
      <c r="U18" s="44" t="e">
        <f>SUM(Questions!$C128:$C132)/COUNT(Questions!$C128:$C132)</f>
        <v>#DIV/0!</v>
      </c>
      <c r="V18" s="45" t="e">
        <f>SUM(Questions!$C135:$C139)/COUNT(Questions!$C135:$C139)</f>
        <v>#DIV/0!</v>
      </c>
      <c r="W18" s="45" t="e">
        <f>SUM(Questions!$C142:$C146)/COUNT(Questions!$C142:$C146)</f>
        <v>#DIV/0!</v>
      </c>
      <c r="X18" s="45" t="e">
        <f>SUM(Questions!$C149:$C153)/COUNT(Questions!$C149:$C153)</f>
        <v>#DIV/0!</v>
      </c>
      <c r="Y18" s="45" t="e">
        <f>SUM(Questions!$C156:$C160)/COUNT(Questions!$C156:$C160)</f>
        <v>#DIV/0!</v>
      </c>
      <c r="Z18" s="44" t="e">
        <f>SUM(Questions!$C164:$C168)/COUNT(Questions!$C164:$C168)</f>
        <v>#DIV/0!</v>
      </c>
      <c r="AA18" s="45" t="e">
        <f>SUM(Questions!$C171:$C175)/COUNT(Questions!$C171:$C175)</f>
        <v>#DIV/0!</v>
      </c>
      <c r="AB18" s="45" t="e">
        <f>SUM(Questions!$C178:$C182)/COUNT(Questions!$C178:$C182)</f>
        <v>#DIV/0!</v>
      </c>
      <c r="AC18" s="45" t="e">
        <f>SUM(Questions!$C185:$C189)/COUNT(Questions!$C185:$C189)</f>
        <v>#DIV/0!</v>
      </c>
      <c r="AD18" s="46" t="e">
        <f>SUM(Questions!$C192:$C196)/COUNT(Questions!$C192:$C196)</f>
        <v>#DIV/0!</v>
      </c>
      <c r="AE18" s="44" t="e">
        <f>SUM(Questions!$C200:$C204)/COUNT(Questions!$C200:$C204)</f>
        <v>#DIV/0!</v>
      </c>
      <c r="AF18" s="45" t="e">
        <f>SUM(Questions!$C207:$C211)/COUNT(Questions!$C207:$C211)</f>
        <v>#DIV/0!</v>
      </c>
      <c r="AG18" s="45" t="e">
        <f>SUM(Questions!$C214:$C218)/COUNT(Questions!$C214:$C218)</f>
        <v>#DIV/0!</v>
      </c>
      <c r="AH18" s="45" t="e">
        <f>SUM(Questions!$C221:$C225)/COUNT(Questions!$C221:$C225)</f>
        <v>#DIV/0!</v>
      </c>
      <c r="AI18" s="46" t="e">
        <f>SUM(Questions!$C228:$C232)/COUNT(Questions!$C228:$C232)</f>
        <v>#DIV/0!</v>
      </c>
    </row>
    <row r="19" spans="1:35">
      <c r="A19" s="6">
        <f t="shared" si="0"/>
        <v>2</v>
      </c>
      <c r="B19" s="28" t="s">
        <v>218</v>
      </c>
      <c r="C19" s="2">
        <f t="shared" si="0"/>
        <v>0</v>
      </c>
      <c r="D19" s="2">
        <f t="shared" si="0"/>
        <v>0</v>
      </c>
      <c r="E19" s="24"/>
      <c r="F19" s="25"/>
      <c r="G19" s="25"/>
      <c r="H19" s="25"/>
      <c r="I19" s="29"/>
      <c r="J19" s="26"/>
      <c r="K19" s="24"/>
      <c r="L19" s="25"/>
      <c r="M19" s="25"/>
      <c r="N19" s="25"/>
      <c r="O19" s="29"/>
      <c r="P19" s="24"/>
      <c r="Q19" s="25"/>
      <c r="R19" s="25"/>
      <c r="S19" s="25"/>
      <c r="T19" s="29"/>
      <c r="U19" s="24"/>
      <c r="V19" s="25"/>
      <c r="W19" s="25"/>
      <c r="X19" s="25"/>
      <c r="Y19" s="25"/>
      <c r="Z19" s="24"/>
      <c r="AA19" s="25"/>
      <c r="AB19" s="25"/>
      <c r="AC19" s="25"/>
      <c r="AD19" s="26"/>
      <c r="AE19" s="24"/>
      <c r="AF19" s="25"/>
      <c r="AG19" s="25"/>
      <c r="AH19" s="25"/>
      <c r="AI19" s="26"/>
    </row>
    <row r="20" spans="1:35">
      <c r="A20" s="6">
        <f t="shared" si="0"/>
        <v>3</v>
      </c>
      <c r="B20" s="28" t="s">
        <v>219</v>
      </c>
      <c r="C20" s="2">
        <f t="shared" si="0"/>
        <v>0</v>
      </c>
      <c r="D20" s="2">
        <f t="shared" si="0"/>
        <v>0</v>
      </c>
      <c r="E20" s="24"/>
      <c r="F20" s="25"/>
      <c r="G20" s="25"/>
      <c r="H20" s="25"/>
      <c r="I20" s="29"/>
      <c r="J20" s="26"/>
      <c r="K20" s="24"/>
      <c r="L20" s="25"/>
      <c r="M20" s="25"/>
      <c r="N20" s="25"/>
      <c r="O20" s="29"/>
      <c r="P20" s="24"/>
      <c r="Q20" s="25"/>
      <c r="R20" s="25"/>
      <c r="S20" s="25"/>
      <c r="T20" s="29"/>
      <c r="U20" s="24"/>
      <c r="V20" s="25"/>
      <c r="W20" s="25"/>
      <c r="X20" s="25"/>
      <c r="Y20" s="25"/>
      <c r="Z20" s="24"/>
      <c r="AA20" s="25"/>
      <c r="AB20" s="25"/>
      <c r="AC20" s="25"/>
      <c r="AD20" s="26"/>
      <c r="AE20" s="24"/>
      <c r="AF20" s="25"/>
      <c r="AG20" s="25"/>
      <c r="AH20" s="25"/>
      <c r="AI20" s="26"/>
    </row>
    <row r="21" spans="1:35">
      <c r="A21" s="6">
        <f t="shared" si="0"/>
        <v>4</v>
      </c>
      <c r="B21" s="2">
        <f t="shared" si="0"/>
        <v>0</v>
      </c>
      <c r="C21" s="2">
        <f t="shared" si="0"/>
        <v>0</v>
      </c>
      <c r="D21" s="2">
        <f t="shared" si="0"/>
        <v>0</v>
      </c>
      <c r="E21" s="24"/>
      <c r="F21" s="25"/>
      <c r="G21" s="25"/>
      <c r="H21" s="25"/>
      <c r="I21" s="29"/>
      <c r="J21" s="26"/>
      <c r="K21" s="24"/>
      <c r="L21" s="25"/>
      <c r="M21" s="25"/>
      <c r="N21" s="25"/>
      <c r="O21" s="29"/>
      <c r="P21" s="24"/>
      <c r="Q21" s="25"/>
      <c r="R21" s="25"/>
      <c r="S21" s="25"/>
      <c r="T21" s="29"/>
      <c r="U21" s="24"/>
      <c r="V21" s="25"/>
      <c r="W21" s="25"/>
      <c r="X21" s="25"/>
      <c r="Y21" s="25"/>
      <c r="Z21" s="24"/>
      <c r="AA21" s="25"/>
      <c r="AB21" s="25"/>
      <c r="AC21" s="25"/>
      <c r="AD21" s="26"/>
      <c r="AE21" s="24"/>
      <c r="AF21" s="25"/>
      <c r="AG21" s="25"/>
      <c r="AH21" s="25"/>
      <c r="AI21" s="26"/>
    </row>
    <row r="22" spans="1:35">
      <c r="A22" s="6">
        <f t="shared" si="0"/>
        <v>5</v>
      </c>
      <c r="B22" s="2">
        <f t="shared" si="0"/>
        <v>0</v>
      </c>
      <c r="C22" s="2">
        <f t="shared" si="0"/>
        <v>0</v>
      </c>
      <c r="D22" s="2">
        <f t="shared" si="0"/>
        <v>0</v>
      </c>
      <c r="E22" s="24"/>
      <c r="F22" s="25"/>
      <c r="G22" s="25"/>
      <c r="H22" s="25"/>
      <c r="I22" s="29"/>
      <c r="J22" s="26"/>
      <c r="K22" s="24"/>
      <c r="L22" s="25"/>
      <c r="M22" s="25"/>
      <c r="N22" s="25"/>
      <c r="O22" s="29"/>
      <c r="P22" s="24"/>
      <c r="Q22" s="25"/>
      <c r="R22" s="25"/>
      <c r="S22" s="25"/>
      <c r="T22" s="29"/>
      <c r="U22" s="24"/>
      <c r="V22" s="25"/>
      <c r="W22" s="25"/>
      <c r="X22" s="25"/>
      <c r="Y22" s="25"/>
      <c r="Z22" s="24"/>
      <c r="AA22" s="25"/>
      <c r="AB22" s="25"/>
      <c r="AC22" s="25"/>
      <c r="AD22" s="26"/>
      <c r="AE22" s="24"/>
      <c r="AF22" s="25"/>
      <c r="AG22" s="25"/>
      <c r="AH22" s="25"/>
      <c r="AI22" s="26"/>
    </row>
    <row r="23" spans="1:35">
      <c r="A23" s="6">
        <f t="shared" si="0"/>
        <v>6</v>
      </c>
      <c r="B23" s="2">
        <f t="shared" si="0"/>
        <v>0</v>
      </c>
      <c r="C23" s="2">
        <f t="shared" si="0"/>
        <v>0</v>
      </c>
      <c r="D23" s="2">
        <f t="shared" si="0"/>
        <v>0</v>
      </c>
      <c r="E23" s="24"/>
      <c r="F23" s="25"/>
      <c r="G23" s="25"/>
      <c r="H23" s="25"/>
      <c r="I23" s="29"/>
      <c r="J23" s="26"/>
      <c r="K23" s="24"/>
      <c r="L23" s="25"/>
      <c r="M23" s="25"/>
      <c r="N23" s="25"/>
      <c r="O23" s="29"/>
      <c r="P23" s="24"/>
      <c r="Q23" s="25"/>
      <c r="R23" s="25"/>
      <c r="S23" s="25"/>
      <c r="T23" s="29"/>
      <c r="U23" s="24"/>
      <c r="V23" s="25"/>
      <c r="W23" s="25"/>
      <c r="X23" s="25"/>
      <c r="Y23" s="25"/>
      <c r="Z23" s="24"/>
      <c r="AA23" s="25"/>
      <c r="AB23" s="25"/>
      <c r="AC23" s="25"/>
      <c r="AD23" s="26"/>
      <c r="AE23" s="24"/>
      <c r="AF23" s="25"/>
      <c r="AG23" s="25"/>
      <c r="AH23" s="25"/>
      <c r="AI23" s="26"/>
    </row>
    <row r="24" spans="1:35">
      <c r="A24" s="6">
        <f t="shared" si="0"/>
        <v>7</v>
      </c>
      <c r="B24" s="2">
        <f t="shared" si="0"/>
        <v>0</v>
      </c>
      <c r="C24" s="2">
        <f t="shared" si="0"/>
        <v>0</v>
      </c>
      <c r="D24" s="2">
        <f t="shared" si="0"/>
        <v>0</v>
      </c>
      <c r="E24" s="24"/>
      <c r="F24" s="25"/>
      <c r="G24" s="25"/>
      <c r="H24" s="25"/>
      <c r="I24" s="29"/>
      <c r="J24" s="26"/>
      <c r="K24" s="24"/>
      <c r="L24" s="25"/>
      <c r="M24" s="25"/>
      <c r="N24" s="25"/>
      <c r="O24" s="29"/>
      <c r="P24" s="24"/>
      <c r="Q24" s="25"/>
      <c r="R24" s="25"/>
      <c r="S24" s="25"/>
      <c r="T24" s="29"/>
      <c r="U24" s="24"/>
      <c r="V24" s="25"/>
      <c r="W24" s="25"/>
      <c r="X24" s="25"/>
      <c r="Y24" s="25"/>
      <c r="Z24" s="24"/>
      <c r="AA24" s="25"/>
      <c r="AB24" s="25"/>
      <c r="AC24" s="25"/>
      <c r="AD24" s="26"/>
      <c r="AE24" s="24"/>
      <c r="AF24" s="25"/>
      <c r="AG24" s="25"/>
      <c r="AH24" s="25"/>
      <c r="AI24" s="26"/>
    </row>
    <row r="25" spans="1:35">
      <c r="A25" s="6">
        <f t="shared" si="0"/>
        <v>8</v>
      </c>
      <c r="B25" s="2">
        <f t="shared" si="0"/>
        <v>0</v>
      </c>
      <c r="C25" s="2">
        <f t="shared" si="0"/>
        <v>0</v>
      </c>
      <c r="D25" s="2">
        <f t="shared" si="0"/>
        <v>0</v>
      </c>
      <c r="E25" s="24"/>
      <c r="F25" s="25"/>
      <c r="G25" s="25"/>
      <c r="H25" s="25"/>
      <c r="I25" s="29"/>
      <c r="J25" s="26"/>
      <c r="K25" s="24"/>
      <c r="L25" s="25"/>
      <c r="M25" s="25"/>
      <c r="N25" s="25"/>
      <c r="O25" s="29"/>
      <c r="P25" s="24"/>
      <c r="Q25" s="25"/>
      <c r="R25" s="25"/>
      <c r="S25" s="25"/>
      <c r="T25" s="29"/>
      <c r="U25" s="24"/>
      <c r="V25" s="25"/>
      <c r="W25" s="25"/>
      <c r="X25" s="25"/>
      <c r="Y25" s="25"/>
      <c r="Z25" s="24"/>
      <c r="AA25" s="25"/>
      <c r="AB25" s="25"/>
      <c r="AC25" s="25"/>
      <c r="AD25" s="26"/>
      <c r="AE25" s="24"/>
      <c r="AF25" s="25"/>
      <c r="AG25" s="25"/>
      <c r="AH25" s="25"/>
      <c r="AI25" s="26"/>
    </row>
    <row r="26" spans="1:35">
      <c r="A26" s="6">
        <f t="shared" si="0"/>
        <v>9</v>
      </c>
      <c r="B26" s="2">
        <f t="shared" si="0"/>
        <v>0</v>
      </c>
      <c r="C26" s="2">
        <f t="shared" si="0"/>
        <v>0</v>
      </c>
      <c r="D26" s="2">
        <f t="shared" si="0"/>
        <v>0</v>
      </c>
      <c r="E26" s="24"/>
      <c r="F26" s="25"/>
      <c r="G26" s="25"/>
      <c r="H26" s="25"/>
      <c r="I26" s="29"/>
      <c r="J26" s="26"/>
      <c r="K26" s="24"/>
      <c r="L26" s="25"/>
      <c r="M26" s="25"/>
      <c r="N26" s="25"/>
      <c r="O26" s="29"/>
      <c r="P26" s="24"/>
      <c r="Q26" s="25"/>
      <c r="R26" s="25"/>
      <c r="S26" s="25"/>
      <c r="T26" s="29"/>
      <c r="U26" s="24"/>
      <c r="V26" s="25"/>
      <c r="W26" s="25"/>
      <c r="X26" s="25"/>
      <c r="Y26" s="25"/>
      <c r="Z26" s="24"/>
      <c r="AA26" s="25"/>
      <c r="AB26" s="25"/>
      <c r="AC26" s="25"/>
      <c r="AD26" s="26"/>
      <c r="AE26" s="24"/>
      <c r="AF26" s="25"/>
      <c r="AG26" s="25"/>
      <c r="AH26" s="25"/>
      <c r="AI26" s="26"/>
    </row>
    <row r="27" spans="1:35">
      <c r="A27" s="6">
        <f t="shared" si="0"/>
        <v>10</v>
      </c>
      <c r="B27" s="2">
        <f t="shared" si="0"/>
        <v>0</v>
      </c>
      <c r="C27" s="2">
        <f t="shared" si="0"/>
        <v>0</v>
      </c>
      <c r="D27" s="2">
        <f t="shared" si="0"/>
        <v>0</v>
      </c>
      <c r="E27" s="24"/>
      <c r="F27" s="25"/>
      <c r="G27" s="25"/>
      <c r="H27" s="25"/>
      <c r="I27" s="29"/>
      <c r="J27" s="26"/>
      <c r="K27" s="24"/>
      <c r="L27" s="25"/>
      <c r="M27" s="25"/>
      <c r="N27" s="25"/>
      <c r="O27" s="29"/>
      <c r="P27" s="24"/>
      <c r="Q27" s="25"/>
      <c r="R27" s="25"/>
      <c r="S27" s="25"/>
      <c r="T27" s="29"/>
      <c r="U27" s="24"/>
      <c r="V27" s="25"/>
      <c r="W27" s="25"/>
      <c r="X27" s="25"/>
      <c r="Y27" s="25"/>
      <c r="Z27" s="24"/>
      <c r="AA27" s="25"/>
      <c r="AB27" s="25"/>
      <c r="AC27" s="25"/>
      <c r="AD27" s="26"/>
      <c r="AE27" s="24"/>
      <c r="AF27" s="25"/>
      <c r="AG27" s="25"/>
      <c r="AH27" s="25"/>
      <c r="AI27" s="26"/>
    </row>
  </sheetData>
  <phoneticPr fontId="2"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C4EF9-70DF-417D-9BA6-5510294697FF}">
  <sheetPr>
    <tabColor rgb="FFFF0000"/>
  </sheetPr>
  <dimension ref="A1:AF8"/>
  <sheetViews>
    <sheetView showGridLines="0" topLeftCell="A8" zoomScale="80" zoomScaleNormal="80" workbookViewId="0">
      <selection activeCell="A4" sqref="A4:A5"/>
    </sheetView>
  </sheetViews>
  <sheetFormatPr defaultColWidth="8.7109375" defaultRowHeight="14.45"/>
  <cols>
    <col min="1" max="1" width="25" style="50" bestFit="1" customWidth="1"/>
    <col min="2" max="32" width="6.28515625" style="84" customWidth="1"/>
    <col min="33" max="16384" width="8.7109375" style="50"/>
  </cols>
  <sheetData>
    <row r="1" spans="1:32" ht="101.45">
      <c r="A1" s="52"/>
      <c r="B1" s="53" t="str">
        <f>'Data (DO NOT EDIT!!)'!E1</f>
        <v>1. Digital Power Basic Skills</v>
      </c>
      <c r="C1" s="54" t="str">
        <f>'Data (DO NOT EDIT!!)'!F1</f>
        <v>1. Digital Power Basic Skills</v>
      </c>
      <c r="D1" s="54" t="str">
        <f>'Data (DO NOT EDIT!!)'!G1</f>
        <v>1. Digital Power Basic Skills</v>
      </c>
      <c r="E1" s="54" t="str">
        <f>'Data (DO NOT EDIT!!)'!H1</f>
        <v>1. Digital Power Basic Skills</v>
      </c>
      <c r="F1" s="55" t="str">
        <f>'Data (DO NOT EDIT!!)'!I1</f>
        <v>1. Digital Power Basic Skills</v>
      </c>
      <c r="G1" s="56" t="str">
        <f>'Data (DO NOT EDIT!!)'!J1</f>
        <v>1. Digital Power Basic Skills</v>
      </c>
      <c r="H1" s="53" t="str">
        <f>'Data (DO NOT EDIT!!)'!K1</f>
        <v>2. Domain Skills</v>
      </c>
      <c r="I1" s="54" t="str">
        <f>'Data (DO NOT EDIT!!)'!L1</f>
        <v>2. Domain Skills</v>
      </c>
      <c r="J1" s="54" t="str">
        <f>'Data (DO NOT EDIT!!)'!M1</f>
        <v>2. Domain Skills</v>
      </c>
      <c r="K1" s="54" t="str">
        <f>'Data (DO NOT EDIT!!)'!N1</f>
        <v>2. Domain Skills</v>
      </c>
      <c r="L1" s="55" t="str">
        <f>'Data (DO NOT EDIT!!)'!O1</f>
        <v>2. Domain Skills</v>
      </c>
      <c r="M1" s="53" t="str">
        <f>'Data (DO NOT EDIT!!)'!P1</f>
        <v>3. Hardskills</v>
      </c>
      <c r="N1" s="54" t="str">
        <f>'Data (DO NOT EDIT!!)'!Q1</f>
        <v>3. Hardskills</v>
      </c>
      <c r="O1" s="54" t="str">
        <f>'Data (DO NOT EDIT!!)'!R1</f>
        <v>3. Hardskills</v>
      </c>
      <c r="P1" s="54" t="str">
        <f>'Data (DO NOT EDIT!!)'!S1</f>
        <v>3. Hardskills</v>
      </c>
      <c r="Q1" s="54" t="str">
        <f>'Data (DO NOT EDIT!!)'!T1</f>
        <v>3. Hardskills</v>
      </c>
      <c r="R1" s="53" t="str">
        <f>'Data (DO NOT EDIT!!)'!U1</f>
        <v>4. Basic Consultancy Skills</v>
      </c>
      <c r="S1" s="54" t="str">
        <f>'Data (DO NOT EDIT!!)'!V1</f>
        <v>4. Basic Consultancy Skills</v>
      </c>
      <c r="T1" s="54" t="str">
        <f>'Data (DO NOT EDIT!!)'!W1</f>
        <v>4. Basic Consultancy Skills</v>
      </c>
      <c r="U1" s="54" t="str">
        <f>'Data (DO NOT EDIT!!)'!X1</f>
        <v>4. Basic Consultancy Skills</v>
      </c>
      <c r="V1" s="55" t="str">
        <f>'Data (DO NOT EDIT!!)'!Y1</f>
        <v>4. Basic Consultancy Skills</v>
      </c>
      <c r="W1" s="53" t="str">
        <f>'Data (DO NOT EDIT!!)'!Z1</f>
        <v>5. Business Skills</v>
      </c>
      <c r="X1" s="54" t="str">
        <f>'Data (DO NOT EDIT!!)'!AA1</f>
        <v>5. Business Skills</v>
      </c>
      <c r="Y1" s="54" t="str">
        <f>'Data (DO NOT EDIT!!)'!AB1</f>
        <v>5. Business Skills</v>
      </c>
      <c r="Z1" s="54" t="str">
        <f>'Data (DO NOT EDIT!!)'!AC1</f>
        <v>5. Business Skills</v>
      </c>
      <c r="AA1" s="56" t="str">
        <f>'Data (DO NOT EDIT!!)'!AD1</f>
        <v>5. Business Skills</v>
      </c>
      <c r="AB1" s="57" t="str">
        <f>'Data (DO NOT EDIT!!)'!AE1</f>
        <v>6. Expert Consultancy Skills</v>
      </c>
      <c r="AC1" s="54" t="str">
        <f>'Data (DO NOT EDIT!!)'!AF1</f>
        <v>6. Expert Consultancy Skills</v>
      </c>
      <c r="AD1" s="54" t="str">
        <f>'Data (DO NOT EDIT!!)'!AG1</f>
        <v>6. Expert Consultancy Skills</v>
      </c>
      <c r="AE1" s="54" t="str">
        <f>'Data (DO NOT EDIT!!)'!AH1</f>
        <v>6. Expert Consultancy Skills</v>
      </c>
      <c r="AF1" s="56" t="str">
        <f>'Data (DO NOT EDIT!!)'!AI1</f>
        <v>6. Expert Consultancy Skills</v>
      </c>
    </row>
    <row r="2" spans="1:32" ht="118.5" customHeight="1">
      <c r="A2" s="58"/>
      <c r="B2" s="59" t="str">
        <f>'Data (DO NOT EDIT!!)'!E2</f>
        <v>Learning &amp; reflection</v>
      </c>
      <c r="C2" s="60" t="str">
        <f>'Data (DO NOT EDIT!!)'!F2</f>
        <v>Support &amp; collaboration</v>
      </c>
      <c r="D2" s="60" t="str">
        <f>'Data (DO NOT EDIT!!)'!G2</f>
        <v>Entrepreneurial &amp; result-oriented</v>
      </c>
      <c r="E2" s="60" t="str">
        <f>'Data (DO NOT EDIT!!)'!H2</f>
        <v>Customer-oriented</v>
      </c>
      <c r="F2" s="61" t="str">
        <f>'Data (DO NOT EDIT!!)'!I2</f>
        <v>Knowledge sharing</v>
      </c>
      <c r="G2" s="62" t="str">
        <f>'Data (DO NOT EDIT!!)'!J2</f>
        <v>Coaching &amp; guidance</v>
      </c>
      <c r="H2" s="59" t="str">
        <f>'Data (DO NOT EDIT!!)'!K2</f>
        <v>Domain knowledge</v>
      </c>
      <c r="I2" s="60" t="str">
        <f>'Data (DO NOT EDIT!!)'!L2</f>
        <v>Metrics, KPI's and goals</v>
      </c>
      <c r="J2" s="60" t="str">
        <f>'Data (DO NOT EDIT!!)'!M2</f>
        <v>Mathematics &amp; statistics</v>
      </c>
      <c r="K2" s="60" t="str">
        <f>'Data (DO NOT EDIT!!)'!N2</f>
        <v>Data interpretation &amp; analysis</v>
      </c>
      <c r="L2" s="61" t="str">
        <f>'Data (DO NOT EDIT!!)'!O2</f>
        <v>Dashboarding &amp; reporting</v>
      </c>
      <c r="M2" s="59" t="str">
        <f>'Data (DO NOT EDIT!!)'!P2</f>
        <v>Tool knowledge</v>
      </c>
      <c r="N2" s="60" t="str">
        <f>'Data (DO NOT EDIT!!)'!Q2</f>
        <v>Implementation &amp; data collection</v>
      </c>
      <c r="O2" s="60" t="str">
        <f>'Data (DO NOT EDIT!!)'!R2</f>
        <v>Data processing</v>
      </c>
      <c r="P2" s="60" t="str">
        <f>'Data (DO NOT EDIT!!)'!S2</f>
        <v>Data visualisation</v>
      </c>
      <c r="Q2" s="60" t="str">
        <f>'Data (DO NOT EDIT!!)'!T2</f>
        <v>Legal &amp; ethical boundaries</v>
      </c>
      <c r="R2" s="59" t="str">
        <f>'Data (DO NOT EDIT!!)'!U2</f>
        <v>Advising</v>
      </c>
      <c r="S2" s="60" t="str">
        <f>'Data (DO NOT EDIT!!)'!V2</f>
        <v xml:space="preserve">Decisive &amp; problem-solving </v>
      </c>
      <c r="T2" s="60" t="str">
        <f>'Data (DO NOT EDIT!!)'!W2</f>
        <v>Interpersonal communication</v>
      </c>
      <c r="U2" s="60" t="str">
        <f>'Data (DO NOT EDIT!!)'!X2</f>
        <v>Expectation management</v>
      </c>
      <c r="V2" s="61" t="str">
        <f>'Data (DO NOT EDIT!!)'!Y2</f>
        <v>Written and oral communication</v>
      </c>
      <c r="W2" s="59" t="str">
        <f>'Data (DO NOT EDIT!!)'!Z2</f>
        <v>Organizational and management identification</v>
      </c>
      <c r="X2" s="60" t="str">
        <f>'Data (DO NOT EDIT!!)'!AA2</f>
        <v>Strategic conceptualization</v>
      </c>
      <c r="Y2" s="60" t="str">
        <f>'Data (DO NOT EDIT!!)'!AB2</f>
        <v>Project management</v>
      </c>
      <c r="Z2" s="60" t="str">
        <f>'Data (DO NOT EDIT!!)'!AC2</f>
        <v>Change management</v>
      </c>
      <c r="AA2" s="62" t="str">
        <f>'Data (DO NOT EDIT!!)'!AD2</f>
        <v>Leadership</v>
      </c>
      <c r="AB2" s="63" t="str">
        <f>'Data (DO NOT EDIT!!)'!AE2</f>
        <v>Situational communication</v>
      </c>
      <c r="AC2" s="60" t="str">
        <f>'Data (DO NOT EDIT!!)'!AF2</f>
        <v>Goal-oriented &amp; effective communication</v>
      </c>
      <c r="AD2" s="60" t="str">
        <f>'Data (DO NOT EDIT!!)'!AG2</f>
        <v>Decision-making</v>
      </c>
      <c r="AE2" s="60" t="str">
        <f>'Data (DO NOT EDIT!!)'!AH2</f>
        <v>Persuading &amp; influencing</v>
      </c>
      <c r="AF2" s="62" t="str">
        <f>'Data (DO NOT EDIT!!)'!AI2</f>
        <v>Constructive (negative) feedback &amp; bad news conversations</v>
      </c>
    </row>
    <row r="3" spans="1:32">
      <c r="A3" s="58"/>
      <c r="B3" s="64">
        <v>1</v>
      </c>
      <c r="C3" s="65">
        <v>2</v>
      </c>
      <c r="D3" s="65">
        <v>3</v>
      </c>
      <c r="E3" s="65">
        <v>4</v>
      </c>
      <c r="F3" s="66">
        <v>5</v>
      </c>
      <c r="G3" s="67">
        <v>6</v>
      </c>
      <c r="H3" s="64">
        <v>7</v>
      </c>
      <c r="I3" s="65">
        <v>8</v>
      </c>
      <c r="J3" s="65">
        <v>9</v>
      </c>
      <c r="K3" s="65">
        <v>10</v>
      </c>
      <c r="L3" s="66">
        <v>11</v>
      </c>
      <c r="M3" s="64">
        <v>13</v>
      </c>
      <c r="N3" s="65">
        <v>14</v>
      </c>
      <c r="O3" s="65">
        <v>15</v>
      </c>
      <c r="P3" s="65">
        <v>16</v>
      </c>
      <c r="Q3" s="65">
        <v>17</v>
      </c>
      <c r="R3" s="64">
        <v>19</v>
      </c>
      <c r="S3" s="65">
        <v>20</v>
      </c>
      <c r="T3" s="65">
        <v>21</v>
      </c>
      <c r="U3" s="65">
        <v>22</v>
      </c>
      <c r="V3" s="66">
        <v>23</v>
      </c>
      <c r="W3" s="64">
        <v>25</v>
      </c>
      <c r="X3" s="65">
        <v>26</v>
      </c>
      <c r="Y3" s="65">
        <v>27</v>
      </c>
      <c r="Z3" s="65">
        <v>28</v>
      </c>
      <c r="AA3" s="67">
        <v>29</v>
      </c>
      <c r="AB3" s="68">
        <v>30</v>
      </c>
      <c r="AC3" s="65">
        <v>31</v>
      </c>
      <c r="AD3" s="65">
        <v>32</v>
      </c>
      <c r="AE3" s="65">
        <v>33</v>
      </c>
      <c r="AF3" s="67">
        <v>34</v>
      </c>
    </row>
    <row r="4" spans="1:32">
      <c r="A4" s="69" t="s">
        <v>221</v>
      </c>
      <c r="B4" s="70" t="e">
        <f>'Data (DO NOT EDIT!!)'!E5</f>
        <v>#DIV/0!</v>
      </c>
      <c r="C4" s="71" t="e">
        <f>'Data (DO NOT EDIT!!)'!F5</f>
        <v>#DIV/0!</v>
      </c>
      <c r="D4" s="71" t="e">
        <f>'Data (DO NOT EDIT!!)'!G5</f>
        <v>#DIV/0!</v>
      </c>
      <c r="E4" s="71" t="e">
        <f>'Data (DO NOT EDIT!!)'!H5</f>
        <v>#DIV/0!</v>
      </c>
      <c r="F4" s="72" t="e">
        <f>'Data (DO NOT EDIT!!)'!I5</f>
        <v>#DIV/0!</v>
      </c>
      <c r="G4" s="73" t="e">
        <f>'Data (DO NOT EDIT!!)'!J5</f>
        <v>#DIV/0!</v>
      </c>
      <c r="H4" s="70" t="e">
        <f>'Data (DO NOT EDIT!!)'!K5</f>
        <v>#DIV/0!</v>
      </c>
      <c r="I4" s="71" t="e">
        <f>'Data (DO NOT EDIT!!)'!L5</f>
        <v>#DIV/0!</v>
      </c>
      <c r="J4" s="71" t="e">
        <f>'Data (DO NOT EDIT!!)'!M5</f>
        <v>#DIV/0!</v>
      </c>
      <c r="K4" s="71" t="e">
        <f>'Data (DO NOT EDIT!!)'!N5</f>
        <v>#DIV/0!</v>
      </c>
      <c r="L4" s="72" t="e">
        <f>'Data (DO NOT EDIT!!)'!O5</f>
        <v>#DIV/0!</v>
      </c>
      <c r="M4" s="70" t="e">
        <f>'Data (DO NOT EDIT!!)'!P5</f>
        <v>#DIV/0!</v>
      </c>
      <c r="N4" s="71" t="e">
        <f>'Data (DO NOT EDIT!!)'!Q5</f>
        <v>#DIV/0!</v>
      </c>
      <c r="O4" s="71" t="e">
        <f>'Data (DO NOT EDIT!!)'!R5</f>
        <v>#DIV/0!</v>
      </c>
      <c r="P4" s="71" t="e">
        <f>'Data (DO NOT EDIT!!)'!S5</f>
        <v>#DIV/0!</v>
      </c>
      <c r="Q4" s="71" t="e">
        <f>'Data (DO NOT EDIT!!)'!T5</f>
        <v>#DIV/0!</v>
      </c>
      <c r="R4" s="70" t="e">
        <f>'Data (DO NOT EDIT!!)'!U5</f>
        <v>#DIV/0!</v>
      </c>
      <c r="S4" s="71" t="e">
        <f>'Data (DO NOT EDIT!!)'!V5</f>
        <v>#DIV/0!</v>
      </c>
      <c r="T4" s="71" t="e">
        <f>'Data (DO NOT EDIT!!)'!W5</f>
        <v>#DIV/0!</v>
      </c>
      <c r="U4" s="71" t="e">
        <f>'Data (DO NOT EDIT!!)'!X5</f>
        <v>#DIV/0!</v>
      </c>
      <c r="V4" s="72" t="e">
        <f>'Data (DO NOT EDIT!!)'!Y5</f>
        <v>#DIV/0!</v>
      </c>
      <c r="W4" s="70" t="e">
        <f>'Data (DO NOT EDIT!!)'!Z5</f>
        <v>#DIV/0!</v>
      </c>
      <c r="X4" s="71" t="e">
        <f>'Data (DO NOT EDIT!!)'!AA5</f>
        <v>#DIV/0!</v>
      </c>
      <c r="Y4" s="71" t="e">
        <f>'Data (DO NOT EDIT!!)'!AB5</f>
        <v>#DIV/0!</v>
      </c>
      <c r="Z4" s="71" t="e">
        <f>'Data (DO NOT EDIT!!)'!AC5</f>
        <v>#DIV/0!</v>
      </c>
      <c r="AA4" s="73" t="e">
        <f>'Data (DO NOT EDIT!!)'!AD5</f>
        <v>#DIV/0!</v>
      </c>
      <c r="AB4" s="70" t="e">
        <f>'Data (DO NOT EDIT!!)'!AE5</f>
        <v>#DIV/0!</v>
      </c>
      <c r="AC4" s="71" t="e">
        <f>'Data (DO NOT EDIT!!)'!AF5</f>
        <v>#DIV/0!</v>
      </c>
      <c r="AD4" s="71" t="e">
        <f>'Data (DO NOT EDIT!!)'!AG5</f>
        <v>#DIV/0!</v>
      </c>
      <c r="AE4" s="71" t="e">
        <f>'Data (DO NOT EDIT!!)'!AH5</f>
        <v>#DIV/0!</v>
      </c>
      <c r="AF4" s="73" t="e">
        <f>'Data (DO NOT EDIT!!)'!AI5</f>
        <v>#DIV/0!</v>
      </c>
    </row>
    <row r="5" spans="1:32" ht="15" thickBot="1">
      <c r="A5" s="74" t="s">
        <v>222</v>
      </c>
      <c r="B5" s="75"/>
      <c r="C5" s="76"/>
      <c r="D5" s="76"/>
      <c r="E5" s="76"/>
      <c r="F5" s="76"/>
      <c r="G5" s="77" t="e">
        <f>AVERAGE(B4:G4)</f>
        <v>#DIV/0!</v>
      </c>
      <c r="H5" s="75"/>
      <c r="I5" s="76"/>
      <c r="J5" s="76"/>
      <c r="K5" s="76"/>
      <c r="L5" s="83" t="e">
        <f>AVERAGE(H4:L4)</f>
        <v>#DIV/0!</v>
      </c>
      <c r="M5" s="75"/>
      <c r="N5" s="76"/>
      <c r="O5" s="76"/>
      <c r="P5" s="76"/>
      <c r="Q5" s="77" t="e">
        <f>AVERAGE(M4:Q4)</f>
        <v>#DIV/0!</v>
      </c>
      <c r="R5" s="75"/>
      <c r="S5" s="76"/>
      <c r="T5" s="76"/>
      <c r="U5" s="76"/>
      <c r="V5" s="77" t="e">
        <f>AVERAGE(R4:V4)</f>
        <v>#DIV/0!</v>
      </c>
      <c r="W5" s="75"/>
      <c r="X5" s="76"/>
      <c r="Y5" s="76"/>
      <c r="Z5" s="76"/>
      <c r="AA5" s="77" t="e">
        <f>AVERAGE(W4:AA4)</f>
        <v>#DIV/0!</v>
      </c>
      <c r="AB5" s="75"/>
      <c r="AC5" s="76"/>
      <c r="AD5" s="76"/>
      <c r="AE5" s="76"/>
      <c r="AF5" s="77" t="e">
        <f>AVERAGE(AB4:AF4)</f>
        <v>#DIV/0!</v>
      </c>
    </row>
    <row r="6" spans="1:32">
      <c r="A6" s="78"/>
      <c r="B6" s="79"/>
      <c r="C6" s="79"/>
      <c r="D6" s="79"/>
      <c r="E6" s="79"/>
      <c r="F6" s="79"/>
      <c r="G6" s="79"/>
      <c r="H6" s="79"/>
      <c r="I6" s="79"/>
      <c r="J6" s="79"/>
      <c r="K6" s="79"/>
      <c r="L6" s="79"/>
      <c r="M6" s="79"/>
      <c r="N6" s="79"/>
      <c r="O6" s="79"/>
      <c r="P6" s="79"/>
      <c r="Q6" s="79"/>
      <c r="R6" s="79"/>
      <c r="S6" s="79"/>
      <c r="T6" s="79"/>
      <c r="U6" s="79"/>
      <c r="V6" s="79"/>
      <c r="W6" s="79"/>
      <c r="X6" s="79"/>
      <c r="Y6" s="79"/>
      <c r="Z6" s="79"/>
      <c r="AA6" s="79"/>
      <c r="AB6" s="79"/>
      <c r="AC6" s="79"/>
      <c r="AD6" s="79"/>
      <c r="AE6" s="79"/>
      <c r="AF6" s="79"/>
    </row>
    <row r="7" spans="1:32">
      <c r="A7" s="80" t="s">
        <v>223</v>
      </c>
      <c r="B7" s="70" t="e">
        <f>'Data (DO NOT EDIT!!)'!E18</f>
        <v>#DIV/0!</v>
      </c>
      <c r="C7" s="71" t="e">
        <f>'Data (DO NOT EDIT!!)'!F18</f>
        <v>#DIV/0!</v>
      </c>
      <c r="D7" s="71" t="e">
        <f>'Data (DO NOT EDIT!!)'!G18</f>
        <v>#DIV/0!</v>
      </c>
      <c r="E7" s="71" t="e">
        <f>'Data (DO NOT EDIT!!)'!H18</f>
        <v>#DIV/0!</v>
      </c>
      <c r="F7" s="72" t="e">
        <f>'Data (DO NOT EDIT!!)'!I18</f>
        <v>#DIV/0!</v>
      </c>
      <c r="G7" s="73" t="e">
        <f>'Data (DO NOT EDIT!!)'!J18</f>
        <v>#DIV/0!</v>
      </c>
      <c r="H7" s="70" t="e">
        <f>'Data (DO NOT EDIT!!)'!K18</f>
        <v>#DIV/0!</v>
      </c>
      <c r="I7" s="71" t="e">
        <f>'Data (DO NOT EDIT!!)'!L18</f>
        <v>#DIV/0!</v>
      </c>
      <c r="J7" s="71" t="e">
        <f>'Data (DO NOT EDIT!!)'!M18</f>
        <v>#DIV/0!</v>
      </c>
      <c r="K7" s="71" t="e">
        <f>'Data (DO NOT EDIT!!)'!N18</f>
        <v>#DIV/0!</v>
      </c>
      <c r="L7" s="72" t="e">
        <f>'Data (DO NOT EDIT!!)'!O18</f>
        <v>#DIV/0!</v>
      </c>
      <c r="M7" s="70" t="e">
        <f>'Data (DO NOT EDIT!!)'!P18</f>
        <v>#DIV/0!</v>
      </c>
      <c r="N7" s="71" t="e">
        <f>'Data (DO NOT EDIT!!)'!Q18</f>
        <v>#DIV/0!</v>
      </c>
      <c r="O7" s="71" t="e">
        <f>'Data (DO NOT EDIT!!)'!R18</f>
        <v>#DIV/0!</v>
      </c>
      <c r="P7" s="71" t="e">
        <f>'Data (DO NOT EDIT!!)'!S18</f>
        <v>#DIV/0!</v>
      </c>
      <c r="Q7" s="71" t="e">
        <f>'Data (DO NOT EDIT!!)'!T18</f>
        <v>#DIV/0!</v>
      </c>
      <c r="R7" s="70" t="e">
        <f>'Data (DO NOT EDIT!!)'!U18</f>
        <v>#DIV/0!</v>
      </c>
      <c r="S7" s="71" t="e">
        <f>'Data (DO NOT EDIT!!)'!V18</f>
        <v>#DIV/0!</v>
      </c>
      <c r="T7" s="71" t="e">
        <f>'Data (DO NOT EDIT!!)'!W18</f>
        <v>#DIV/0!</v>
      </c>
      <c r="U7" s="71" t="e">
        <f>'Data (DO NOT EDIT!!)'!X18</f>
        <v>#DIV/0!</v>
      </c>
      <c r="V7" s="71" t="e">
        <f>'Data (DO NOT EDIT!!)'!Y18</f>
        <v>#DIV/0!</v>
      </c>
      <c r="W7" s="70" t="e">
        <f>'Data (DO NOT EDIT!!)'!Z18</f>
        <v>#DIV/0!</v>
      </c>
      <c r="X7" s="71" t="e">
        <f>'Data (DO NOT EDIT!!)'!AA18</f>
        <v>#DIV/0!</v>
      </c>
      <c r="Y7" s="71" t="e">
        <f>'Data (DO NOT EDIT!!)'!AB18</f>
        <v>#DIV/0!</v>
      </c>
      <c r="Z7" s="71" t="e">
        <f>'Data (DO NOT EDIT!!)'!AC18</f>
        <v>#DIV/0!</v>
      </c>
      <c r="AA7" s="73" t="e">
        <f>'Data (DO NOT EDIT!!)'!AD18</f>
        <v>#DIV/0!</v>
      </c>
      <c r="AB7" s="70" t="e">
        <f>'Data (DO NOT EDIT!!)'!AE18</f>
        <v>#DIV/0!</v>
      </c>
      <c r="AC7" s="71" t="e">
        <f>'Data (DO NOT EDIT!!)'!AF18</f>
        <v>#DIV/0!</v>
      </c>
      <c r="AD7" s="71" t="e">
        <f>'Data (DO NOT EDIT!!)'!AG18</f>
        <v>#DIV/0!</v>
      </c>
      <c r="AE7" s="71" t="e">
        <f>'Data (DO NOT EDIT!!)'!AH18</f>
        <v>#DIV/0!</v>
      </c>
      <c r="AF7" s="73" t="e">
        <f>'Data (DO NOT EDIT!!)'!AI18</f>
        <v>#DIV/0!</v>
      </c>
    </row>
    <row r="8" spans="1:32" ht="15" thickBot="1">
      <c r="A8" s="81" t="s">
        <v>222</v>
      </c>
      <c r="B8" s="82"/>
      <c r="C8" s="83"/>
      <c r="D8" s="83"/>
      <c r="E8" s="83"/>
      <c r="F8" s="83"/>
      <c r="G8" s="77" t="e">
        <f>AVERAGE(B7:G7)</f>
        <v>#DIV/0!</v>
      </c>
      <c r="H8" s="82"/>
      <c r="I8" s="83"/>
      <c r="J8" s="83"/>
      <c r="K8" s="83"/>
      <c r="L8" s="77" t="e">
        <f>AVERAGE(H7:L7)</f>
        <v>#DIV/0!</v>
      </c>
      <c r="M8" s="82"/>
      <c r="N8" s="83"/>
      <c r="O8" s="83"/>
      <c r="P8" s="83"/>
      <c r="Q8" s="77" t="e">
        <f>AVERAGE(M7:Q7)</f>
        <v>#DIV/0!</v>
      </c>
      <c r="R8" s="82"/>
      <c r="S8" s="83"/>
      <c r="T8" s="83"/>
      <c r="U8" s="83"/>
      <c r="V8" s="83" t="e">
        <f>AVERAGE(R7:V7)</f>
        <v>#DIV/0!</v>
      </c>
      <c r="W8" s="82"/>
      <c r="X8" s="83"/>
      <c r="Y8" s="83"/>
      <c r="Z8" s="83"/>
      <c r="AA8" s="77" t="e">
        <f>AVERAGE(W7:AA7)</f>
        <v>#DIV/0!</v>
      </c>
      <c r="AB8" s="82"/>
      <c r="AC8" s="83"/>
      <c r="AD8" s="83"/>
      <c r="AE8" s="83"/>
      <c r="AF8" s="77" t="e">
        <f>AVERAGE(AB7:AF7)</f>
        <v>#DIV/0!</v>
      </c>
    </row>
  </sheetData>
  <conditionalFormatting sqref="B4:AA4">
    <cfRule type="colorScale" priority="25">
      <colorScale>
        <cfvo type="min"/>
        <cfvo type="percentile" val="50"/>
        <cfvo type="max"/>
        <color rgb="FFF8696B"/>
        <color rgb="FFFFEB84"/>
        <color rgb="FF63BE7B"/>
      </colorScale>
    </cfRule>
  </conditionalFormatting>
  <conditionalFormatting sqref="V5">
    <cfRule type="colorScale" priority="1">
      <colorScale>
        <cfvo type="min"/>
        <cfvo type="percentile" val="50"/>
        <cfvo type="max"/>
        <color rgb="FFF8696B"/>
        <color rgb="FFFFEB84"/>
        <color rgb="FF63BE7B"/>
      </colorScale>
    </cfRule>
  </conditionalFormatting>
  <conditionalFormatting sqref="L5 AA5 Q5 G5">
    <cfRule type="colorScale" priority="10">
      <colorScale>
        <cfvo type="min"/>
        <cfvo type="percentile" val="50"/>
        <cfvo type="max"/>
        <color rgb="FFF8696B"/>
        <color rgb="FFFFEB84"/>
        <color rgb="FF63BE7B"/>
      </colorScale>
    </cfRule>
  </conditionalFormatting>
  <conditionalFormatting sqref="AB4:AF4">
    <cfRule type="colorScale" priority="15">
      <colorScale>
        <cfvo type="min"/>
        <cfvo type="percentile" val="50"/>
        <cfvo type="max"/>
        <color rgb="FFF8696B"/>
        <color rgb="FFFFEB84"/>
        <color rgb="FF63BE7B"/>
      </colorScale>
    </cfRule>
  </conditionalFormatting>
  <conditionalFormatting sqref="AF5">
    <cfRule type="colorScale" priority="16">
      <colorScale>
        <cfvo type="min"/>
        <cfvo type="percentile" val="50"/>
        <cfvo type="max"/>
        <color rgb="FFF8696B"/>
        <color rgb="FFFFEB84"/>
        <color rgb="FF63BE7B"/>
      </colorScale>
    </cfRule>
  </conditionalFormatting>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b040ff4-24fd-4220-8396-ee1f6ad4992d" xsi:nil="true"/>
    <lcf76f155ced4ddcb4097134ff3c332f xmlns="0b4895a4-109c-4734-9b5c-08e0b57b8d04">
      <Terms xmlns="http://schemas.microsoft.com/office/infopath/2007/PartnerControls"/>
    </lcf76f155ced4ddcb4097134ff3c332f>
    <SharedWithUsers xmlns="9b040ff4-24fd-4220-8396-ee1f6ad4992d">
      <UserInfo>
        <DisplayName/>
        <AccountId xsi:nil="true"/>
        <AccountType/>
      </UserInfo>
    </SharedWithUsers>
    <MediaLengthInSeconds xmlns="0b4895a4-109c-4734-9b5c-08e0b57b8d0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5A3777C117E8F4490629ADC5280BDCD" ma:contentTypeVersion="14" ma:contentTypeDescription="Een nieuw document maken." ma:contentTypeScope="" ma:versionID="af06415684968a1656e1bba475aafabb">
  <xsd:schema xmlns:xsd="http://www.w3.org/2001/XMLSchema" xmlns:xs="http://www.w3.org/2001/XMLSchema" xmlns:p="http://schemas.microsoft.com/office/2006/metadata/properties" xmlns:ns2="0b4895a4-109c-4734-9b5c-08e0b57b8d04" xmlns:ns3="9b040ff4-24fd-4220-8396-ee1f6ad4992d" targetNamespace="http://schemas.microsoft.com/office/2006/metadata/properties" ma:root="true" ma:fieldsID="00e3554c49079c8e18863c8e75532588" ns2:_="" ns3:_="">
    <xsd:import namespace="0b4895a4-109c-4734-9b5c-08e0b57b8d04"/>
    <xsd:import namespace="9b040ff4-24fd-4220-8396-ee1f6ad4992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4895a4-109c-4734-9b5c-08e0b57b8d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393bc292-4470-415f-891b-16f65066b5a3"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b040ff4-24fd-4220-8396-ee1f6ad4992d" elementFormDefault="qualified">
    <xsd:import namespace="http://schemas.microsoft.com/office/2006/documentManagement/types"/>
    <xsd:import namespace="http://schemas.microsoft.com/office/infopath/2007/PartnerControls"/>
    <xsd:element name="SharedWithUsers" ma:index="1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internalName="SharedWithDetails" ma:readOnly="true">
      <xsd:simpleType>
        <xsd:restriction base="dms:Note">
          <xsd:maxLength value="255"/>
        </xsd:restriction>
      </xsd:simpleType>
    </xsd:element>
    <xsd:element name="TaxCatchAll" ma:index="14" nillable="true" ma:displayName="Taxonomy Catch All Column" ma:hidden="true" ma:list="{06873769-555d-45d4-9f27-c001d2ff8a92}" ma:internalName="TaxCatchAll" ma:showField="CatchAllData" ma:web="9b040ff4-24fd-4220-8396-ee1f6ad4992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345B4F2-3B30-4162-9FB0-76A0A8117CF5}"/>
</file>

<file path=customXml/itemProps2.xml><?xml version="1.0" encoding="utf-8"?>
<ds:datastoreItem xmlns:ds="http://schemas.openxmlformats.org/officeDocument/2006/customXml" ds:itemID="{B931CFB9-F32C-49D5-B8D0-53B29C36566D}"/>
</file>

<file path=customXml/itemProps3.xml><?xml version="1.0" encoding="utf-8"?>
<ds:datastoreItem xmlns:ds="http://schemas.openxmlformats.org/officeDocument/2006/customXml" ds:itemID="{8858CF56-9F6E-406D-B0E8-9474DDB76B7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Chantal</dc:creator>
  <cp:keywords/>
  <dc:description/>
  <cp:lastModifiedBy>Kimberley Ho</cp:lastModifiedBy>
  <cp:revision/>
  <dcterms:created xsi:type="dcterms:W3CDTF">2020-11-26T09:31:06Z</dcterms:created>
  <dcterms:modified xsi:type="dcterms:W3CDTF">2023-05-17T11:15:22Z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0x01010035A3777C117E8F4490629ADC5280BDCD</vt:lpwstr>
  </property>
  <property fmtid="{D5CDD505-2E9C-101B-9397-08002B2CF9AE}" pid="3" name="Order">
    <vt:r8>45359100</vt:r8>
  </property>
  <property fmtid="{D5CDD505-2E9C-101B-9397-08002B2CF9AE}" pid="4" name="xd_Signature">
    <vt:bool>false</vt:bool>
  </property>
  <property fmtid="{D5CDD505-2E9C-101B-9397-08002B2CF9AE}" pid="5" name="xd_ProgID">
    <vt:lpwstr/>
  </property>
  <property fmtid="{D5CDD505-2E9C-101B-9397-08002B2CF9AE}" pid="6" name="TriggerFlowInfo">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MediaServiceImageTags">
    <vt:lpwstr/>
  </property>
</Properties>
</file>