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0"/>
  <workbookPr hidePivotFieldList="1"/>
  <mc:AlternateContent xmlns:mc="http://schemas.openxmlformats.org/markup-compatibility/2006">
    <mc:Choice Requires="x15">
      <x15ac:absPath xmlns:x15ac="http://schemas.microsoft.com/office/spreadsheetml/2010/11/ac" url="https://digitalpower.sharepoint.com/sites/Organisatie/Gedeelde documenten/Development/Golden triangle/"/>
    </mc:Choice>
  </mc:AlternateContent>
  <xr:revisionPtr revIDLastSave="2728" documentId="13_ncr:1_{E59B4713-6934-46B0-828C-DBA5B04BFBBB}" xr6:coauthVersionLast="47" xr6:coauthVersionMax="47" xr10:uidLastSave="{EA19D34B-CCE5-421F-8DC1-9B295D71DC41}"/>
  <bookViews>
    <workbookView xWindow="-110" yWindow="-110" windowWidth="22620" windowHeight="13500" tabRatio="367" xr2:uid="{00000000-000D-0000-FFFF-FFFF00000000}"/>
  </bookViews>
  <sheets>
    <sheet name="Raw data - new facilitator" sheetId="1" r:id="rId1"/>
    <sheet name="_56F9DC9755BA473782653E2940F9" sheetId="5" state="veryHidden" r:id="rId2"/>
    <sheet name="Registration" sheetId="6" state="hidden" r:id="rId3"/>
    <sheet name="Facilitators - skills, who am I" sheetId="7" r:id="rId4"/>
  </sheets>
  <definedNames>
    <definedName name="_56F9DC9755BA473782653E2940F9FormId">"G15UTg3RB0a18mmvm-R9JIK0Xuvmtm9LmZV3-wtCwRFUQTJVTlZWQUtNRUVNMVY1UUw1WkhVTkM1MSQlQCN0PWcu"</definedName>
    <definedName name="_56F9DC9755BA473782653E2940F9ResponseSheet">"Form1"</definedName>
    <definedName name="_56F9DC9755BA473782653E2940F9SourceDocId">"{b151819d-a8f7-46ad-825a-1e21c875b647}"</definedName>
    <definedName name="_xlnm._FilterDatabase" localSheetId="0" hidden="1">'Raw data - new facilitator'!$A$1:$Y$1</definedName>
    <definedName name="_xlnm._FilterDatabase" localSheetId="2" hidden="1">Registration!$A$2:$F$2</definedName>
  </definedNames>
  <calcPr calcId="191028"/>
  <pivotCaches>
    <pivotCache cacheId="67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1" l="1"/>
  <c r="M7" i="1"/>
</calcChain>
</file>

<file path=xl/sharedStrings.xml><?xml version="1.0" encoding="utf-8"?>
<sst xmlns="http://schemas.openxmlformats.org/spreadsheetml/2006/main" count="389" uniqueCount="254">
  <si>
    <t>What is your name?</t>
  </si>
  <si>
    <t>Geslacht</t>
  </si>
  <si>
    <t>How many consultants would you be able to facilitate?</t>
  </si>
  <si>
    <t>Main domain knowledge</t>
  </si>
  <si>
    <t>Backoffice</t>
  </si>
  <si>
    <t>Business Manager</t>
  </si>
  <si>
    <t>Customer Experience</t>
  </si>
  <si>
    <t>Data Analytics</t>
  </si>
  <si>
    <t>Data Engineering</t>
  </si>
  <si>
    <t>Data Science</t>
  </si>
  <si>
    <t>Staff</t>
  </si>
  <si>
    <t>Technical Web Analytics</t>
  </si>
  <si>
    <t>Number of years @DiP</t>
  </si>
  <si>
    <t>work experience in years</t>
  </si>
  <si>
    <t>Write something personal about yourself</t>
  </si>
  <si>
    <t>What are your primairy hardskills? (optional)</t>
  </si>
  <si>
    <t>What are your primairy softskills? (optional)</t>
  </si>
  <si>
    <t>Name some assignments you have completed thus far (functiontitel - company). (optional)</t>
  </si>
  <si>
    <t>Paste a link to your LinkedIn profile. (optional)</t>
  </si>
  <si>
    <t>Bastiaan Boel</t>
  </si>
  <si>
    <t>Man</t>
  </si>
  <si>
    <t/>
  </si>
  <si>
    <t>Do you want to be my experiment? 
Met deze houding gaan we aan het werk, learnings nemen we mee en zo optimaliseren we je ontwikkeling (en leer ik ook). Feedback op de ontwikkeling en feedback op het proces en de aanpak. Brede kennis, maar vooral geinteresseerd in CX, strategie en de organisatie.</t>
  </si>
  <si>
    <t>Metrics &amp; Onderzoek</t>
  </si>
  <si>
    <t>Product Analytics - KLM, Data Analyst - PostNL, Analyst - Vesteda</t>
  </si>
  <si>
    <t>https://www.linkedin.com/in/bastiaanboel/</t>
  </si>
  <si>
    <t>Bram Ooms</t>
  </si>
  <si>
    <t>Working at Digital-Power, I think development is one of the key pilars what makes it such a unique organisation. I see it as both a responsibility and opportunity to help others in their personal development journey. I am still new to coaching, so if you were to choose me, I hope we can both equally learn from eachother. If we meet in real-life, cookies will be an extra perk for selecting me to be in your golden figure.</t>
  </si>
  <si>
    <t>TMS, App analytics, Privacy, GDPR</t>
  </si>
  <si>
    <t>Analytical insight, creating processes, communication</t>
  </si>
  <si>
    <t>TWA - Univé, TWA - Boels, TWA - Vodafone</t>
  </si>
  <si>
    <t>https://www.linkedin.com/in/bramooms/</t>
  </si>
  <si>
    <t>Rogier Kamer</t>
  </si>
  <si>
    <t>Personal Development manager</t>
  </si>
  <si>
    <t>+10</t>
  </si>
  <si>
    <t>With more than 10 years experience at Digital Power and over 20 years of working experience, I am what you call a dinosaur here. I still get a lot of energy from helping you getting better and reaching your goals. And I will do all in my power to help you be succesful!</t>
  </si>
  <si>
    <t>Coaching, goal setting, KPI developing, project management, stakeholder management</t>
  </si>
  <si>
    <t xml:space="preserve">Experienced in Stakeholder Management, Project Management, setting (development) goals, presenting, KPIs, and due to my years at Digital Power I know a lot about this organisation.  </t>
  </si>
  <si>
    <t>Product Owner - Philips, Senior Web Analist - KPN</t>
  </si>
  <si>
    <t>https://www.linkedin.com/in/rogierkamer/</t>
  </si>
  <si>
    <t>Michelle Gijsberts</t>
  </si>
  <si>
    <t xml:space="preserve">(Advanced) Data Analytics </t>
  </si>
  <si>
    <t>With all the possibilities that are given within Digital Power to develop, it is great to have people thinking together with you about where you want to develop in. I would love to help you think about the steps you want and need to take to accomplish this. I've a lot of experience with marketing related data and analysis where statistics are needed.</t>
  </si>
  <si>
    <t>Google Analytics, Python (mostly data analysis), dashboarding, KPI frameworks</t>
  </si>
  <si>
    <t>Stakeholder management, communication and efficient working</t>
  </si>
  <si>
    <t>Web and Data Analyst - Maiburg, Business Analyst Marketing - ANWB Retail, Data Analyst + PO - Boels Rental</t>
  </si>
  <si>
    <t>Sandhya van Kordelaar</t>
  </si>
  <si>
    <t>Recruitment</t>
  </si>
  <si>
    <t>1.5</t>
  </si>
  <si>
    <t>2.5</t>
  </si>
  <si>
    <t xml:space="preserve">I describe myself as people-oriented and open minded. I get a lot of energy from helping others and guiding them in their professional and personal developement. Also, working with other people and finding solutions together is something I enjoy greatly. With me in your golden triangle we will work on soft skill development. Topics I am able to coach you on are: giving feedback, tactical/gentle communication, expressing needs and setting boundaries. </t>
  </si>
  <si>
    <t>Interviewing skills, CV, English</t>
  </si>
  <si>
    <t>Setting boundaries, expressing needs, communication, feedback</t>
  </si>
  <si>
    <t>Teaching at primary schools (through the Data Hub)</t>
  </si>
  <si>
    <t>https://www.linkedin.com/in/sandhya-van-kordelaar/</t>
  </si>
  <si>
    <t>Chantal Snijder</t>
  </si>
  <si>
    <t>I find great joy in supporting others with their personal and professional growth. Being able to engage in discussions on their development goals is something I enjoy. I eagerly look forward to collaborating on challenges, particularly in the realms of CX/DA related topics, (data) strategy, stakeholder management, project management and time management. I anticipate a mutual commitment to learning and growth, as I devote myself to continually improving in my coaching role.</t>
  </si>
  <si>
    <t>KPI setting
CX - quantative research; A/B testing, preference test, card sorting, etc.
DA - SQL, dashboarding, web analytics</t>
  </si>
  <si>
    <t>Stakeholder-, project-, and time management</t>
  </si>
  <si>
    <t>Business/UX analyst - CitizenM, Product owner - ANWB, Data analyst - PostNL</t>
  </si>
  <si>
    <t>https://www.linkedin.com/in/chantal-snijder/</t>
  </si>
  <si>
    <t>Sanne Kieftenburg</t>
  </si>
  <si>
    <t>I enjoy helping colleagues with their personal development. I like to have open conversations so that we can find out why a goal is being worked on and what challenges are involved. I feel that I can best help colleagues who want to focus on: web analytics, SQL, time management, planning, prioritizing</t>
  </si>
  <si>
    <t xml:space="preserve">Webanalytics (Google Analytics), SQL, BigQuery, dashboarding </t>
  </si>
  <si>
    <t>Planning, time management, stakeholder management</t>
  </si>
  <si>
    <t>Data specialist - ABN AMRO, Data analyst - NRC, Data analyst - Eneco</t>
  </si>
  <si>
    <t>https://www.linkedin.com/in/sanne-kieftenburg/</t>
  </si>
  <si>
    <t>Myrthe Lammerse</t>
  </si>
  <si>
    <t xml:space="preserve">Having an open and pro-active attitude toward my personal and professional life helps me to stay positive throughout all kinds of challenges. This attitude is something I will convey in my golden triangles. I look forward to help you with challenges concerning python development, data engineering, or data science. </t>
  </si>
  <si>
    <t>Python, docker, DevOps</t>
  </si>
  <si>
    <t>(pro-active) communication and time management</t>
  </si>
  <si>
    <t>Python Developer - NDW, Data Engineer - ADHDCentraal</t>
  </si>
  <si>
    <t>https://www.linkedin.com/in/myrthelammerse/</t>
  </si>
  <si>
    <t>Dennis de Groot</t>
  </si>
  <si>
    <t>Although I like working on data puzzles, I really get energy from working with people and achieving great things together. And what's a greater achievement then self development? I'm happy to help you with all sorts of broad DA related questions, from Google Analytics to dashboarding, or from AB testing to Python or dbt. As we have many great facilitators at DiP, I think it's also very important to have some kind of click with each other. So feel free to plan a coffee to see if I'm the facilitator for you, or to brainstorm who else might help you on your path to greatness.</t>
  </si>
  <si>
    <t>Webanalytics (Google Analytics), SQL, BigQuery, Python</t>
  </si>
  <si>
    <t>Presenting, communication, stakeholder management</t>
  </si>
  <si>
    <t>Digital Analyst - Schiphol, Digital Analyst - Vattenfall, Data Analist - McMakler</t>
  </si>
  <si>
    <t>https://www.linkedin.com/in/dpfgdegroot/</t>
  </si>
  <si>
    <t>Leon Kooijman</t>
  </si>
  <si>
    <t>Project / Product / Team lead / data analytics</t>
  </si>
  <si>
    <t xml:space="preserve">Hi there! I recently joined DiP. I am a goal oriented, social and structured guy. Coaching is really important for me. I've had many coaches myself, but also would like to help others with their challenges. I've worked at bol.com before, and the last couple of years as a project manager. In this role it was really important to get to the core to problem and often there is a human aspect in it. I hope to help you to become even better. </t>
  </si>
  <si>
    <t>PowerPoint Skills, SQL (Google BigQuery), Google Looker</t>
  </si>
  <si>
    <t xml:space="preserve">Presenting, Project management, communication, stakeholdemanagement, </t>
  </si>
  <si>
    <t>- Data analist bol.com (previous job)
- Project manager bol.com (previous job)
- Team lead data EnergyZero (DiP)</t>
  </si>
  <si>
    <t>https://www.linkedin.com/in/leonkooijman/</t>
  </si>
  <si>
    <t>Roy Klip</t>
  </si>
  <si>
    <t>No spots left</t>
  </si>
  <si>
    <t>I really like helping colleagues and especially the ones of Digital Power. Also, I would like to get better at it. I mostly focus on hard skills, such as programming, aimed at becoming a more technical consultant, but I won't shy away from advising on the soft skill level.</t>
  </si>
  <si>
    <t>Python, Azure, GCP</t>
  </si>
  <si>
    <t>Stakeholder management, planning</t>
  </si>
  <si>
    <t>Data Engineer - DNB, Van der Valk, FysioHolland, Otis</t>
  </si>
  <si>
    <t>https://www.linkedin.com/in/roy-klip/</t>
  </si>
  <si>
    <t>Marieke Schulte</t>
  </si>
  <si>
    <t xml:space="preserve">Consultancy (non-technical) and all things Datahub  </t>
  </si>
  <si>
    <t>To me, Golden Triangles are a safe space (home base) in which we discuss what bothers and excites you, what costs or gives you energy and how you can develop your skills in a way that suits you.</t>
  </si>
  <si>
    <t>Communication, planning and organization, stakeholder management, goal-setting, managing a healthy work-life balance, presenting/facilitating all sorts of workshops</t>
  </si>
  <si>
    <t>Former Data Scientist, founder and chair of Datahub foundation</t>
  </si>
  <si>
    <t>https://www.linkedin.com/in/marieke-schulte/</t>
  </si>
  <si>
    <t>Menno Steenbergen</t>
  </si>
  <si>
    <t>Consultancy / Data Analytics</t>
  </si>
  <si>
    <t>I like helping people with challenges they face at the client or internally. This can be both soft or hard skill focused. If you put in the effort, I will do everything to support you in reaching your goals.</t>
  </si>
  <si>
    <t>Web analytics, Dashboarding, Marketing analytics</t>
  </si>
  <si>
    <t>Communication, stakeholder management, storytelling</t>
  </si>
  <si>
    <t>Univé, Emakina, Miele, ABN AMRO. Data analysis / business analysis roles</t>
  </si>
  <si>
    <t>https://www.linkedin.com/in/menno-steenbergen/</t>
  </si>
  <si>
    <t xml:space="preserve">Eiske Jensma </t>
  </si>
  <si>
    <t xml:space="preserve">Consultancy / Projectmanagement / Data strategy </t>
  </si>
  <si>
    <t xml:space="preserve">I like helping colleagues with their soft skills and consultancy skills. I get energy from interacting with people and hopefully I can help you further in your career. Please schedule a coffee if you want to know more about how I could help you. I strongly believe the Golden Triangle is a helpful tool within Digital Power to develop ourselves.  </t>
  </si>
  <si>
    <t xml:space="preserve">Data strategy, projectmanagement, Product Owner, interviewing, </t>
  </si>
  <si>
    <t xml:space="preserve">Consultancy skills, stakeholder management, communication, critical thinking, presenting, project management, </t>
  </si>
  <si>
    <t>Ben van de Burgt</t>
  </si>
  <si>
    <t>I get energy from helping other people. I'd like to do this on two levels: TWA hardskills and softstkills. I'd like to pass on my experience with GTM and Relay42. Furthermore, I'd like to help other people with their day to day structure/planning, communication and stakeholder management.</t>
  </si>
  <si>
    <t>Google Tag Manager, GDPR, Google Analytics, Relay42, Debugging</t>
  </si>
  <si>
    <t>Communication, organisation/structure, presenting, stakeholder management and positive thinking</t>
  </si>
  <si>
    <t>TWA - McMakler, TWA - Boels, TWA - Transavia</t>
  </si>
  <si>
    <t>https://www.linkedin.com/in/benvandeburgt/</t>
  </si>
  <si>
    <t>René Westerdijk</t>
  </si>
  <si>
    <t>10+</t>
  </si>
  <si>
    <t>I like to support/help people in their journey to become a better consultant. In my current Golden Triangles I try to coach a lot on soft skills.</t>
  </si>
  <si>
    <t>Google Analytics, Adobe Analytics</t>
  </si>
  <si>
    <t>Communication, presenting, stakeholder management, politics, project management</t>
  </si>
  <si>
    <t>Please check LinkedIn --&gt;</t>
  </si>
  <si>
    <t>https://www.linkedin.com/in/renewesterdijk/</t>
  </si>
  <si>
    <t>Roel Cools</t>
  </si>
  <si>
    <t>Data Analytics / TWA</t>
  </si>
  <si>
    <t>Been switching between data analytics and techincal web analytics assignments and have a lot of interest in both. Try to focus on on making the work that you do meaningfull for youself and the companies you work for. Relaxed and laidback aproach and willing to support you in terms of content but also on how to approach all different kind of situations.</t>
  </si>
  <si>
    <t>GTM, Google Analytics, Adobe Analytics, SQL</t>
  </si>
  <si>
    <t>communication, reflection, process adjustments</t>
  </si>
  <si>
    <t>signify, anwb, postnl, miele, kpn</t>
  </si>
  <si>
    <t>https://www.linkedin.com/in/roelcools/</t>
  </si>
  <si>
    <t>Jelmer van Leeuwen</t>
  </si>
  <si>
    <t>Data Analytics &amp; Analytics Engineering</t>
  </si>
  <si>
    <t xml:space="preserve">I love to help colleagues with their soft skills, but also sparring about how to develop your hard skills is something I really like to do. The Golden Triangle is there for you, so I for me it is also important that I get to know you a bit better on personal level along the way. As a person I'm a strong communicator, social &amp; result-oriented. </t>
  </si>
  <si>
    <t>SQL, BigQuery, dbt, Web Analytics (GA &amp; AA), git, dashboarding</t>
  </si>
  <si>
    <t>communication, consultancy, stakeholder management, expectation management</t>
  </si>
  <si>
    <t>Analytics Engineer: Bol.com, TM Forum, America Today
Data Analist: Vattenfall, KPN, SpareRibExpress, Robeco, LMC</t>
  </si>
  <si>
    <t>https://www.linkedin.com/in/jelmer-van-leeuwen/</t>
  </si>
  <si>
    <t>Youp van der Graaf</t>
  </si>
  <si>
    <t>Consultancy / Data Analytics / Customer Experience</t>
  </si>
  <si>
    <t xml:space="preserve">I like to help colleagues asking the right questions to clients, challanging them to improve their consultancy skills on stakeholdermanagement, strategy, organisation and communication. I try to find people's strengths and challanges by asking questions and listening. Fields of interest/experience in: presenting (on stage), giving trainings, KPI frameworks, experimentation, statistics. </t>
  </si>
  <si>
    <t>SQL, BigQuery, Web Analytics (GA &amp; AA), CX tools (experimentation, usability, heatmaps, usability tools), Python, R</t>
  </si>
  <si>
    <t>communication, consultancy, stakeholder management, expectation management, feedback, storytelling</t>
  </si>
  <si>
    <t>Product analytics @ Bol, Experimentation analyst @ Kramp, Experimentation consultant @ Nike, Web Analyst @ ANWB, Web Analyst @ KPN, Analytics consultant @ KWF</t>
  </si>
  <si>
    <t>https://www.linkedin.com/in/youpvandergraaf/</t>
  </si>
  <si>
    <t>Rick Snijder</t>
  </si>
  <si>
    <t>Finance</t>
  </si>
  <si>
    <t>Building on the organisation, setting the next step in our growth and my personal growth is the reason I get out of bed in the morning. With my experience in an external role “consultant” at KPMG and the experience within DIP I believe I can help you with critical thinking, being proactive, determine the real question from the client and how to set things into motion. For data hardskills you are not at the right address here:). I look forward to helping you on your development journey!</t>
  </si>
  <si>
    <t>Critical &amp; positive thinking, communication, being proactive, feedback</t>
  </si>
  <si>
    <t>Senior Audit @ KPMG, Business controller @ Digital Power, Finance Manager @ Digital Power</t>
  </si>
  <si>
    <t>https://nl.linkedin.com/in/rick-snijder-7b449947</t>
  </si>
  <si>
    <t>Jelle de Blaauw</t>
  </si>
  <si>
    <t>Analytics engineering, data analytics, Consulting skills</t>
  </si>
  <si>
    <t xml:space="preserve">I like helping colleagues who have a focus on their personal development outside the scope of their current role at a client / digital power. I can think strategically with long-term goals in mind, i'm open and honest in my feedback and am someone who naturally tries to look at a story from both sides of a narrative. Also I like to think with a strategic mindset about organizational challenges that may arise at a client. </t>
  </si>
  <si>
    <t>SQL, GCP, DBT, Dashboarding(looker, powerbi), GIT</t>
  </si>
  <si>
    <t>Presenting, Project management, priority setting</t>
  </si>
  <si>
    <t>Analytics engineer: Vesteda, Boels
Data analist: ASML, BAM
project management: ASML,</t>
  </si>
  <si>
    <t>https://www.linkedin.com/in/jelledeblaauw/</t>
  </si>
  <si>
    <t>Marlous Vaarwerk</t>
  </si>
  <si>
    <t>Research / Customer Experience</t>
  </si>
  <si>
    <t>I love helping you grow and see you develop yourself. I've mentored colleagues before in previous jobs and I coach people on a weekly basis in my sports club. Helping you grow step by step energises me, so I'd truly like to help you achieve your (development) goals.</t>
  </si>
  <si>
    <t>Qualitative research methods, like UX research, interviewing, surveys, etc.</t>
  </si>
  <si>
    <t>Communication, critical thinking, analytical insight,  goal-setting, managing a healthy work-life balance, presenting/facilitating all sorts of workshops</t>
  </si>
  <si>
    <t>Researcher @ Robeco, DDMA, Resto VanHarte</t>
  </si>
  <si>
    <t>https://www.linkedin.com/in/mlpvaarwerk/</t>
  </si>
  <si>
    <t>Niels Bosmans</t>
  </si>
  <si>
    <t>Data Analytics &amp; Data Strategy</t>
  </si>
  <si>
    <t>My interest lies with solving business problems with data. Both hard- and softskills are required to do that and, therefore, I would love to help you achieve your personal goals anywhere within the business-data spectrum in a structured manner. Everything is hard before it is easy!</t>
  </si>
  <si>
    <t>Adobe Analytics, Google Analytics, Power BI, BigQuery, dashboarding, data management</t>
  </si>
  <si>
    <t>Critical thinking, analytical, decisive, resourceful, adaptable, organized</t>
  </si>
  <si>
    <t>Web Analyst @ING,  Data Analyst @KWF, Web Analyst @VGZ, App Analyst @ANWB, Data Expert @LFI(RIVM)</t>
  </si>
  <si>
    <t>https://www.linkedin.com/in/nielsbosmans/</t>
  </si>
  <si>
    <t>Jasmijn Koster</t>
  </si>
  <si>
    <t>4 - All filled (no spots left)</t>
  </si>
  <si>
    <t>Consultancy / Projectmanagement / Data Analytics</t>
  </si>
  <si>
    <t>I'm a strong sounding board for my colleagues, providing them with a safe space to share their stories. Through honest guidance and sharing my own experiences, I empower them to navigate similar situations. My consultancy skills allow me to effectively put myself in others' shoes, deeply understanding their perspectives. With my empathy, enthusiasm, and attentive listening, I not only foster a supportive environment but also inspire and motivate my colleagues in their personal development journeys.</t>
  </si>
  <si>
    <t>Data Analytics, GA4, Dashboarding, GTM</t>
  </si>
  <si>
    <t>Attentive listener, consultancy, stakeholder management, expectation management</t>
  </si>
  <si>
    <t>Web Analyst @ Univé &amp; Emakina &amp; TM Forum &amp; Vattenfall &amp; Eneco
Consultant @DNB
Projectleader @ ANWB &amp; Eneco Belgium</t>
  </si>
  <si>
    <t>https://www.linkedin.com/in/jasmijnkoster/</t>
  </si>
  <si>
    <t>Andana Borcan</t>
  </si>
  <si>
    <t>Consultancy/Delivery Management/PM/PO</t>
  </si>
  <si>
    <t>I would love to be part of your journey to further develop yourself as a consultant and make more impact at the client by supporting you with my experience in managing &amp; delivering projects &amp; everything around it (resources, expectations, etc.). If this this is something that you would like to further develop in, let's have a coffee!</t>
  </si>
  <si>
    <t xml:space="preserve">Project Management, Stakeholder Management
</t>
  </si>
  <si>
    <t xml:space="preserve">Planning, communication, feedback, consultancy
</t>
  </si>
  <si>
    <t>TWA &amp; Deliverery Manager @Vodafone</t>
  </si>
  <si>
    <t>https://www.linkedin.com/in/andana-borcan/</t>
  </si>
  <si>
    <t>Robin de Kramer</t>
  </si>
  <si>
    <t>no spots left</t>
  </si>
  <si>
    <t>Management</t>
  </si>
  <si>
    <t>Kasper Soekarjo</t>
  </si>
  <si>
    <t>Solution Architecture / Governance / Data Engineering</t>
  </si>
  <si>
    <t>I take a very broad look at working with data, taking into consideration both the technical and organizational aspects. If you are interested in learning more about the different components of a data platform, thinking about developing towards solution architecture, or want to improve your impact as data consultant by looking at the bigger picture, I would be happy to support you in this!</t>
  </si>
  <si>
    <t>Solution Architecture, Data Governance, Data Modelling, Data Platform design (ETL, storage, data transformation, consumption)</t>
  </si>
  <si>
    <t>Stakeholder management, communicating about technical subjects to non-technical people, consultancy, technical pre-sales</t>
  </si>
  <si>
    <t>Data architect @ Mediq, KPN; Solution architect @ Nuklai, ANWB</t>
  </si>
  <si>
    <t>Kasper Soekarjo | LinkedIn</t>
  </si>
  <si>
    <t>Philip Roeleveld</t>
  </si>
  <si>
    <t>Data Engineering / Machine Learning</t>
  </si>
  <si>
    <t>In your golden triangle I am most comfortable as a facilitator to work on your hardskills, and although I have not taken on a golden triangle before, I am an experienced coach and tutor. I will meet you where you're at and ask questions rather than giving (my) answers. When it comes to softskill development I might not be as experienced but I would love to help nonetheless, doubly so if it relates to some skills I might have experience with. Let's see if it's a fit!</t>
  </si>
  <si>
    <t>Everything Python (including pyspark, sklearn, OOP, packaging, optimization, code style, debugging), MLOps, Terraform, Networking (the hardskill kind!), Azure pipelines</t>
  </si>
  <si>
    <t>Solution design &amp; documentation, Presenting data science</t>
  </si>
  <si>
    <t>Data Engineer @ NDW, FysioHolland, RHDHV
Machine Learning Engineer @ TheNeuron, RHDHV, Rabobank</t>
  </si>
  <si>
    <t>G15UTg3RB0a18mmvm-R9JIK0Xuvmtm9LmZV3-wtCwRFUQTJVTlZWQUtNRUVNMVY1UUw1WkhVTkM1MSQlQCN0PWcu</t>
  </si>
  <si>
    <t>Form1</t>
  </si>
  <si>
    <t>{b151819d-a8f7-46ad-825a-1e21c875b647}</t>
  </si>
  <si>
    <t xml:space="preserve">Vul je naam in bij de consultant naar keuze. Optioneel kan je die consultant een berichtje sturen dat je graag met diegene in je Gouden Driehoek wilt werken. </t>
  </si>
  <si>
    <t>Naam
begeleidend
consultant</t>
  </si>
  <si>
    <t>Plek 1</t>
  </si>
  <si>
    <t>Plek 2</t>
  </si>
  <si>
    <t>Plek 3</t>
  </si>
  <si>
    <t>Plek 4</t>
  </si>
  <si>
    <t>Plek 5</t>
  </si>
  <si>
    <t>Plek 6</t>
  </si>
  <si>
    <t>Plek 7</t>
  </si>
  <si>
    <t>Plek 8</t>
  </si>
  <si>
    <t>Plek 9</t>
  </si>
  <si>
    <t>Plek 10</t>
  </si>
  <si>
    <t>Plek 11</t>
  </si>
  <si>
    <t>Plek 12</t>
  </si>
  <si>
    <t>Plek 13</t>
  </si>
  <si>
    <t>Plek 14</t>
  </si>
  <si>
    <t>Plek 15</t>
  </si>
  <si>
    <t>Alex de Ronde</t>
  </si>
  <si>
    <t>Annemiek Vonk</t>
  </si>
  <si>
    <t>Astrid Veraart</t>
  </si>
  <si>
    <t>Bas Kroese</t>
  </si>
  <si>
    <t>Casper Damen</t>
  </si>
  <si>
    <t>Chantal van der Jagt</t>
  </si>
  <si>
    <t>Charlotte Vonkeman</t>
  </si>
  <si>
    <t>Dennis Dickmann</t>
  </si>
  <si>
    <t>Eiske Jensma</t>
  </si>
  <si>
    <t>Erik van der Kooij</t>
  </si>
  <si>
    <t>Gosse Haga</t>
  </si>
  <si>
    <t>Joachim van Biemen</t>
  </si>
  <si>
    <t>Johan Meijer</t>
  </si>
  <si>
    <t>Mariska Stokkermans</t>
  </si>
  <si>
    <t>Martijn Leunissen</t>
  </si>
  <si>
    <t>Max Tijdeman</t>
  </si>
  <si>
    <t>Merel Derlagen</t>
  </si>
  <si>
    <t>Mieke Kleppe</t>
  </si>
  <si>
    <t>Nienke Halma</t>
  </si>
  <si>
    <t>Olaf Stempels</t>
  </si>
  <si>
    <t>Oskar van den Berg</t>
  </si>
  <si>
    <t>Reimer van de Pol</t>
  </si>
  <si>
    <t>Rob Esenkbrink</t>
  </si>
  <si>
    <t>Sander van Dorsten</t>
  </si>
  <si>
    <t>Stef Gramser</t>
  </si>
  <si>
    <t>Tim Molleman</t>
  </si>
  <si>
    <t>Victor van den Broek</t>
  </si>
  <si>
    <t>Zev Posma</t>
  </si>
  <si>
    <t>(blank)</t>
  </si>
  <si>
    <t>I enjoy helping colleagues with their personal development. I like to have open conversations so that we can find out why a goal is being worked on and what challenges are involved. I feel that I can best help colleagues who want to focus on: web analyti</t>
  </si>
  <si>
    <t>I like helping people with challenges you face at the client or internally. This can be focussed on either soft or hard skills. If you put in the effort, I will do everything to support you in reaching your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</si>
</sst>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Arial"/>
    </font>
    <font>
      <sz val="11"/>
      <name val="Arial"/>
      <family val="2"/>
    </font>
    <font>
      <b/>
      <sz val="11"/>
      <color rgb="FF000000"/>
      <name val="Arial"/>
      <family val="2"/>
    </font>
    <font>
      <i/>
      <sz val="10"/>
      <name val="Arial"/>
      <family val="2"/>
    </font>
    <font>
      <u/>
      <sz val="11"/>
      <color theme="10"/>
      <name val="Arial"/>
      <family val="2"/>
    </font>
    <font>
      <b/>
      <sz val="9"/>
      <color rgb="FF000000"/>
      <name val="Arial"/>
      <family val="2"/>
    </font>
    <font>
      <u/>
      <sz val="11"/>
      <name val="Arial"/>
      <family val="2"/>
    </font>
    <font>
      <sz val="11"/>
      <color rgb="FFFF0000"/>
      <name val="Arial"/>
      <family val="2"/>
    </font>
    <font>
      <sz val="11"/>
      <color rgb="FFFFC000"/>
      <name val="Arial"/>
      <family val="2"/>
    </font>
    <font>
      <sz val="11"/>
      <color rgb="FFED7D31"/>
      <name val="Arial"/>
      <family val="2"/>
    </font>
    <font>
      <sz val="8"/>
      <name val="Arial"/>
      <family val="2"/>
    </font>
    <font>
      <sz val="11"/>
      <color rgb="FF000000"/>
      <name val="Arial"/>
      <family val="2"/>
    </font>
    <font>
      <b/>
      <sz val="8"/>
      <name val="Arial"/>
      <family val="2"/>
    </font>
    <font>
      <sz val="8"/>
      <name val="Arial"/>
    </font>
  </fonts>
  <fills count="5">
    <fill>
      <patternFill patternType="none"/>
    </fill>
    <fill>
      <patternFill patternType="gray125"/>
    </fill>
    <fill>
      <patternFill patternType="solid">
        <fgColor theme="6" tint="0.79998168889431442"/>
        <bgColor indexed="64"/>
      </patternFill>
    </fill>
    <fill>
      <patternFill patternType="solid">
        <fgColor rgb="FF92D050"/>
        <bgColor indexed="64"/>
      </patternFill>
    </fill>
    <fill>
      <patternFill patternType="solid">
        <fgColor theme="6" tint="0.59999389629810485"/>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42">
    <xf numFmtId="0" fontId="0" fillId="0" borderId="0" xfId="0"/>
    <xf numFmtId="49" fontId="0" fillId="0" borderId="0" xfId="0" applyNumberFormat="1"/>
    <xf numFmtId="1" fontId="0" fillId="0" borderId="0" xfId="0" applyNumberFormat="1"/>
    <xf numFmtId="49" fontId="1" fillId="0" borderId="0" xfId="0" applyNumberFormat="1" applyFont="1"/>
    <xf numFmtId="0" fontId="0" fillId="0" borderId="0" xfId="0" applyAlignment="1">
      <alignment wrapText="1"/>
    </xf>
    <xf numFmtId="1" fontId="0" fillId="0" borderId="0" xfId="0" applyNumberFormat="1" applyAlignment="1">
      <alignment horizontal="center" vertical="center"/>
    </xf>
    <xf numFmtId="49" fontId="0" fillId="0" borderId="0" xfId="0" applyNumberFormat="1" applyAlignment="1">
      <alignment wrapText="1"/>
    </xf>
    <xf numFmtId="0" fontId="2" fillId="2" borderId="0" xfId="0" applyFont="1" applyFill="1"/>
    <xf numFmtId="0" fontId="2" fillId="2" borderId="0" xfId="0" applyFont="1" applyFill="1" applyAlignment="1">
      <alignment wrapText="1"/>
    </xf>
    <xf numFmtId="0" fontId="2" fillId="2" borderId="0" xfId="0" applyFont="1" applyFill="1" applyAlignment="1">
      <alignment horizontal="left" vertical="center"/>
    </xf>
    <xf numFmtId="0" fontId="0" fillId="0" borderId="0" xfId="0" applyAlignment="1">
      <alignment horizontal="center"/>
    </xf>
    <xf numFmtId="49" fontId="0" fillId="0" borderId="0" xfId="0" applyNumberFormat="1" applyAlignment="1">
      <alignment horizontal="center"/>
    </xf>
    <xf numFmtId="0" fontId="1" fillId="0" borderId="0" xfId="0" applyFont="1" applyAlignment="1">
      <alignment horizontal="center"/>
    </xf>
    <xf numFmtId="49" fontId="4" fillId="0" borderId="0" xfId="1" applyNumberFormat="1"/>
    <xf numFmtId="0" fontId="5" fillId="2" borderId="0" xfId="0" applyFont="1" applyFill="1" applyAlignment="1">
      <alignment horizontal="left" vertical="center" wrapText="1"/>
    </xf>
    <xf numFmtId="0" fontId="6" fillId="0" borderId="0" xfId="0" applyFont="1"/>
    <xf numFmtId="0" fontId="7" fillId="0" borderId="0" xfId="0" applyFont="1" applyAlignment="1">
      <alignment horizontal="center"/>
    </xf>
    <xf numFmtId="1" fontId="8" fillId="0" borderId="0" xfId="0" applyNumberFormat="1" applyFont="1" applyAlignment="1">
      <alignment horizontal="center" vertical="center"/>
    </xf>
    <xf numFmtId="0" fontId="9" fillId="0" borderId="0" xfId="0" applyFont="1" applyAlignment="1">
      <alignment horizontal="center"/>
    </xf>
    <xf numFmtId="0" fontId="10" fillId="0" borderId="0" xfId="0" applyFont="1"/>
    <xf numFmtId="0" fontId="10" fillId="0" borderId="0" xfId="0" applyFont="1" applyAlignment="1">
      <alignment vertical="center"/>
    </xf>
    <xf numFmtId="0" fontId="10" fillId="0" borderId="0" xfId="0" applyFont="1" applyAlignment="1">
      <alignment wrapText="1"/>
    </xf>
    <xf numFmtId="0" fontId="1" fillId="0" borderId="0" xfId="0" applyFont="1"/>
    <xf numFmtId="0" fontId="10" fillId="0" borderId="0" xfId="0" applyFont="1" applyAlignment="1">
      <alignment horizontal="center"/>
    </xf>
    <xf numFmtId="0" fontId="10" fillId="0" borderId="0" xfId="0" applyFont="1" applyAlignment="1">
      <alignment horizontal="left" vertical="center"/>
    </xf>
    <xf numFmtId="1" fontId="1" fillId="0" borderId="0" xfId="0" applyNumberFormat="1" applyFont="1" applyAlignment="1">
      <alignment horizontal="center" vertical="center"/>
    </xf>
    <xf numFmtId="49" fontId="0" fillId="0" borderId="0" xfId="0" applyNumberFormat="1" applyAlignment="1">
      <alignment horizontal="left" vertical="top" wrapText="1"/>
    </xf>
    <xf numFmtId="49" fontId="0" fillId="0" borderId="0" xfId="0" applyNumberFormat="1" applyAlignment="1">
      <alignment vertical="center" wrapText="1"/>
    </xf>
    <xf numFmtId="1" fontId="0" fillId="0" borderId="0" xfId="0" applyNumberFormat="1" applyAlignment="1">
      <alignment horizontal="right"/>
    </xf>
    <xf numFmtId="0" fontId="11" fillId="0" borderId="0" xfId="0" applyFont="1" applyAlignment="1">
      <alignment horizontal="left" wrapText="1"/>
    </xf>
    <xf numFmtId="1" fontId="0" fillId="0" borderId="0" xfId="0" quotePrefix="1" applyNumberFormat="1" applyAlignment="1">
      <alignment horizontal="right"/>
    </xf>
    <xf numFmtId="49" fontId="1" fillId="0" borderId="0" xfId="0" applyNumberFormat="1" applyFont="1" applyAlignment="1">
      <alignment wrapText="1"/>
    </xf>
    <xf numFmtId="0" fontId="12" fillId="2" borderId="0" xfId="0" applyFont="1" applyFill="1"/>
    <xf numFmtId="0" fontId="12" fillId="4" borderId="0" xfId="0" applyFont="1" applyFill="1"/>
    <xf numFmtId="0" fontId="10" fillId="4" borderId="0" xfId="0" applyFont="1" applyFill="1" applyAlignment="1">
      <alignment wrapText="1"/>
    </xf>
    <xf numFmtId="0" fontId="10" fillId="4" borderId="0" xfId="0" applyFont="1" applyFill="1"/>
    <xf numFmtId="0" fontId="13" fillId="0" borderId="0" xfId="0" pivotButton="1" applyFont="1"/>
    <xf numFmtId="0" fontId="13" fillId="0" borderId="0" xfId="0" applyFont="1"/>
    <xf numFmtId="0" fontId="13" fillId="0" borderId="0" xfId="0" pivotButton="1" applyFont="1" applyAlignment="1">
      <alignment wrapText="1"/>
    </xf>
    <xf numFmtId="0" fontId="13" fillId="0" borderId="0" xfId="0" applyFont="1" applyAlignment="1">
      <alignment wrapText="1"/>
    </xf>
    <xf numFmtId="0" fontId="4" fillId="0" borderId="0" xfId="1"/>
    <xf numFmtId="0" fontId="3" fillId="3" borderId="0" xfId="0" applyFont="1" applyFill="1" applyAlignment="1">
      <alignment horizontal="center"/>
    </xf>
  </cellXfs>
  <cellStyles count="2">
    <cellStyle name="Hyperlink" xfId="1" builtinId="8"/>
    <cellStyle name="Standaard" xfId="0" builtinId="0"/>
  </cellStyles>
  <dxfs count="75">
    <dxf>
      <fill>
        <patternFill patternType="solid">
          <fgColor indexed="64"/>
          <bgColor rgb="FFD9D9D9"/>
        </patternFill>
      </fill>
      <alignment horizontal="center"/>
    </dxf>
    <dxf>
      <fill>
        <patternFill patternType="solid">
          <fgColor indexed="64"/>
          <bgColor rgb="FFD9D9D9"/>
        </patternFill>
      </fill>
      <alignment horizontal="center"/>
    </dxf>
    <dxf>
      <fill>
        <patternFill patternType="solid">
          <fgColor indexed="64"/>
          <bgColor rgb="FFD9D9D9"/>
        </patternFill>
      </fill>
      <alignment horizontal="center"/>
    </dxf>
    <dxf>
      <fill>
        <patternFill patternType="solid">
          <fgColor indexed="64"/>
          <bgColor rgb="FFD9D9D9"/>
        </patternFill>
      </fill>
      <alignment horizontal="center"/>
    </dxf>
    <dxf>
      <fill>
        <patternFill patternType="solid">
          <fgColor indexed="64"/>
          <bgColor rgb="FFD9D9D9"/>
        </patternFill>
      </fill>
      <alignment horizontal="center"/>
    </dxf>
    <dxf>
      <fill>
        <patternFill patternType="solid">
          <fgColor indexed="64"/>
          <bgColor rgb="FFD9D9D9"/>
        </patternFill>
      </fill>
      <alignment horizontal="center"/>
    </dxf>
    <dxf>
      <fill>
        <patternFill patternType="solid">
          <fgColor indexed="64"/>
          <bgColor rgb="FFD9D9D9"/>
        </patternFill>
      </fill>
      <alignment horizontal="center"/>
    </dxf>
    <dxf>
      <fill>
        <patternFill patternType="solid">
          <fgColor indexed="64"/>
          <bgColor rgb="FFD9D9D9"/>
        </patternFill>
      </fill>
      <alignment horizontal="center"/>
    </dxf>
    <dxf>
      <fill>
        <patternFill patternType="solid">
          <fgColor indexed="64"/>
          <bgColor rgb="FFD9D9D9"/>
        </patternFill>
      </fill>
      <alignment horizontal="center"/>
    </dxf>
    <dxf>
      <fill>
        <patternFill patternType="solid">
          <fgColor indexed="64"/>
          <bgColor rgb="FFD9D9D9"/>
        </patternFill>
      </fill>
      <alignment horizontal="center"/>
    </dxf>
    <dxf>
      <fill>
        <patternFill patternType="solid">
          <fgColor indexed="64"/>
          <bgColor rgb="FFD9D9D9"/>
        </patternFill>
      </fill>
      <alignment horizontal="center"/>
    </dxf>
    <dxf>
      <fill>
        <patternFill patternType="solid">
          <fgColor indexed="64"/>
          <bgColor rgb="FFD9D9D9"/>
        </patternFill>
      </fill>
      <alignment horizontal="center"/>
    </dxf>
    <dxf>
      <fill>
        <patternFill patternType="solid">
          <fgColor indexed="64"/>
          <bgColor rgb="FFD9D9D9"/>
        </patternFill>
      </fill>
      <alignment horizontal="center"/>
    </dxf>
    <dxf>
      <fill>
        <patternFill patternType="solid">
          <fgColor indexed="64"/>
          <bgColor rgb="FFD9D9D9"/>
        </patternFill>
      </fill>
      <alignment horizontal="center"/>
    </dxf>
    <dxf>
      <alignment horizontal="center"/>
    </dxf>
    <dxf>
      <numFmt numFmtId="30" formatCode="@"/>
    </dxf>
    <dxf>
      <fill>
        <patternFill patternType="solid">
          <fgColor indexed="64"/>
          <bgColor rgb="FFD9D9D9"/>
        </patternFill>
      </fill>
    </dxf>
    <dxf>
      <font>
        <b/>
        <i val="0"/>
        <strike val="0"/>
        <condense val="0"/>
        <extend val="0"/>
        <outline val="0"/>
        <shadow val="0"/>
        <u val="none"/>
        <vertAlign val="baseline"/>
        <sz val="11"/>
        <color rgb="FF000000"/>
        <name val="Arial"/>
        <family val="2"/>
        <scheme val="none"/>
      </font>
      <fill>
        <patternFill patternType="solid">
          <fgColor indexed="64"/>
          <bgColor theme="6" tint="0.79998168889431442"/>
        </patternFill>
      </fill>
      <alignment horizontal="center" vertical="center" textRotation="0" wrapText="0" indent="0" justifyLastLine="0" shrinkToFit="0" readingOrder="0"/>
    </dxf>
    <dxf>
      <numFmt numFmtId="30" formatCode="@"/>
    </dxf>
    <dxf>
      <numFmt numFmtId="30" formatCode="@"/>
    </dxf>
    <dxf>
      <numFmt numFmtId="30" formatCode="@"/>
    </dxf>
    <dxf>
      <numFmt numFmtId="30" formatCode="@"/>
      <alignment wrapText="1"/>
    </dxf>
    <dxf>
      <numFmt numFmtId="30" formatCode="@"/>
      <alignment wrapText="1"/>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1" formatCode="0"/>
    </dxf>
    <dxf>
      <numFmt numFmtId="30" formatCode="@"/>
    </dxf>
    <dxf>
      <numFmt numFmtId="30" formatCode="@"/>
    </dxf>
    <dxf>
      <font>
        <b/>
        <i val="0"/>
        <strike val="0"/>
        <condense val="0"/>
        <extend val="0"/>
        <outline val="0"/>
        <shadow val="0"/>
        <u val="none"/>
        <vertAlign val="baseline"/>
        <sz val="11"/>
        <color rgb="FF000000"/>
        <name val="Arial"/>
        <scheme val="none"/>
      </font>
      <fill>
        <patternFill patternType="solid">
          <fgColor indexed="64"/>
          <bgColor theme="6" tint="0.79998168889431442"/>
        </patternFill>
      </fill>
    </dxf>
    <dxf>
      <font>
        <sz val="8"/>
      </font>
    </dxf>
    <dxf>
      <alignment horizontal="center"/>
    </dxf>
    <dxf>
      <alignment horizontal="center"/>
    </dxf>
    <dxf>
      <font>
        <b/>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-102018</xdr:colOff>
          <xdr:row>0</xdr:row>
          <xdr:rowOff>0</xdr:rowOff>
        </xdr:from>
        <xdr:to>
          <xdr:col>0</xdr:col>
          <xdr:colOff>-102018</xdr:colOff>
          <xdr:row>0</xdr:row>
          <xdr:rowOff>0</xdr:rowOff>
        </xdr:to>
        <xdr:grpSp>
          <xdr:nvGrpSpPr>
            <xdr:cNvPr id="5" name="Group 4">
              <a:extLst>
                <a:ext uri="{FF2B5EF4-FFF2-40B4-BE49-F238E27FC236}">
                  <a16:creationId xmlns:a16="http://schemas.microsoft.com/office/drawing/2014/main" id="{A9DD55D2-4BB5-4CAB-8689-4A507C701B68}"/>
                </a:ext>
              </a:extLst>
            </xdr:cNvPr>
            <xdr:cNvGrpSpPr/>
          </xdr:nvGrpSpPr>
          <xdr:grpSpPr>
            <a:xfrm>
              <a:off x="-102018" y="0"/>
              <a:ext cx="0" cy="0"/>
              <a:chOff x="-102018" y="0"/>
              <a:chExt cx="0" cy="0"/>
            </a:xfrm>
          </xdr:grpSpPr>
        </xdr:grp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391.458685648147" createdVersion="7" refreshedVersion="8" minRefreshableVersion="3" recordCount="25" xr:uid="{35A7D150-860E-45AE-93E7-3C15E4A1DD0D}">
  <cacheSource type="worksheet">
    <worksheetSource name="Tabel1"/>
  </cacheSource>
  <cacheFields count="19">
    <cacheField name="What is your name?" numFmtId="49">
      <sharedItems containsNonDate="0" containsBlank="1" count="63">
        <s v="Bastiaan Boel"/>
        <s v="Bram Ooms"/>
        <s v="Rogier Kamer"/>
        <s v="Michelle Gijsberts"/>
        <s v="Sandhya van Kordelaar"/>
        <s v="Chantal Snijder"/>
        <s v="Sanne Kieftenburg"/>
        <s v="Myrthe Lammerse"/>
        <s v="Dennis de Groot"/>
        <s v="Leon Kooijman"/>
        <s v="Roy Klip"/>
        <s v="Marieke Schulte"/>
        <s v="Menno Steenbergen"/>
        <s v="Eiske Jensma "/>
        <s v="Ben van de Burgt"/>
        <s v="René Westerdijk"/>
        <s v="Roel Cools"/>
        <s v="Jelmer van Leeuwen"/>
        <s v="Youp van der Graaf"/>
        <s v="Rick Snijder"/>
        <s v="Jelle de Blaauw"/>
        <s v="Marlous Vaarwerk"/>
        <s v="Niels Bosmans"/>
        <s v="Jasmijn Koster"/>
        <s v="Andana Borcan"/>
        <s v="Erik van der Kooij" u="1"/>
        <m u="1"/>
        <s v="Dennis Dickmann" u="1"/>
        <s v="Eiske Jensma" u="1"/>
        <s v="Max Tijdeman" u="1"/>
        <s v="Nienke Halma" u="1"/>
        <s v="Sander van Dorsten" u="1"/>
        <s v="Olaf Stempels" u="1"/>
        <s v="Chantal van der Jagt" u="1"/>
        <s v="Tim Molleman" u="1"/>
        <s v="Rob Esenkbrink" u="1"/>
        <s v="Martijn Leunissen" u="1"/>
        <s v="Astrid Veraart" u="1"/>
        <s v="Michael Hogervorst" u="1"/>
        <s v="Johan Meijer" u="1"/>
        <s v="Victor van den Broek" u="1"/>
        <s v="Casper Damen" u="1"/>
        <s v="Mieke Kleppe" u="1"/>
        <s v="Rico Knopper" u="1"/>
        <s v="Joachim van Biemen" u="1"/>
        <s v="Stef Gramser" u="1"/>
        <s v="Alex de Ronde" u="1"/>
        <s v="Arjen van den Heuvel" u="1"/>
        <s v="Marko Bosgra" u="1"/>
        <s v="Robin de Kramer" u="1"/>
        <s v="Oskar van den Berg" u="1"/>
        <s v="Zev Posma" u="1"/>
        <s v="Reimer van de Pol" u="1"/>
        <s v="Koen Crommentuijn" u="1"/>
        <s v="Merel Derlagen" u="1"/>
        <s v="Charlotte Vonkeman" u="1"/>
        <s v="Gosse Haga" u="1"/>
        <s v="Bas Kroese" u="1"/>
        <s v="Anika Batenburg" u="1"/>
        <s v="Bram Verleur" u="1"/>
        <s v="Annemiek Vonk" u="1"/>
        <s v="Pamela Greveling" u="1"/>
        <s v="Mariska Stokkermans" u="1"/>
      </sharedItems>
    </cacheField>
    <cacheField name="Geslacht" numFmtId="49">
      <sharedItems containsNonDate="0" containsBlank="1"/>
    </cacheField>
    <cacheField name="How many consultants would you be able to facilitate?" numFmtId="1">
      <sharedItems containsMixedTypes="1" containsNumber="1" containsInteger="1" minValue="1" maxValue="15" count="8">
        <n v="5"/>
        <n v="3"/>
        <n v="15"/>
        <n v="4"/>
        <s v="No spots left"/>
        <n v="2"/>
        <n v="1"/>
        <s v="4 - All filled (no spots left)"/>
      </sharedItems>
    </cacheField>
    <cacheField name="Main domain knowledge" numFmtId="0">
      <sharedItems containsNonDate="0" containsBlank="1" count="29">
        <s v="Customer Experience"/>
        <s v="Technical Web Analytics"/>
        <s v="Personal Development manager"/>
        <s v="(Advanced) Data Analytics "/>
        <s v="Recruitment"/>
        <s v="Data Analytics"/>
        <s v="Data Engineering"/>
        <s v="Project / Product / Team lead / data analytics"/>
        <s v="Consultancy (non-technical) and all things Datahub  "/>
        <s v="Consultancy / Data Analytics"/>
        <s v="Consultancy / Projectmanagement / Data strategy "/>
        <s v="Data Analytics / TWA"/>
        <s v="Data Analytics &amp; Analytics Engineering"/>
        <s v="Consultancy / Data Analytics / Customer Experience"/>
        <s v="Finance"/>
        <s v="Analytics engineering, data analytics, Consulting skills"/>
        <s v="Research / Customer Experience"/>
        <s v="Data Analytics &amp; Data Strategy"/>
        <s v="Consultancy / Projectmanagement / Data Analytics"/>
        <s v="Consultancy/Delivery Management/PM/PO"/>
        <s v="Development manager" u="1"/>
        <s v="Consultancy and commerce" u="1"/>
        <m u="1"/>
        <s v="Recruiter" u="1"/>
        <s v="Data Science" u="1"/>
        <s v="Business Manager" u="1"/>
        <s v="Research" u="1"/>
        <s v="Backoffice" u="1"/>
        <s v="Staff" u="1"/>
      </sharedItems>
    </cacheField>
    <cacheField name="Backoffice" numFmtId="49">
      <sharedItems containsNonDate="0" containsBlank="1"/>
    </cacheField>
    <cacheField name="Business Manager" numFmtId="49">
      <sharedItems containsNonDate="0" containsBlank="1"/>
    </cacheField>
    <cacheField name="Customer Experience" numFmtId="49">
      <sharedItems containsNonDate="0" containsBlank="1"/>
    </cacheField>
    <cacheField name="Data Analytics" numFmtId="49">
      <sharedItems containsNonDate="0" containsBlank="1"/>
    </cacheField>
    <cacheField name="Data Engineering" numFmtId="49">
      <sharedItems containsNonDate="0" containsBlank="1"/>
    </cacheField>
    <cacheField name="Data Science" numFmtId="49">
      <sharedItems containsNonDate="0" containsBlank="1"/>
    </cacheField>
    <cacheField name="Staff" numFmtId="49">
      <sharedItems containsNonDate="0" containsBlank="1"/>
    </cacheField>
    <cacheField name="Technical Web Analytics" numFmtId="49">
      <sharedItems containsNonDate="0" containsBlank="1"/>
    </cacheField>
    <cacheField name="Number of years @DiP" numFmtId="1">
      <sharedItems containsMixedTypes="1" containsNumber="1" minValue="0" maxValue="10"/>
    </cacheField>
    <cacheField name="work experience in years" numFmtId="1">
      <sharedItems containsMixedTypes="1" containsNumber="1" minValue="2" maxValue="20"/>
    </cacheField>
    <cacheField name="Write something personal about yourself" numFmtId="49">
      <sharedItems containsNonDate="0" containsBlank="1" count="67" longText="1">
        <s v="Do you want to be my experiment? _x000a_Met deze houding gaan we aan het werk, learnings nemen we mee en zo optimaliseren we je ontwikkeling (en leer ik ook). Feedback op de ontwikkeling en feedback op het proces en de aanpak. Brede kennis, maar vooral geinteresseerd in CX, strategie en de organisatie."/>
        <s v="Working at Digital-Power, I think development is one of the key pilars what makes it such a unique organisation. I see it as both a responsibility and opportunity to help others in their personal development journey. I am still new to coaching, so if you were to choose me, I hope we can both equally learn from eachother. If we meet in real-life, cookies will be an extra perk for selecting me to be in your golden figure."/>
        <s v="With more than 10 years experience at Digital Power and over 20 years of working experience, I am what you call a dinosaur here. I still get a lot of energy from helping you getting better and reaching your goals. And I will do all in my power to help you be succesful!"/>
        <s v="With all the possibilities that are given within Digital Power to develop, it is great to have people thinking together with you about where you want to develop in. I would love to help you think about the steps you want and need to take to accomplish this. I've a lot of experience with marketing related data and analysis where statistics are needed."/>
        <s v="I describe myself as people-oriented and open minded. I get a lot of energy from helping others and guiding them in their professional and personal developement. Also, working with other people and finding solutions together is something I enjoy greatly. With me in your golden triangle we will work on soft skill development. Topics I am able to coach you on are: giving feedback, tactical/gentle communication, expressing needs and setting boundaries. "/>
        <s v="I find great joy in supporting others with their personal and professional growth. Being able to engage in discussions on their development goals is something I enjoy. I eagerly look forward to collaborating on challenges, particularly in the realms of CX/DA related topics, (data) strategy, stakeholder management, project management and time management. I anticipate a mutual commitment to learning and growth, as I devote myself to continually improving in my coaching role."/>
        <s v="I enjoy helping colleagues with their personal development. I like to have open conversations so that we can find out why a goal is being worked on and what challenges are involved. I feel that I can best help colleagues who want to focus on: web analytics, SQL, time management, planning, prioritizing"/>
        <s v="Having an open and pro-active attitude toward my personal and professional life helps me to stay positive throughout all kinds of challenges. This attitude is something I will convey in my golden triangles. I look forward to help you with challenges concerning python development, data engineering, or data science. "/>
        <s v="Although I like working on data puzzles, I really get energy from working with people and achieving great things together. And what's a greater achievement then self development? I'm happy to help you with all sorts of broad DA related questions, from Google Analytics to dashboarding, or from AB testing to Python or dbt. As we have many great facilitators at DiP, I think it's also very important to have some kind of click with each other. So feel free to plan a coffee to see if I'm the facilitator for you, or to brainstorm who else might help you on your path to greatness."/>
        <s v="Hi there! I recently joined DiP. I am a goal oriented, social and structured guy. Coaching is really important for me. I've had many coaches myself, but also would like to help others with their challenges. I've worked at bol.com before, and the last couple of years as a project manager. In this role it was really important to get to the core to problem and often there is a human aspect in it. I hope to help you to become even better. "/>
        <s v="I really like helping colleagues and especially the ones of Digital Power. Also, I would like to get better at it. I mostly focus on hard skills, such as programming, aimed at becoming a more technical consultant, but I won't shy away from advising on the soft skill level."/>
        <s v="To me, Golden Triangles are a safe space (home base) in which we discuss what bothers and excites you, what costs or gives you energy and how you can develop your skills in a way that suits you."/>
        <s v="I like helping people with challenges they face at the client or internally. This can be both soft or hard skill focused. If you put in the effort, I will do everything to support you in reaching your goals."/>
        <s v="I like helping colleagues with their soft skills and consultancy skills. I get energy from interacting with people and hopefully I can help you further in your career. Please schedule a coffee if you want to know more about how I could help you. I strongly believe the Golden Triangle is a helpful tool within Digital Power to develop ourselves.  "/>
        <s v="I get energy from helping other people. I'd like to do this on two levels: TWA hardskills and softstkills. I'd like to pass on my experience with GTM and Relay42. Furthermore, I'd like to help other people with their day to day structure/planning, communication and stakeholder management."/>
        <s v="I like to support/help people in their journey to become a better consultant. In my current Golden Triangles I try to coach a lot on soft skills."/>
        <s v="Been switching between data analytics and techincal web analytics assignments and have a lot of interest in both. Try to focus on on making the work that you do meaningfull for youself and the companies you work for. Relaxed and laidback aproach and willing to support you in terms of content but also on how to approach all different kind of situations."/>
        <s v="I love to help colleagues with their soft skills, but also sparring about how to develop your hard skills is something I really like to do. The Golden Triangle is there for you, so I for me it is also important that I get to know you a bit better on personal level along the way. As a person I'm a strong communicator, social &amp; result-oriented. "/>
        <s v="I like to help colleagues asking the right questions to clients, challanging them to improve their consultancy skills on stakeholdermanagement, strategy, organisation and communication. I try to find people's strengths and challanges by asking questions and listening. Fields of interest/experience in: presenting (on stage), giving trainings, KPI frameworks, experimentation, statistics. "/>
        <s v="Building on the organisation, setting the next step in our growth and my personal growth is the reason I get out of bed in the morning. With my experience in an external role “consultant” at KPMG and the experience within DIP I believe I can help you with critical thinking, being proactive, determine the real question from the client and how to set things into motion. For data hardskills you are not at the right address here:). I look forward to helping you on your development journey!"/>
        <s v="I like helping colleagues who have a focus on their personal development outside the scope of their current role at a client / digital power. I can think strategically with long-term goals in mind, i'm open and honest in my feedback and am someone who naturally tries to look at a story from both sides of a narrative. Also I like to think with a strategic mindset about organizational challenges that may arise at a client. "/>
        <s v="I love helping you grow and see you develop yourself. I've mentored colleagues before in previous jobs and I coach people on a weekly basis in my sports club. Helping you grow step by step energises me, so I'd truly like to help you achieve your (development) goals."/>
        <s v="My interest lies with solving business problems with data. Both hard- and softskills are required to do that and, therefore, I would love to help you achieve your personal goals anywhere within the business-data spectrum in a structured manner. Everything is hard before it is easy!"/>
        <s v="I'm a strong sounding board for my colleagues, providing them with a safe space to share their stories. Through honest guidance and sharing my own experiences, I empower them to navigate similar situations. My consultancy skills allow me to effectively put myself in others' shoes, deeply understanding their perspectives. With my empathy, enthusiasm, and attentive listening, I not only foster a supportive environment but also inspire and motivate my colleagues in their personal development journeys."/>
        <m/>
        <s v="With more than 10 years experience at Digital Power and over 20 years of working experience, I am what you call a dinosaur here. I still get a lot of energy from helping our colleagues getting better. And I will do all in my power to help you achieve your personal goals!" u="1"/>
        <s v="With all the possibilities that are given within Digital Power to develop, it is great to have people thinking together with you about where you want to develop in. I would love to help you think about the steps you want and need to take to accomplish this. " u="1"/>
        <s v="I can help colleagues with their personal development in the broadest sence. Being at Digital Power for almost 7 years now, I know the inns and outs of consultancy, what we as an organisation have as a standard and what our clients expect from us. Besides that, I have been a coach since the origin of our new Development and Rewarding programm and before that as a BM to multiple consultants. In addition, I coach in a pragmatic way. Asking you the right questions so you will eventually answering your own." u="1"/>
        <s v="For me one of the most important aspects in a job is personal development and work happiness. I strongly believe that when we're not happy at work we won't be able develop ourselves and vice versa. Together with you I'd like to explore the opportunities to optimize your work happiness! " u="1"/>
        <s v="Met mijn studie Informatica - specialisatie Business &amp; Data Management heb ik een brede basis in digitale/computer techniek, met als focus dataoplossingen. Mijn nieuwste passie is Cloud Infrastructuur, en binnen DiP gezamenlijk experts worden in Cloud oplossingen is voor mij het hogere doel! Ik help je graag met de kennis die ik heb, maar heb zeker niet alle wijsheid in pacht! Van elkaar leren en kritisch zijn lijkt mij een gezonde en productieve wisselwerking." u="1"/>
        <s v="Ik geloof dat je alles wat je wilt kunt realiseren. Je moet je niet laat tegenhouden door wat anderen zeggen of wat je zelf denkt wat niet mogelijk is. Als persoon ben ik nuchter en direct en ik help jou graag verder met alles waar je tegen aan loopt of wat je nog moeilijk of spannend vindt. Een andere kijk op de zaak kan soms net dat zetje zijn wat je nodig hebt om weer verder te kunnen en juiste route weer te bepalen." u="1"/>
        <s v="Wat mij betreft begint ontwikkeling met een veilig, vertrouwd thuishonk. Zo zie ik de gouden driehoek dan ook voor me; een plek waar we het met elkaar hebben over wat je drijft en dwarszit, en wat je ambities en ontwikkelkansen zijn." u="1"/>
        <s v="Hoi, ik help je graag met je persoonlijke ontwikkeling om jouw werk zo leuk en uitdagend mogelijk te maken. We kunnen ook sparren over vakinhoudelijke onderwerpen en uitdagingen bij de klant. Daarnaast kun je me natuurlijk altijd bellen/appen voor vragen of een leuk gesprek. Ik ben nuchter in mijn aanpak en houd van een grapje tussendoor, maar kan ook serieus zijn als daar behoefte aan is." u="1"/>
        <s v="Een feestje maken van je werk, dat wil toch iedereen? Ik weet dat dat bij DIP mogelijk is. Daarom denk ik graag mee met collega's over hoe ze het meest uit zichzelf en hun opdracht kunnen halen. Ik zal je uitdagen om jezelf ambitieuze maar realistische doelen te stellen." u="1"/>
        <s v="Ik ben een groot fan van een leven lang leren en ben nieuwsgierig naar het onbekende. Als begeleider zal ik je uitdagen om het maximale uit jezelf te halen. Ik geloof dat elke consultant van Digital Power regisseur is van zijn/haar eigen succes, als begeleider kan ik je daarbij ondersteunen." u="1"/>
        <s v="Ik geloof dat jij als DiPper de kracht hebt om jouw ontwikkelpad vorm te geven. Hiermee kan ik jou ondersteunen door te luisteren, kritische vragen te stellen en de juiste training/cursus/ontwikkelpartner te zoeken._x000a__x000a_Hoe? Ik geloof dat het stellen van een stip op de horizon (+- 1jaar) met 3-5 werkbare subdoelen een duidelijke structuur geeft aan je ontwikkelpad op korte en lange termijn. Deze doelen stel je om jezelf richting te geven, niet om ze af te vinken. De ambitie mag groot zijn, de stappen haalbaar." u="1"/>
        <s v="Ik zal vooral proberen te reflecteren en boven tafel krijgen wat je drijft; waar je goed in bent en vooral wat je leuk en belangrijk vindt. Ik ben kritisch, maar alleen als de situatie erom vraagt. Mijn invalshoek zit vooral in consultancy en business zijde en de samenwerkingen die je aangaat binnen opdrachten. Doordat ik al even meeloop en zelf de nodige muren ben tegengekomen, heb ik een breed inlevingsvermogen in ieders situatie." u="1"/>
        <s v="-" u="1"/>
        <s v="Ik vind het leuk om collega’s te begeleiden met vraagstukken op gebied van (meta)communicatie, gestructureerd werken, timemanagement, feedback, dat soort zaken. In mijn opleiding Pedagogiek en mijn werk de afgelopen jaren zijn deze zaken veel aan bod gekomen." u="1"/>
        <s v="Met mijn opleiding in het onderwijs en mijn 5 jaar werkervaring in het aansturen van teams, is de ontwikkeling van anderen een aspect in mijn werk waar ik veel energie van krijg." u="1"/>
        <s v="Doelgerichte Data Analist.  Ervaring in het vaststellen van doelen &amp; KPI's, tagging, analyseren en optimaliseren van verschillende websites. Grote voorstander van redeneren vanuit het (bussiness)probleem om daarbij de juiste middelen en oplossingen te zoeken." u="1"/>
        <s v="Ik zie begeleiding als een proces waarin je anderen helpt om zich bewust te worden van wat je doet, waarom je het doet, waar je naar toe wil, en hoe je daar kunt komen. Als begeleider zal ik je dus vooral veel vragen stellen om jou te helpen erachter te komen wat je echt belangrijk vindt en wat je nodig hebt om verder te groeien." u="1"/>
        <s v="Ik werk nu zo'n 2.5 jaar bij Digital Power, en ben hier via de overname van Adversitement terecht gekomen. Voordat ik bij Adversitement begon, heb ik een PhD gedaan en hierbinnen veel afstudeerders begeleid. Ik  vind kennisdeling (in sessies / teams / 1 op 1) een heel belangrijke bron voor ontwikkeling binnen het domein. Zo heb ik zelf veel geleerd, en ben ook enthousiast om mijn eigen kennis te delen." u="1"/>
        <s v="Ontwikkelen doe je zelf en ik ben er om je daarbij de juiste handvatten te bieden. Dit door het stellen van vragen, inzichten geven, inspireren, situaties in een ander licht zetten of slechts door te luisteren om zo je in jouw kracht te zetten. Ik ben doelgericht en zet grote ambities graag om naar concrete realistische stappen." u="1"/>
        <s v="Hi, ik ben Rob! inmiddels werk ik 5+ jaar bij digital power en is het mijn doel om data toegankelijker te maken voor iedereen. Bij digital power begonnen als webanalist, en doorontwikkeld als data analist en technisch webanalist. Mijn ideale positie is het combineren van tagmanagement, data analyse en de visualisatie hiervan. Buiten werk ga ik graag boulderen, hardlopen, gitaar spelen, of lezen. " u="1"/>
        <s v="Ik hou van duidelijkheid, vandaar dat ik ook ben gaan verdiepen in KPIs. Maar daarnaast heb ik veel ervaring gekregen in consultancy en softskills. Natuurlijk ben ik niet de beste maar denk wel dat ik jullie goed kan helpen!" u="1"/>
        <s v="Ik kan je mogelijk helpen met dingen zoals data science, data scientist of technisch data analist worden, data-organisatie, (team)management, consultancy vaardigheden, en wellicht nog wat andere dingen. Stuur me vooral een berichtje of bel even als je denkt dat ik iets voor je zou kunnen betekenen, dan kunnen we praten over hoe en wat :)" u="1"/>
        <s v="Door op een respectvolle manier te focussen op het individu, behaal je collectief succes! In mijn werk met anderen probeer ik creativiteit, empathie en resultaat te combineren. Door eerst te luisteren probeer ik je daarna met een open blik te helpen. Dat verwacht ik van beide kanten. Ik ben een fixer en sta altijd voor je klaar!" u="1"/>
        <s v="Een aantal jaar geleden ben ik vanuit een compleet ander vakgebied (bestuurskunde en internationale betrekkingen) overgegaan naar UX Design. Dit ging met een aantal omweggetjes en een bootcamp van 10 maanden. Ik weet inmiddels het een en ander over hoe het is om je een nieuw vakgebied eigen te maken en erachter te komen waar je passie ligt. Hier kunnen we samen over sparren. Maar uiteraard ook inhoudelijk over het onderzoeken en ontwerpen van de best mogelijke gebruikersinterface. Alles op een lekker informele manier maar wel met de nodige focus 🚀" u="1"/>
        <s v="Je prettig voelen en plezier hebben in je werk vindt ik het belangrijkste. Iedereen zou het werk moeten kunnen doen waar diegene zich het prettigst bij voelt. Voor mijzelf houdt dat onder andere in dat ik steeds iets nieuws blijf leren, omdat ik het anders saai ga vinden. Maar ook dat ik collega's kan begeleiden en zien dat zij zich ontwikkelen in het werk en hier meer zelfvertrouwen in krijgen." u="1"/>
        <s v="Momenteel ben ik met zwangerschapsverlof" u="1"/>
        <s v="Ik vind het belangrijk dat je als consultant zelf verantwoordelijkheid neemt voor je eigen ontwikkeling. De invulling hiervan kan wat mij betreft divers zijn, het is m.n. belangrijk dat je er achter komt wat voor jou persoonlijk werkt. Professionele ontwikkeling gaat wat mij betreft hand in hand samen met persoonlijke groei. Ik ben zelf zij-instromer. Vanuit mijn oude rol als muziekdocent heb ik affiniteit met ontwikkeling en didactiek." u="1"/>
        <s v="Ik zie ontwikkeling als het constant ontdekken van nieuwe manieren en methoden om handmatig werk te automatiseren. Door nauw samen te werken met collega’s leer je van elkaar om tot de meest efficiënte oplossingen te komen." u="1"/>
        <s v="Consultant met een passie voor techniek die graag met en voor de klant aan de slag gaat met hun uitdagingen. Help je graag verder met je persoonlijke groei! Kijk enorm uit om weer live optredens te gaan bezoeken bij de kleinere podia!" u="1"/>
        <s v="Ik denk dat ontwikkeling altijd plaatsvindt, bewust of onbewust. Om hier sturing aan te geven (want dat kan zeker wel) is het belangrijkste om jezelf de volgende vragen te stellen: &quot;Wat wil ik uiteindelijk bereiken?&quot; &quot;Welke handvatten heb ik nodig om daar te geraken?&quot; Daar wil ik bij helpen en die handvatten wil ik graag aanreiken. Dat doe ik op basis van maatwerk, want hoe je leert en ontwikkelt werkt verschillend voor ieder persoon." u="1"/>
        <s v="Wil je gewoon eens nuchter maar toch kritisch kijken naar bepaalde zaken of eens discussiëren over hoe je een volgende stap zou kunnen zetten? Misschien kan ik je daarbij helpen! Verwacht van mij geen technische inhoud of blik, maar iemand die je helpt om zaken van een andere invalshoek te bekijken." u="1"/>
        <s v="While I can support you with growing further in the TWA domain, though not very in depth technically, my &quot;talents&quot; are with translating business requirements  into technical specifications, managing projects, teams, client expectations, etc. If you feel that you need to develop yourself more as a consultant on the soft side of things I would love to join your journey." u="1"/>
        <s v="Samen zoeken naar een oplossing om je boodschap onder de aandacht te brengen, je werkzaamheden echt betekenis te geven en hiermee je verdere ontwikkeling vorm te geven...daar ligt voor ons de mogelijkheid om samen te starten!" u="1"/>
        <s v="Sinds 3 jaar werk ik bij DiP, als data scientist/analyst. Hiervoor heb ik 7 jaar bij Albert Heijn gewerkt in een proces/project-management rol. Inhoudelijk focus ik me op wat de opdracht vraagt, en heb me op die manier in veel nieuwe methodes/modellen/talen kunnen ontwikkelen.  _x000a_Mijn focus ligt eigenlijk meer op de vertaling van analyses of modellen naar praktisch nut en toepassing door te luisteren naar de klant en behoeftes te anticperen obv ervaring. &quot;Zaken waarin ik jou kan helpen zijn; hoe haal je meer uit je opdracht_x000a_hoe voeg je waarde toe als consultant, hoe richt je dagelijkse werkzaamheden om naar lange termijn doelen te werken, stakeholdermanagement, communicatie, commercieel denken, project management, proces ontwikkeling, operationaliseren van nieuwe analyses, processen etc. evaluaties&quot;" u="1"/>
        <s v="Ik probeer als klankbord te fungeren en hier en daar heb ik hopelijk wat tips. Ontwikkelen doe je uiteindelijk zelf." u="1"/>
        <s v="Je bent vrij om zelf te bepalen hoe jij je wilt ontwikkelen. Ik kan helpen meedenken over bepaalde keuzes en opdrachten." u="1"/>
        <s v="Jezelf ontwikkelen is vaak spannend en gaaf tegelijkertijd. Daarom help ik je om het vertrouwen in jezelf te hebben en vanuit een positieve mindset de volgende stap te (durven) zetten. Je kunt van mij naast mijn coaching ervaring een hoop energie, doelgerichtheid en transparantie verwachten." u="1"/>
        <s v="Als data scientist/beginnend data engineer vind ik het leuk om een ander te helpen met het uitstippelen van een ontwikkelingspad binnen hun domein dat uitdagend, maar realistisch is. Hierin is het natuurlijk het belangrijkst dat deze ontwikkeling de consultant stimuleert en dat deze bovenal gewoon heel tof is om te doorlopen." u="1"/>
        <s v="Als data scientist met een marketing achtergrond focus ik mij op het halen van zoveel mogelijk inzichten uit allerlei soorten data. Bij het bouwen van mijn oplossingen onderhoud ik continue contact met de stakeholders zodat mijn oplossingen ook daadwerkelijk gebruikt gaan worden in de werkelijkheid, zonder toepasbaarheid is je model eigenlijk niets waard. Luisteren is daarbij het keyword, en luisteren doe ik graag, ook naar jou als collega. Het is mijn doel om jou je beste ik te laten worden, wie dat dan ook is en in welke vorm dan ook. Ik zal mij niet beperken tot mijn eigen achtergrond, want mijn eigen pad hoeft niet jouw ideale toekomst te zijn." u="1"/>
        <s v="Zelfontwikkeling is heel leuk en wil ik graag stimuleren! Ik geloof dat als je doet waar je hart sneller van gaat kloppen, je een gelukkiger mens wordt. Vooral op soft skills, sparren en meedenken in mogelijkheden kan ik een toegevoegde waarde voor je zijn." u="1"/>
        <s v="While I can support you with growing further in the TWA domain, though not very in depth technically, my &quot;talents&quot; are with translating business requirements  into technical specifications, managing client expectations, projects, teams, etc. If you feel that you need to develop yourself more as a consultant on the soft skills side of things I would love to join your journey." u="1"/>
        <s v="Vanuit mijn technische achtergrond ben ik de afgelopen jaren richting de commerciële en management kant gegaan. Ondanks dat ik graag met technische collega’s samenwerk zie ik daarbij juist het belang om jezelf te ontwikkelen als consultant. Daar wil ik graag bij helpen!" u="1"/>
      </sharedItems>
    </cacheField>
    <cacheField name="What are your primairy hardskills? (optional)" numFmtId="49">
      <sharedItems containsNonDate="0" containsBlank="1" count="61" longText="1">
        <s v="Metrics &amp; Onderzoek"/>
        <s v="TMS, App analytics, Privacy, GDPR"/>
        <s v="Coaching, goal setting, KPI developing, project management, stakeholder management"/>
        <s v="Google Analytics, Python (mostly data analysis), dashboarding, KPI frameworks"/>
        <s v="Interviewing skills, CV, English"/>
        <s v="KPI setting_x000a_CX - quantative research; A/B testing, preference test, card sorting, etc._x000a_DA - SQL, dashboarding, web analytics"/>
        <s v="Webanalytics (Google Analytics), SQL, BigQuery, dashboarding "/>
        <s v="Python, docker, DevOps"/>
        <s v="Webanalytics (Google Analytics), SQL, BigQuery, Python"/>
        <s v="PowerPoint Skills, SQL (Google BigQuery), Google Looker"/>
        <s v="Python, Azure, GCP"/>
        <m/>
        <s v="Web analytics, Dashboarding, Marketing analytics"/>
        <s v="Data strategy, projectmanagement, Product Owner, interviewing, "/>
        <s v="Google Tag Manager, GDPR, Google Analytics, Relay42, Debugging"/>
        <s v="Google Analytics, Adobe Analytics"/>
        <s v="GTM, Google Analytics, Adobe Analytics, SQL"/>
        <s v="SQL, BigQuery, dbt, Web Analytics (GA &amp; AA), git, dashboarding"/>
        <s v="SQL, BigQuery, Web Analytics (GA &amp; AA), CX tools (experimentation, usability, heatmaps, usability tools), Python, R"/>
        <s v="Finance"/>
        <s v="SQL, GCP, DBT, Dashboarding(looker, powerbi), GIT"/>
        <s v="Qualitative research methods, like UX research, interviewing, surveys, etc."/>
        <s v="Adobe Analytics, Google Analytics, Power BI, BigQuery, dashboarding, data management"/>
        <s v="Data Analytics, GA4, Dashboarding, GTM"/>
        <s v="Webanalytics (Google Analytics), SQL, BigQuery" u="1"/>
        <s v="Interviewing skills " u="1"/>
        <s v="Python, SQL/NoSQL, Docker, Airflow, Cloud Infra - GCP/AWS" u="1"/>
        <s v="Data analyse, reporting, strategie, KPI's" u="1"/>
        <s v="Ik heb me aangemeld als soft skill-begeleider dus ik sla deze over." u="1"/>
        <s v="Dashboarding (Tableau, PowerBI, Datastudio) , Web &amp; Data Analytics (GA, Excel), Marketing Analytics (google stack, facebook ads), KPI Frameworks" u="1"/>
        <s v="PowerBI, QlikSense, Adobe Analytics, Excel" u="1"/>
        <s v="Adobe Analytics, Google Analytics, Excel" u="1"/>
        <s v="Python_x000a_Virtualisatie/containerisatie_x000a_Development op Azure Platform_x000a_Machine Learning" u="1"/>
        <s v="" u="1"/>
        <s v="Adobe Analytics, Google Analytics, tagmanagent, Powerbi" u="1"/>
        <s v="Adobe Analytics, A/B testen, kwalitatief onderzoek" u="1"/>
        <s v="Python, bash, docker, cloud, git" u="1"/>
        <s v="Google Analytics, Adobe Analytics, A/B testing, kwalitatief onderzoek" u="1"/>
        <s v="nvt" u="1"/>
        <s v="Excel, Powerpoint, Outlook :)" u="1"/>
        <s v="Onderzoek doen, kwalitatief en kwantitatief, van onderzoeksvraag, onderzoeksdesign, dataverzameling en analyse tot advies en implementatie" u="1"/>
        <s v="Google Analytics, Google BigQuery, Python, SQL, Google Data Studio, Google Tag Manager" u="1"/>
        <s v="Design, onderzoek" u="1"/>
        <s v="Coaching, goal setting, KPI developing, project managament, stakeholder management" u="1"/>
        <s v="Afas, salarisadministratie, facturatie" u="1"/>
        <s v="SQL, Analytics Tools, A/B Tools, Flutter, Python" u="1"/>
        <s v="Adobe Analytics, Google Analytics, Google Data Studio, Google Tag Manager, Excel,_x000a_Power BI, Optimizely, Optimize,  AB tasty, Hotjar, Mopinion, Usabilla_x000a_Basiskennis: HTML, CSS, Javascript, SQL" u="1"/>
        <s v="Modellering (regressies, clustering, random forests, attributie, etc.)_x000a_NLP _x000a_Social analyses_x000a_SQL/Bigquery/Etc" u="1"/>
        <s v="TMS, GA, AA, Powerbi" u="1"/>
        <s v="Javascript (ook HTML/CSS), Tag Management en Python" u="1"/>
        <s v="AFAS ;-)" u="1"/>
        <s v="modelleren, programmeren, analyseren" u="1"/>
        <s v="Adobe Analytics" u="1"/>
        <s v="Javascript, tag management, Python" u="1"/>
        <s v="Adobe Analytics, Tag managers (Tealium, GTM, Launch), Statistiek, onderzoeksmethoden (laatste 2 uit eerdere banen)" u="1"/>
        <s v="Coaching, goal setting, KPI developing, project managament " u="1"/>
        <s v="Python, SQL, Microsoft Azure, Modelleren, Statistiek" u="1"/>
        <s v="Zaken waarin ik jou kan helpen zijn; hoe haal je meer uit je opdracht_x000a_hoe voeg je waarde toe als consultant, hoe richt je dagelijkse werkzaamheden om naar lange termijn doelen te werken, stakeholdermanagement, communicatie, commercieel denken, project management, proces ontwikkeling, operationaliseren van nieuwe analyses, processen etc. evaluaties" u="1"/>
        <s v="Analytics in het algemeen_x000a_Reporting/Dashboarding_x000a_Excel_x000a_PowerBI" u="1"/>
        <s v="(web) data analyse (tools), data verzameling (requirements, meetplannen), AVG ( en ethiek)" u="1"/>
        <s v="Javascript_x000a_Adobe Analytics_x000a_Tealium" u="1"/>
      </sharedItems>
    </cacheField>
    <cacheField name="What are your primairy softskills? (optional)" numFmtId="0">
      <sharedItems containsNonDate="0" containsBlank="1" count="54" longText="1">
        <s v=""/>
        <s v="Analytical insight, creating processes, communication"/>
        <s v="Experienced in Stakeholder Management, Project Management, setting (development) goals, presenting, KPIs, and due to my years at Digital Power I know a lot about this organisation.  "/>
        <s v="Stakeholder management, communication and efficient working"/>
        <s v="Setting boundaries, expressing needs, communication, feedback"/>
        <s v="Stakeholder-, project-, and time management"/>
        <s v="Planning, time management, stakeholder management"/>
        <s v="(pro-active) communication and time management"/>
        <s v="Presenting, communication, stakeholder management"/>
        <s v="Presenting, Project management, communication, stakeholdemanagement, "/>
        <s v="Stakeholder management, planning"/>
        <s v="Communication, planning and organization, stakeholder management, goal-setting, managing a healthy work-life balance, presenting/facilitating all sorts of workshops"/>
        <s v="Communication, stakeholder management, storytelling"/>
        <s v="Consultancy skills, stakeholder management, communication, critical thinking, presenting, project management, "/>
        <s v="Communication, organisation/structure, presenting, stakeholder management and positive thinking"/>
        <s v="Communication, presenting, stakeholder management, politics, project management"/>
        <s v="communication, reflection, process adjustments"/>
        <s v="communication, consultancy, stakeholder management, expectation management"/>
        <s v="communication, consultancy, stakeholder management, expectation management, feedback, storytelling"/>
        <s v="Critical &amp; positive thinking, communication, being proactive, feedback"/>
        <s v="Presenting, Project management, priority setting"/>
        <s v="Communication, critical thinking, analytical insight,  goal-setting, managing a healthy work-life balance, presenting/facilitating all sorts of workshops"/>
        <s v="Critical thinking, analytical, decisive, resourceful, adaptable, organized"/>
        <s v="Attentive listener, consultancy, stakeholder management, expectation management"/>
        <m/>
        <s v="NLP (Neuro Linguistic Programming), (strategic) communication, public speaking, stakeholder mngt, managing expectations, entrepreneurship" u="1"/>
        <s v="Planning, time management" u="1"/>
        <s v="(Gentle) communication, coaching, feedback" u="1"/>
        <s v="Kritisch- en probleemoplossend denken, duidelijk communiceren" u="1"/>
        <s v="Kansen creëren, nieuwe uitdagingen aangaan, plezier hebben in mijn werk" u="1"/>
        <s v="Communicatief, zorgvuldig, betrouwbaar, doelgericht" u="1"/>
        <s v="Presenteren, Requirements ophalen bij stakeholders, Samenwerken, Agile werkmethodiek, Doelgerichtheid" u="1"/>
        <s v="Stakeholdermanagement, gestructureerd werken" u="1"/>
        <s v="Leergierig, Communicatie, Gedrevenheid, Klantgerichtheid, Aanpassingsvermogen" u="1"/>
        <s v="Verwachtingen managen_x000a_Time management_x000a_Invoelend vermogen_x000a_Leerpad bepalen" u="1"/>
        <s v="Communicatie met de klant, klant begeleiden in het kiezen van de beste oplossing, presenteren" u="1"/>
        <s v="Verantwoordelijkheidsgevoel, dienstverlenend, empathisch, creatief en humor." u="1"/>
        <s v="Leergierig, probleem-oplossing, betrouwbaar en flexibel" u="1"/>
        <s v="Communicatie, reflectie" u="1"/>
        <s v="Kritisch- en probleemoplossend denken, veerkrachtig, interpersoonlijke communicatie" u="1"/>
        <s v="data gedreven werken inkneden, organisatie sensitiviteit, strategie, verandermanagement" u="1"/>
        <s v="Omdenken, probleemoplossend, commercieel denken" u="1"/>
        <s v="coöperatief, kritisch, creatief, doorzettend" u="1"/>
        <s v="feedback geven en ontvangen, timemanagement, oplossingsgericht denken" u="1"/>
        <s v="oplossingsgericht, kritisch als het moet, creatief" u="1"/>
        <s v="organiseren, dingen gedaan krijgen in een organisatie, strategisch denken, kansen zien en de klant blij maken, anderen helpen met ontwikkeling" u="1"/>
        <s v="Communicatie, Integer, Nieuwsgierig, Ownership, Oplossingsgerecht" u="1"/>
        <s v="Plannen, gestructureerd werken, luisteren, samenwerken" u="1"/>
        <s v="Proces opzetten, probleemoplossend denken, feedback geven en ontvangen" u="1"/>
        <s v="Zaken waarin ik jou kan helpen zijn; hoe haal je meer uit je opdracht_x000a_hoe voeg je waarde toe als consultant, hoe richt je dagelijkse werkzaamheden om naar lange termijn doelen te werken, stakeholdermanagement, communicatie, commercieel denken, project management, proces ontwikkeling, operationaliseren van nieuwe analyses, processen etc. evaluaties" u="1"/>
        <s v="Problem Solving_x000a_Critical Thinking" u="1"/>
        <s v="Coaching verwachtingen managen_x000a_Je eigen werkruimte bij een klant creeeren_x000a_Vertrouwen" u="1"/>
        <s v="Structuur in je werk, Overtuigen, Proactiviteit, Oplossingsgericht denken, Management" u="1"/>
        <s v="Communicatie, Projectmanagement, Stakeholdermanagement, Psychologie, Contracten" u="1"/>
      </sharedItems>
    </cacheField>
    <cacheField name="Name some assignments you have completed thus far (functiontitel - company). (optional)" numFmtId="49">
      <sharedItems containsNonDate="0" containsBlank="1"/>
    </cacheField>
    <cacheField name="Paste a link to your LinkedIn profile. (optional)" numFmtId="49">
      <sharedItems containsNonDate="0" containsBlank="1"/>
    </cacheField>
  </cacheFields>
  <extLst>
    <ext xmlns:x14="http://schemas.microsoft.com/office/spreadsheetml/2009/9/main" uri="{725AE2AE-9491-48be-B2B4-4EB974FC3084}">
      <x14:pivotCacheDefinition pivotCacheId="362227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s v="Man"/>
    <x v="0"/>
    <x v="0"/>
    <s v=""/>
    <s v=""/>
    <s v="Customer Experience"/>
    <s v=""/>
    <s v=""/>
    <s v=""/>
    <s v=""/>
    <s v=""/>
    <n v="7"/>
    <n v="7"/>
    <x v="0"/>
    <x v="0"/>
    <x v="0"/>
    <s v="Product Analytics - KLM, Data Analyst - PostNL, Analyst - Vesteda"/>
    <s v="https://www.linkedin.com/in/bastiaanboel/"/>
  </r>
  <r>
    <x v="1"/>
    <m/>
    <x v="1"/>
    <x v="1"/>
    <m/>
    <m/>
    <m/>
    <m/>
    <m/>
    <m/>
    <m/>
    <m/>
    <n v="4"/>
    <n v="5"/>
    <x v="1"/>
    <x v="1"/>
    <x v="1"/>
    <s v="TWA - Univé, TWA - Boels, TWA - Vodafone"/>
    <s v="https://www.linkedin.com/in/bramooms/"/>
  </r>
  <r>
    <x v="2"/>
    <s v="Man"/>
    <x v="2"/>
    <x v="2"/>
    <s v=""/>
    <s v=""/>
    <s v=""/>
    <s v="Data Analytics"/>
    <s v=""/>
    <s v=""/>
    <s v="Staff"/>
    <s v=""/>
    <s v="+10"/>
    <n v="20"/>
    <x v="2"/>
    <x v="2"/>
    <x v="2"/>
    <s v="Product Owner - Philips, Senior Web Analist - KPN"/>
    <s v="https://www.linkedin.com/in/rogierkamer/"/>
  </r>
  <r>
    <x v="3"/>
    <m/>
    <x v="1"/>
    <x v="3"/>
    <m/>
    <m/>
    <m/>
    <m/>
    <m/>
    <m/>
    <m/>
    <m/>
    <n v="3"/>
    <n v="9"/>
    <x v="3"/>
    <x v="3"/>
    <x v="3"/>
    <s v="Web and Data Analyst - Maiburg, Business Analyst Marketing - ANWB Retail, Data Analyst + PO - Boels Rental"/>
    <m/>
  </r>
  <r>
    <x v="4"/>
    <m/>
    <x v="3"/>
    <x v="4"/>
    <m/>
    <m/>
    <m/>
    <m/>
    <m/>
    <m/>
    <m/>
    <m/>
    <s v="1.5"/>
    <s v="2.5"/>
    <x v="4"/>
    <x v="4"/>
    <x v="4"/>
    <s v="Teaching at primary schools (through the Data Hub)"/>
    <s v="https://www.linkedin.com/in/sandhya-van-kordelaar/"/>
  </r>
  <r>
    <x v="5"/>
    <m/>
    <x v="1"/>
    <x v="0"/>
    <m/>
    <m/>
    <m/>
    <m/>
    <m/>
    <m/>
    <m/>
    <m/>
    <n v="4.7780821917808218"/>
    <n v="9.3232876712328761"/>
    <x v="5"/>
    <x v="5"/>
    <x v="5"/>
    <s v="Business/UX analyst - CitizenM, Product owner - ANWB, Data analyst - PostNL"/>
    <s v="https://www.linkedin.com/in/chantal-snijder/"/>
  </r>
  <r>
    <x v="6"/>
    <m/>
    <x v="3"/>
    <x v="5"/>
    <m/>
    <m/>
    <m/>
    <m/>
    <m/>
    <m/>
    <m/>
    <m/>
    <n v="4"/>
    <n v="5"/>
    <x v="6"/>
    <x v="6"/>
    <x v="6"/>
    <s v="Data specialist - ABN AMRO, Data analyst - NRC, Data analyst - Eneco"/>
    <s v="https://www.linkedin.com/in/sanne-kieftenburg/"/>
  </r>
  <r>
    <x v="7"/>
    <m/>
    <x v="1"/>
    <x v="6"/>
    <m/>
    <m/>
    <m/>
    <m/>
    <m/>
    <m/>
    <m/>
    <m/>
    <n v="1"/>
    <n v="2"/>
    <x v="7"/>
    <x v="7"/>
    <x v="7"/>
    <s v="Python Developer - NDW, Data Engineer - ADHDCentraal"/>
    <s v="https://www.linkedin.com/in/myrthelammerse/"/>
  </r>
  <r>
    <x v="8"/>
    <m/>
    <x v="1"/>
    <x v="3"/>
    <m/>
    <m/>
    <m/>
    <m/>
    <m/>
    <m/>
    <m/>
    <m/>
    <n v="2"/>
    <n v="4.5"/>
    <x v="8"/>
    <x v="8"/>
    <x v="8"/>
    <s v="Digital Analyst - Schiphol, Digital Analyst - Vattenfall, Data Analist - McMakler"/>
    <s v="https://www.linkedin.com/in/dpfgdegroot/"/>
  </r>
  <r>
    <x v="9"/>
    <m/>
    <x v="1"/>
    <x v="7"/>
    <m/>
    <m/>
    <m/>
    <m/>
    <m/>
    <m/>
    <m/>
    <m/>
    <n v="0"/>
    <n v="7"/>
    <x v="9"/>
    <x v="9"/>
    <x v="9"/>
    <s v="- Data analist bol.com (previous job)_x000a_- Project manager bol.com (previous job)_x000a_- Team lead data EnergyZero (DiP)"/>
    <s v="https://www.linkedin.com/in/leonkooijman/"/>
  </r>
  <r>
    <x v="10"/>
    <m/>
    <x v="4"/>
    <x v="6"/>
    <m/>
    <m/>
    <m/>
    <m/>
    <m/>
    <m/>
    <m/>
    <m/>
    <n v="2"/>
    <n v="4"/>
    <x v="10"/>
    <x v="10"/>
    <x v="10"/>
    <s v="Data Engineer - DNB, Van der Valk, FysioHolland, Otis"/>
    <s v="https://www.linkedin.com/in/roy-klip/"/>
  </r>
  <r>
    <x v="11"/>
    <m/>
    <x v="4"/>
    <x v="8"/>
    <m/>
    <m/>
    <m/>
    <m/>
    <m/>
    <m/>
    <m/>
    <m/>
    <n v="5"/>
    <n v="5"/>
    <x v="11"/>
    <x v="11"/>
    <x v="11"/>
    <s v="Former Data Scientist, founder and chair of Datahub foundation"/>
    <s v="https://www.linkedin.com/in/marieke-schulte/"/>
  </r>
  <r>
    <x v="12"/>
    <m/>
    <x v="3"/>
    <x v="9"/>
    <m/>
    <m/>
    <m/>
    <m/>
    <m/>
    <m/>
    <m/>
    <m/>
    <n v="5"/>
    <n v="5"/>
    <x v="12"/>
    <x v="12"/>
    <x v="12"/>
    <s v="Univé, Emakina, Miele, ABN AMRO. Data analysis / business analysis roles"/>
    <s v="https://www.linkedin.com/in/menno-steenbergen/"/>
  </r>
  <r>
    <x v="13"/>
    <m/>
    <x v="4"/>
    <x v="10"/>
    <m/>
    <m/>
    <m/>
    <m/>
    <m/>
    <m/>
    <m/>
    <m/>
    <n v="8"/>
    <n v="15"/>
    <x v="13"/>
    <x v="13"/>
    <x v="13"/>
    <m/>
    <m/>
  </r>
  <r>
    <x v="14"/>
    <m/>
    <x v="4"/>
    <x v="1"/>
    <m/>
    <m/>
    <m/>
    <m/>
    <m/>
    <m/>
    <m/>
    <m/>
    <n v="2"/>
    <n v="5"/>
    <x v="14"/>
    <x v="14"/>
    <x v="14"/>
    <s v="TWA - McMakler, TWA - Boels, TWA - Transavia"/>
    <s v="https://www.linkedin.com/in/benvandeburgt/"/>
  </r>
  <r>
    <x v="15"/>
    <m/>
    <x v="4"/>
    <x v="5"/>
    <m/>
    <m/>
    <m/>
    <m/>
    <m/>
    <m/>
    <m/>
    <m/>
    <n v="9"/>
    <s v="10+"/>
    <x v="15"/>
    <x v="15"/>
    <x v="15"/>
    <s v="Please check LinkedIn --&gt;"/>
    <s v="https://www.linkedin.com/in/renewesterdijk/"/>
  </r>
  <r>
    <x v="16"/>
    <m/>
    <x v="1"/>
    <x v="11"/>
    <m/>
    <m/>
    <m/>
    <m/>
    <m/>
    <m/>
    <m/>
    <m/>
    <n v="6"/>
    <n v="7"/>
    <x v="16"/>
    <x v="16"/>
    <x v="16"/>
    <s v="signify, anwb, postnl, miele, kpn"/>
    <s v="https://www.linkedin.com/in/roelcools/"/>
  </r>
  <r>
    <x v="17"/>
    <m/>
    <x v="3"/>
    <x v="12"/>
    <m/>
    <m/>
    <m/>
    <m/>
    <m/>
    <m/>
    <m/>
    <m/>
    <n v="4"/>
    <n v="7"/>
    <x v="17"/>
    <x v="17"/>
    <x v="17"/>
    <s v="Analytics Engineer: Bol.com, TM Forum, America Today_x000a_Data Analist: Vattenfall, KPN, SpareRibExpress, Robeco, LMC"/>
    <s v="https://www.linkedin.com/in/jelmer-van-leeuwen/"/>
  </r>
  <r>
    <x v="18"/>
    <m/>
    <x v="4"/>
    <x v="13"/>
    <m/>
    <m/>
    <m/>
    <m/>
    <m/>
    <m/>
    <m/>
    <m/>
    <n v="4"/>
    <n v="7"/>
    <x v="18"/>
    <x v="18"/>
    <x v="18"/>
    <s v="Product analytics @ Bol, Experimentation analyst @ Kramp, Experimentation consultant @ Nike, Web Analyst @ ANWB, Web Analyst @ KPN, Analytics consultant @ KWF"/>
    <s v="https://www.linkedin.com/in/youpvandergraaf/"/>
  </r>
  <r>
    <x v="19"/>
    <m/>
    <x v="5"/>
    <x v="14"/>
    <m/>
    <m/>
    <m/>
    <m/>
    <m/>
    <m/>
    <m/>
    <m/>
    <n v="5"/>
    <s v="10+"/>
    <x v="19"/>
    <x v="19"/>
    <x v="19"/>
    <s v="Senior Audit @ KPMG, Business controller @ Digital Power, Finance Manager @ Digital Power"/>
    <s v="https://nl.linkedin.com/in/rick-snijder-7b449947"/>
  </r>
  <r>
    <x v="20"/>
    <m/>
    <x v="5"/>
    <x v="15"/>
    <m/>
    <m/>
    <m/>
    <m/>
    <m/>
    <m/>
    <m/>
    <m/>
    <n v="1"/>
    <n v="5"/>
    <x v="20"/>
    <x v="20"/>
    <x v="20"/>
    <s v="Analytics engineer: Vesteda, Boels_x000a_Data analist: ASML, BAM_x000a_project management: ASML,"/>
    <s v="https://www.linkedin.com/in/jelledeblaauw/"/>
  </r>
  <r>
    <x v="21"/>
    <m/>
    <x v="6"/>
    <x v="16"/>
    <m/>
    <m/>
    <m/>
    <m/>
    <m/>
    <m/>
    <m/>
    <m/>
    <n v="1"/>
    <s v="10+"/>
    <x v="21"/>
    <x v="21"/>
    <x v="21"/>
    <s v="Researcher @ Robeco, DDMA, Resto VanHarte"/>
    <s v="https://www.linkedin.com/in/mlpvaarwerk/"/>
  </r>
  <r>
    <x v="22"/>
    <m/>
    <x v="5"/>
    <x v="17"/>
    <m/>
    <m/>
    <m/>
    <m/>
    <m/>
    <m/>
    <m/>
    <m/>
    <n v="3"/>
    <n v="5"/>
    <x v="22"/>
    <x v="22"/>
    <x v="22"/>
    <s v="Web Analyst @ING,  Data Analyst @KWF, Web Analyst @VGZ, App Analyst @ANWB, Data Expert @LFI(RIVM)"/>
    <s v="https://www.linkedin.com/in/nielsbosmans/"/>
  </r>
  <r>
    <x v="23"/>
    <m/>
    <x v="7"/>
    <x v="18"/>
    <m/>
    <m/>
    <m/>
    <m/>
    <m/>
    <m/>
    <m/>
    <m/>
    <n v="5"/>
    <n v="8"/>
    <x v="23"/>
    <x v="23"/>
    <x v="23"/>
    <s v="Web Analyst @ Univé &amp; Emakina &amp; TM Forum &amp; Vattenfall &amp; Eneco_x000a_Consultant @DNB_x000a_Projectleader @ ANWB &amp; Eneco Belgium"/>
    <s v="https://www.linkedin.com/in/jasmijnkoster/"/>
  </r>
  <r>
    <x v="24"/>
    <m/>
    <x v="1"/>
    <x v="19"/>
    <m/>
    <m/>
    <m/>
    <m/>
    <m/>
    <m/>
    <m/>
    <m/>
    <n v="10"/>
    <n v="10"/>
    <x v="24"/>
    <x v="11"/>
    <x v="2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64AEC1-65D7-45A6-ACE3-E8DFB3217A27}" name="PivotTable1" cacheId="672" applyNumberFormats="0" applyBorderFormats="0" applyFontFormats="0" applyPatternFormats="0" applyAlignmentFormats="0" applyWidthHeightFormats="1" dataCaption="Values" updatedVersion="8" minRefreshableVersion="3" showDrill="0" useAutoFormatting="1" rowGrandTotals="0" colGrandTotals="0" itemPrintTitles="1" createdVersion="7" indent="0" compact="0" compactData="0" multipleFieldFilters="0">
  <location ref="A10:F27" firstHeaderRow="1" firstDataRow="1" firstDataCol="6"/>
  <pivotFields count="19">
    <pivotField axis="axisRow" compact="0" outline="0" subtotalTop="0" showAll="0" defaultSubtotal="0">
      <items count="63">
        <item m="1" x="46"/>
        <item x="24"/>
        <item m="1" x="58"/>
        <item m="1" x="60"/>
        <item m="1" x="47"/>
        <item m="1" x="37"/>
        <item m="1" x="57"/>
        <item x="0"/>
        <item m="1" x="59"/>
        <item m="1" x="41"/>
        <item m="1" x="33"/>
        <item m="1" x="55"/>
        <item m="1" x="27"/>
        <item m="1" x="28"/>
        <item m="1" x="25"/>
        <item m="1" x="56"/>
        <item x="23"/>
        <item m="1" x="44"/>
        <item m="1" x="39"/>
        <item m="1" x="53"/>
        <item x="11"/>
        <item m="1" x="62"/>
        <item m="1" x="48"/>
        <item m="1" x="36"/>
        <item m="1" x="29"/>
        <item m="1" x="54"/>
        <item m="1" x="38"/>
        <item m="1" x="42"/>
        <item m="1" x="30"/>
        <item m="1" x="32"/>
        <item m="1" x="50"/>
        <item m="1" x="61"/>
        <item m="1" x="52"/>
        <item x="15"/>
        <item m="1" x="43"/>
        <item m="1" x="35"/>
        <item m="1" x="49"/>
        <item x="16"/>
        <item x="2"/>
        <item m="1" x="31"/>
        <item m="1" x="45"/>
        <item m="1" x="34"/>
        <item m="1" x="40"/>
        <item m="1" x="51"/>
        <item x="1"/>
        <item x="3"/>
        <item x="4"/>
        <item m="1" x="26"/>
        <item x="5"/>
        <item x="6"/>
        <item x="7"/>
        <item x="8"/>
        <item x="9"/>
        <item x="10"/>
        <item x="12"/>
        <item x="13"/>
        <item x="14"/>
        <item x="17"/>
        <item x="18"/>
        <item x="19"/>
        <item x="20"/>
        <item x="21"/>
        <item x="22"/>
      </items>
    </pivotField>
    <pivotField compact="0" outline="0" showAll="0" defaultSubtotal="0"/>
    <pivotField axis="axisRow" compact="0" outline="0" subtotalTop="0" showAll="0" defaultSubtotal="0">
      <items count="8">
        <item x="5"/>
        <item x="1"/>
        <item x="3"/>
        <item x="0"/>
        <item x="2"/>
        <item h="1" x="4"/>
        <item h="1" x="7"/>
        <item h="1" x="6"/>
      </items>
    </pivotField>
    <pivotField axis="axisRow" compact="0" outline="0" subtotalTop="0" showAll="0" defaultSubtotal="0">
      <items count="29">
        <item m="1" x="27"/>
        <item n="People &amp; Operations manager" m="1" x="25"/>
        <item x="0"/>
        <item x="5"/>
        <item x="6"/>
        <item n="Staff/Datahub" m="1" x="24"/>
        <item m="1" x="28"/>
        <item m="1" x="22"/>
        <item x="1"/>
        <item m="1" x="26"/>
        <item m="1" x="20"/>
        <item x="3"/>
        <item m="1" x="23"/>
        <item x="4"/>
        <item x="7"/>
        <item m="1" x="21"/>
        <item x="8"/>
        <item x="9"/>
        <item x="10"/>
        <item x="2"/>
        <item x="11"/>
        <item x="12"/>
        <item x="13"/>
        <item x="14"/>
        <item x="15"/>
        <item x="16"/>
        <item x="17"/>
        <item x="18"/>
        <item x="1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Row" compact="0" outline="0" subtotalTop="0" showAll="0" defaultSubtotal="0">
      <items count="67">
        <item m="1" x="37"/>
        <item m="1" x="63"/>
        <item m="1" x="62"/>
        <item m="1" x="53"/>
        <item x="0"/>
        <item m="1" x="40"/>
        <item sd="0" m="1" x="47"/>
        <item n="Een aantal jaar geleden ben ik vanuit een compleet ander vakgebied (bestuurskunde en internationale betrekkingen) overgegaan naar UX Design. Dit ging met een aantal omweggetjes en een bootcamp van 10 maanden. Ik weet inmiddels het een en ander over hoe h" m="1" x="48"/>
        <item m="1" x="33"/>
        <item m="1" x="44"/>
        <item m="1" x="32"/>
        <item m="1" x="34"/>
        <item m="1" x="54"/>
        <item m="1" x="30"/>
        <item n="Ik geloof dat jij als DiPper de kracht hebt om jouw ontwikkelpad vorm te geven. Hiermee kan ik jou ondersteunen door te luisteren, kritische vragen te stellen en de juiste training/cursus/ontwikkelpartner te zoeken._x000a__x000a_Hoe? Ik geloof dat het stellen van ee" sd="0" m="1" x="35"/>
        <item m="1" x="45"/>
        <item m="1" x="46"/>
        <item m="1" x="59"/>
        <item m="1" x="51"/>
        <item n="Ik vind het leuk om collega’s te begeleiden met vraagstukken op gebied van (meta)communicatie, gestructureerd werken, timemanagement, feedback, dat soort zaken. In mijn opleiding Pedagogiek en mijn werk de afgelopen jaren zijn deze zaken veel aan bod gek" m="1" x="38"/>
        <item m="1" x="42"/>
        <item n="Ik zal vooral proberen te reflecteren en boven tafel krijgen wat je drijft; waar je goed in bent en vooral wat je leuk en belangrijk vindt. Ik ben kritisch, maar alleen als de situatie erom vraagt. Mijn invalshoek zit vooral in consultancy en business zi" sd="0" m="1" x="36"/>
        <item m="1" x="41"/>
        <item m="1" x="52"/>
        <item m="1" x="60"/>
        <item m="1" x="49"/>
        <item m="1" x="61"/>
        <item m="1" x="39"/>
        <item m="1" x="29"/>
        <item m="1" x="50"/>
        <item sd="0" m="1" x="43"/>
        <item m="1" x="57"/>
        <item m="1" x="58"/>
        <item m="1" x="66"/>
        <item m="1" x="31"/>
        <item m="1" x="55"/>
        <item m="1" x="64"/>
        <item x="24"/>
        <item n="While I can support you with growing further in the TWA domain, though not very in depth technically, my &quot;talents&quot; are with translating business requirements  into technical specifications, managing client expectations, projects, teams, etc. If you feel " sd="0" m="1" x="56"/>
        <item m="1" x="65"/>
        <item x="1"/>
        <item n="With more than 10 years experience at Digital Power and over 20 years of working experience, I am what you call a dinosaur here. I still get a lot of energy from helping our colleagues getting better. And I will do all in my power to help you achieve you" m="1" x="25"/>
        <item m="1" x="26"/>
        <item m="1" x="28"/>
        <item x="4"/>
        <item x="5"/>
        <item n="I enjoy helping colleagues with their personal development. I like to have open conversations so that we can find out why a goal is being worked on and what challenges are involved. I feel that I can best help colleagues who want to focus on: web analyti" x="6"/>
        <item x="7"/>
        <item x="8"/>
        <item x="9"/>
        <item m="1" x="27"/>
        <item x="10"/>
        <item x="11"/>
        <item n="I like helping people with challenges you face at the client or internally. This can be focussed on either soft or hard skills. If you put in the effort, I will do everything to support you in reaching your goals." x="12"/>
        <item x="13"/>
        <item x="2"/>
        <item x="3"/>
        <item x="14"/>
        <item x="15"/>
        <item x="16"/>
        <item x="17"/>
        <item x="18"/>
        <item x="19"/>
        <item x="20"/>
        <item x="21"/>
        <item x="22"/>
        <item x="23"/>
      </items>
    </pivotField>
    <pivotField axis="axisRow" compact="0" outline="0" subtotalTop="0" showAll="0" defaultSubtotal="0">
      <items count="61">
        <item m="1" x="33"/>
        <item m="1" x="59"/>
        <item m="1" x="52"/>
        <item m="1" x="35"/>
        <item m="1" x="31"/>
        <item m="1" x="46"/>
        <item m="1" x="34"/>
        <item m="1" x="54"/>
        <item m="1" x="50"/>
        <item m="1" x="44"/>
        <item m="1" x="58"/>
        <item m="1" x="29"/>
        <item m="1" x="27"/>
        <item m="1" x="42"/>
        <item m="1" x="39"/>
        <item m="1" x="37"/>
        <item m="1" x="41"/>
        <item m="1" x="28"/>
        <item m="1" x="49"/>
        <item m="1" x="60"/>
        <item m="1" x="53"/>
        <item x="0"/>
        <item m="1" x="51"/>
        <item m="1" x="47"/>
        <item m="1" x="38"/>
        <item m="1" x="40"/>
        <item m="1" x="30"/>
        <item m="1" x="32"/>
        <item m="1" x="36"/>
        <item m="1" x="56"/>
        <item m="1" x="26"/>
        <item m="1" x="45"/>
        <item m="1" x="48"/>
        <item m="1" x="57"/>
        <item x="11"/>
        <item x="1"/>
        <item m="1" x="55"/>
        <item m="1" x="43"/>
        <item x="2"/>
        <item x="3"/>
        <item m="1" x="25"/>
        <item x="4"/>
        <item x="5"/>
        <item m="1" x="24"/>
        <item x="7"/>
        <item x="8"/>
        <item x="9"/>
        <item x="10"/>
        <item x="12"/>
        <item x="6"/>
        <item x="14"/>
        <item x="15"/>
        <item x="16"/>
        <item x="17"/>
        <item x="18"/>
        <item x="19"/>
        <item x="20"/>
        <item x="21"/>
        <item x="22"/>
        <item x="23"/>
        <item x="13"/>
      </items>
    </pivotField>
    <pivotField axis="axisRow" compact="0" outline="0" subtotalTop="0" showAll="0" defaultSubtotal="0">
      <items count="54">
        <item x="0"/>
        <item m="1" x="51"/>
        <item m="1" x="35"/>
        <item m="1" x="46"/>
        <item m="1" x="53"/>
        <item m="1" x="38"/>
        <item m="1" x="30"/>
        <item m="1" x="42"/>
        <item m="1" x="40"/>
        <item m="1" x="43"/>
        <item m="1" x="29"/>
        <item m="1" x="28"/>
        <item m="1" x="39"/>
        <item m="1" x="33"/>
        <item m="1" x="37"/>
        <item m="1" x="41"/>
        <item m="1" x="44"/>
        <item m="1" x="45"/>
        <item m="1" x="47"/>
        <item m="1" x="31"/>
        <item m="1" x="50"/>
        <item m="1" x="48"/>
        <item m="1" x="32"/>
        <item m="1" x="52"/>
        <item m="1" x="36"/>
        <item m="1" x="34"/>
        <item m="1" x="49"/>
        <item x="24"/>
        <item x="1"/>
        <item x="2"/>
        <item x="3"/>
        <item m="1" x="27"/>
        <item x="4"/>
        <item x="5"/>
        <item m="1" x="26"/>
        <item x="7"/>
        <item x="8"/>
        <item x="9"/>
        <item m="1" x="25"/>
        <item x="10"/>
        <item x="11"/>
        <item x="12"/>
        <item x="6"/>
        <item x="13"/>
        <item x="14"/>
        <item x="15"/>
        <item x="16"/>
        <item x="17"/>
        <item x="18"/>
        <item x="19"/>
        <item x="20"/>
        <item x="21"/>
        <item x="22"/>
        <item x="23"/>
      </items>
    </pivotField>
    <pivotField compact="0" outline="0" subtotalTop="0" showAll="0" defaultSubtotal="0"/>
    <pivotField compact="0" outline="0" subtotalTop="0" showAll="0" defaultSubtotal="0"/>
  </pivotFields>
  <rowFields count="6">
    <field x="0"/>
    <field x="3"/>
    <field x="14"/>
    <field x="15"/>
    <field x="16"/>
    <field x="2"/>
  </rowFields>
  <rowItems count="17">
    <i>
      <x v="1"/>
      <x v="28"/>
      <x v="37"/>
      <x v="34"/>
      <x v="27"/>
      <x v="1"/>
    </i>
    <i>
      <x v="7"/>
      <x v="2"/>
      <x v="4"/>
      <x v="21"/>
      <x/>
      <x v="3"/>
    </i>
    <i>
      <x v="37"/>
      <x v="20"/>
      <x v="59"/>
      <x v="52"/>
      <x v="46"/>
      <x v="1"/>
    </i>
    <i>
      <x v="38"/>
      <x v="19"/>
      <x v="55"/>
      <x v="38"/>
      <x v="29"/>
      <x v="4"/>
    </i>
    <i>
      <x v="44"/>
      <x v="8"/>
      <x v="40"/>
      <x v="35"/>
      <x v="28"/>
      <x v="1"/>
    </i>
    <i>
      <x v="45"/>
      <x v="11"/>
      <x v="56"/>
      <x v="39"/>
      <x v="30"/>
      <x v="1"/>
    </i>
    <i>
      <x v="46"/>
      <x v="13"/>
      <x v="44"/>
      <x v="41"/>
      <x v="32"/>
      <x v="2"/>
    </i>
    <i>
      <x v="48"/>
      <x v="2"/>
      <x v="45"/>
      <x v="42"/>
      <x v="33"/>
      <x v="1"/>
    </i>
    <i>
      <x v="49"/>
      <x v="3"/>
      <x v="46"/>
      <x v="49"/>
      <x v="42"/>
      <x v="2"/>
    </i>
    <i>
      <x v="50"/>
      <x v="4"/>
      <x v="47"/>
      <x v="44"/>
      <x v="35"/>
      <x v="1"/>
    </i>
    <i>
      <x v="51"/>
      <x v="11"/>
      <x v="48"/>
      <x v="45"/>
      <x v="36"/>
      <x v="1"/>
    </i>
    <i>
      <x v="52"/>
      <x v="14"/>
      <x v="49"/>
      <x v="46"/>
      <x v="37"/>
      <x v="1"/>
    </i>
    <i>
      <x v="54"/>
      <x v="17"/>
      <x v="53"/>
      <x v="48"/>
      <x v="41"/>
      <x v="2"/>
    </i>
    <i>
      <x v="57"/>
      <x v="21"/>
      <x v="60"/>
      <x v="53"/>
      <x v="47"/>
      <x v="2"/>
    </i>
    <i>
      <x v="59"/>
      <x v="23"/>
      <x v="62"/>
      <x v="55"/>
      <x v="49"/>
      <x/>
    </i>
    <i>
      <x v="60"/>
      <x v="24"/>
      <x v="63"/>
      <x v="56"/>
      <x v="50"/>
      <x/>
    </i>
    <i>
      <x v="62"/>
      <x v="26"/>
      <x v="65"/>
      <x v="58"/>
      <x v="52"/>
      <x/>
    </i>
  </rowItems>
  <colItems count="1">
    <i/>
  </colItems>
  <formats count="37">
    <format dxfId="38">
      <pivotArea type="all" dataOnly="0" outline="0" fieldPosition="0"/>
    </format>
    <format dxfId="39">
      <pivotArea outline="0" collapsedLevelsAreSubtotals="1" fieldPosition="0"/>
    </format>
    <format dxfId="40">
      <pivotArea dataOnly="0" labelOnly="1" outline="0" axis="axisValues" fieldPosition="0"/>
    </format>
    <format dxfId="41">
      <pivotArea dataOnly="0" labelOnly="1" outline="0" fieldPosition="0">
        <references count="1">
          <reference field="0" count="1">
            <x v="25"/>
          </reference>
        </references>
      </pivotArea>
    </format>
    <format dxfId="42">
      <pivotArea dataOnly="0" labelOnly="1" outline="0" fieldPosition="0">
        <references count="3">
          <reference field="0" count="1" selected="0">
            <x v="12"/>
          </reference>
          <reference field="3" count="1" selected="0">
            <x v="4"/>
          </reference>
          <reference field="14" count="1">
            <x v="28"/>
          </reference>
        </references>
      </pivotArea>
    </format>
    <format dxfId="43">
      <pivotArea dataOnly="0" labelOnly="1" outline="0" fieldPosition="0">
        <references count="3">
          <reference field="0" count="1" selected="0">
            <x v="13"/>
          </reference>
          <reference field="3" count="1" selected="0">
            <x v="3"/>
          </reference>
          <reference field="14" count="1">
            <x v="13"/>
          </reference>
        </references>
      </pivotArea>
    </format>
    <format dxfId="44">
      <pivotArea dataOnly="0" labelOnly="1" outline="0" fieldPosition="0">
        <references count="3">
          <reference field="0" count="1" selected="0">
            <x v="20"/>
          </reference>
          <reference field="3" count="1" selected="0">
            <x v="5"/>
          </reference>
          <reference field="14" count="1">
            <x v="34"/>
          </reference>
        </references>
      </pivotArea>
    </format>
    <format dxfId="45">
      <pivotArea dataOnly="0" labelOnly="1" outline="0" fieldPosition="0">
        <references count="3">
          <reference field="0" count="1" selected="0">
            <x v="24"/>
          </reference>
          <reference field="3" count="1" selected="0">
            <x v="3"/>
          </reference>
          <reference field="14" count="1">
            <x v="10"/>
          </reference>
        </references>
      </pivotArea>
    </format>
    <format dxfId="46">
      <pivotArea dataOnly="0" labelOnly="1" outline="0" fieldPosition="0">
        <references count="3">
          <reference field="0" count="1" selected="0">
            <x v="28"/>
          </reference>
          <reference field="3" count="1" selected="0">
            <x v="3"/>
          </reference>
          <reference field="14" count="1">
            <x v="8"/>
          </reference>
        </references>
      </pivotArea>
    </format>
    <format dxfId="47">
      <pivotArea dataOnly="0" labelOnly="1" outline="0" fieldPosition="0">
        <references count="3">
          <reference field="0" count="1" selected="0">
            <x v="33"/>
          </reference>
          <reference field="3" count="1" selected="0">
            <x v="3"/>
          </reference>
          <reference field="14" count="1">
            <x v="11"/>
          </reference>
        </references>
      </pivotArea>
    </format>
    <format dxfId="48">
      <pivotArea dataOnly="0" labelOnly="1" outline="0" fieldPosition="0">
        <references count="3">
          <reference field="0" count="1" selected="0">
            <x v="39"/>
          </reference>
          <reference field="3" count="1" selected="0">
            <x v="4"/>
          </reference>
          <reference field="14" count="1">
            <x v="14"/>
          </reference>
        </references>
      </pivotArea>
    </format>
    <format dxfId="49">
      <pivotArea dataOnly="0" labelOnly="1" outline="0" fieldPosition="0">
        <references count="3">
          <reference field="0" count="1" selected="0">
            <x v="14"/>
          </reference>
          <reference field="3" count="1" selected="0">
            <x v="15"/>
          </reference>
          <reference field="14" count="1">
            <x v="50"/>
          </reference>
        </references>
      </pivotArea>
    </format>
    <format dxfId="50">
      <pivotArea dataOnly="0" labelOnly="1" outline="0" fieldPosition="0">
        <references count="3">
          <reference field="0" count="1" selected="0">
            <x v="38"/>
          </reference>
          <reference field="3" count="1" selected="0">
            <x v="10"/>
          </reference>
          <reference field="14" count="1">
            <x v="41"/>
          </reference>
        </references>
      </pivotArea>
    </format>
    <format dxfId="51">
      <pivotArea dataOnly="0" labelOnly="1" outline="0" fieldPosition="0">
        <references count="3">
          <reference field="0" count="1" selected="0">
            <x v="45"/>
          </reference>
          <reference field="3" count="1" selected="0">
            <x v="11"/>
          </reference>
          <reference field="14" count="1">
            <x v="42"/>
          </reference>
        </references>
      </pivotArea>
    </format>
    <format dxfId="52">
      <pivotArea field="14" type="button" dataOnly="0" labelOnly="1" outline="0" axis="axisRow" fieldPosition="2"/>
    </format>
    <format dxfId="53">
      <pivotArea dataOnly="0" labelOnly="1" outline="0" fieldPosition="0">
        <references count="3">
          <reference field="0" count="1" selected="0">
            <x v="7"/>
          </reference>
          <reference field="3" count="1" selected="0">
            <x v="2"/>
          </reference>
          <reference field="14" count="1">
            <x v="4"/>
          </reference>
        </references>
      </pivotArea>
    </format>
    <format dxfId="54">
      <pivotArea dataOnly="0" labelOnly="1" outline="0" fieldPosition="0">
        <references count="3">
          <reference field="0" count="1" selected="0">
            <x v="20"/>
          </reference>
          <reference field="3" count="1" selected="0">
            <x v="16"/>
          </reference>
          <reference field="14" count="1">
            <x v="52"/>
          </reference>
        </references>
      </pivotArea>
    </format>
    <format dxfId="55">
      <pivotArea dataOnly="0" labelOnly="1" outline="0" fieldPosition="0">
        <references count="3">
          <reference field="0" count="1" selected="0">
            <x v="33"/>
          </reference>
          <reference field="3" count="1" selected="0">
            <x v="3"/>
          </reference>
          <reference field="14" count="1">
            <x v="58"/>
          </reference>
        </references>
      </pivotArea>
    </format>
    <format dxfId="56">
      <pivotArea dataOnly="0" labelOnly="1" outline="0" fieldPosition="0">
        <references count="3">
          <reference field="0" count="1" selected="0">
            <x v="37"/>
          </reference>
          <reference field="3" count="1" selected="0">
            <x v="20"/>
          </reference>
          <reference field="14" count="1">
            <x v="59"/>
          </reference>
        </references>
      </pivotArea>
    </format>
    <format dxfId="57">
      <pivotArea dataOnly="0" labelOnly="1" outline="0" fieldPosition="0">
        <references count="3">
          <reference field="0" count="1" selected="0">
            <x v="38"/>
          </reference>
          <reference field="3" count="1" selected="0">
            <x v="19"/>
          </reference>
          <reference field="14" count="1">
            <x v="55"/>
          </reference>
        </references>
      </pivotArea>
    </format>
    <format dxfId="58">
      <pivotArea dataOnly="0" labelOnly="1" outline="0" fieldPosition="0">
        <references count="3">
          <reference field="0" count="1" selected="0">
            <x v="44"/>
          </reference>
          <reference field="3" count="1" selected="0">
            <x v="8"/>
          </reference>
          <reference field="14" count="1">
            <x v="40"/>
          </reference>
        </references>
      </pivotArea>
    </format>
    <format dxfId="59">
      <pivotArea dataOnly="0" labelOnly="1" outline="0" fieldPosition="0">
        <references count="3">
          <reference field="0" count="1" selected="0">
            <x v="45"/>
          </reference>
          <reference field="3" count="1" selected="0">
            <x v="11"/>
          </reference>
          <reference field="14" count="1">
            <x v="56"/>
          </reference>
        </references>
      </pivotArea>
    </format>
    <format dxfId="60">
      <pivotArea dataOnly="0" labelOnly="1" outline="0" fieldPosition="0">
        <references count="3">
          <reference field="0" count="1" selected="0">
            <x v="46"/>
          </reference>
          <reference field="3" count="1" selected="0">
            <x v="13"/>
          </reference>
          <reference field="14" count="1">
            <x v="44"/>
          </reference>
        </references>
      </pivotArea>
    </format>
    <format dxfId="61">
      <pivotArea dataOnly="0" labelOnly="1" outline="0" fieldPosition="0">
        <references count="3">
          <reference field="0" count="1" selected="0">
            <x v="48"/>
          </reference>
          <reference field="3" count="1" selected="0">
            <x v="2"/>
          </reference>
          <reference field="14" count="1">
            <x v="45"/>
          </reference>
        </references>
      </pivotArea>
    </format>
    <format dxfId="62">
      <pivotArea dataOnly="0" labelOnly="1" outline="0" fieldPosition="0">
        <references count="3">
          <reference field="0" count="1" selected="0">
            <x v="49"/>
          </reference>
          <reference field="3" count="1" selected="0">
            <x v="3"/>
          </reference>
          <reference field="14" count="1">
            <x v="46"/>
          </reference>
        </references>
      </pivotArea>
    </format>
    <format dxfId="63">
      <pivotArea dataOnly="0" labelOnly="1" outline="0" fieldPosition="0">
        <references count="3">
          <reference field="0" count="1" selected="0">
            <x v="50"/>
          </reference>
          <reference field="3" count="1" selected="0">
            <x v="4"/>
          </reference>
          <reference field="14" count="1">
            <x v="47"/>
          </reference>
        </references>
      </pivotArea>
    </format>
    <format dxfId="64">
      <pivotArea dataOnly="0" labelOnly="1" outline="0" fieldPosition="0">
        <references count="3">
          <reference field="0" count="1" selected="0">
            <x v="51"/>
          </reference>
          <reference field="3" count="1" selected="0">
            <x v="11"/>
          </reference>
          <reference field="14" count="1">
            <x v="48"/>
          </reference>
        </references>
      </pivotArea>
    </format>
    <format dxfId="65">
      <pivotArea dataOnly="0" labelOnly="1" outline="0" fieldPosition="0">
        <references count="3">
          <reference field="0" count="1" selected="0">
            <x v="52"/>
          </reference>
          <reference field="3" count="1" selected="0">
            <x v="14"/>
          </reference>
          <reference field="14" count="1">
            <x v="49"/>
          </reference>
        </references>
      </pivotArea>
    </format>
    <format dxfId="66">
      <pivotArea dataOnly="0" labelOnly="1" outline="0" fieldPosition="0">
        <references count="3">
          <reference field="0" count="1" selected="0">
            <x v="53"/>
          </reference>
          <reference field="3" count="1" selected="0">
            <x v="4"/>
          </reference>
          <reference field="14" count="1">
            <x v="51"/>
          </reference>
        </references>
      </pivotArea>
    </format>
    <format dxfId="67">
      <pivotArea dataOnly="0" labelOnly="1" outline="0" fieldPosition="0">
        <references count="3">
          <reference field="0" count="1" selected="0">
            <x v="54"/>
          </reference>
          <reference field="3" count="1" selected="0">
            <x v="17"/>
          </reference>
          <reference field="14" count="1">
            <x v="53"/>
          </reference>
        </references>
      </pivotArea>
    </format>
    <format dxfId="68">
      <pivotArea dataOnly="0" labelOnly="1" outline="0" fieldPosition="0">
        <references count="3">
          <reference field="0" count="1" selected="0">
            <x v="55"/>
          </reference>
          <reference field="3" count="1" selected="0">
            <x v="18"/>
          </reference>
          <reference field="14" count="1">
            <x v="54"/>
          </reference>
        </references>
      </pivotArea>
    </format>
    <format dxfId="69">
      <pivotArea dataOnly="0" labelOnly="1" outline="0" fieldPosition="0">
        <references count="3">
          <reference field="0" count="1" selected="0">
            <x v="56"/>
          </reference>
          <reference field="3" count="1" selected="0">
            <x v="8"/>
          </reference>
          <reference field="14" count="1">
            <x v="57"/>
          </reference>
        </references>
      </pivotArea>
    </format>
    <format dxfId="70">
      <pivotArea dataOnly="0" labelOnly="1" outline="0" fieldPosition="0">
        <references count="3">
          <reference field="0" count="1" selected="0">
            <x v="57"/>
          </reference>
          <reference field="3" count="1" selected="0">
            <x v="21"/>
          </reference>
          <reference field="14" count="1">
            <x v="60"/>
          </reference>
        </references>
      </pivotArea>
    </format>
    <format dxfId="71">
      <pivotArea dataOnly="0" labelOnly="1" outline="0" fieldPosition="0">
        <references count="3">
          <reference field="0" count="1" selected="0">
            <x v="58"/>
          </reference>
          <reference field="3" count="1" selected="0">
            <x v="22"/>
          </reference>
          <reference field="14" count="1">
            <x v="61"/>
          </reference>
        </references>
      </pivotArea>
    </format>
    <format dxfId="72">
      <pivotArea dataOnly="0" labelOnly="1" outline="0" fieldPosition="0">
        <references count="3">
          <reference field="0" count="1" selected="0">
            <x v="59"/>
          </reference>
          <reference field="3" count="1" selected="0">
            <x v="23"/>
          </reference>
          <reference field="14" count="1">
            <x v="62"/>
          </reference>
        </references>
      </pivotArea>
    </format>
    <format dxfId="73">
      <pivotArea dataOnly="0" labelOnly="1" outline="0" fieldPosition="0">
        <references count="3">
          <reference field="0" count="1" selected="0">
            <x v="60"/>
          </reference>
          <reference field="3" count="1" selected="0">
            <x v="24"/>
          </reference>
          <reference field="14" count="1">
            <x v="63"/>
          </reference>
        </references>
      </pivotArea>
    </format>
    <format dxfId="74">
      <pivotArea dataOnly="0" labelOnly="1" outline="0" fieldPosition="0">
        <references count="3">
          <reference field="0" count="1" selected="0">
            <x v="61"/>
          </reference>
          <reference field="3" count="1" selected="0">
            <x v="25"/>
          </reference>
          <reference field="14" count="1">
            <x v="64"/>
          </reference>
        </references>
      </pivotArea>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1" displayName="Tabel1" ref="A1:S29" totalsRowShown="0" headerRowDxfId="37">
  <autoFilter ref="A1:S29" xr:uid="{00000000-0009-0000-0100-000001000000}"/>
  <sortState xmlns:xlrd2="http://schemas.microsoft.com/office/spreadsheetml/2017/richdata2" ref="A2:S4">
    <sortCondition ref="A1:A4"/>
  </sortState>
  <tableColumns count="19">
    <tableColumn id="1" xr3:uid="{00000000-0010-0000-0000-000001000000}" name="What is your name?" dataDxfId="36"/>
    <tableColumn id="2" xr3:uid="{00000000-0010-0000-0000-000002000000}" name="Geslacht" dataDxfId="35"/>
    <tableColumn id="3" xr3:uid="{00000000-0010-0000-0000-000003000000}" name="How many consultants would you be able to facilitate?" dataDxfId="34"/>
    <tableColumn id="4" xr3:uid="{00000000-0010-0000-0000-000004000000}" name="Main domain knowledge" dataDxfId="33"/>
    <tableColumn id="5" xr3:uid="{00000000-0010-0000-0000-000005000000}" name="Backoffice" dataDxfId="32"/>
    <tableColumn id="6" xr3:uid="{00000000-0010-0000-0000-000006000000}" name="Business Manager" dataDxfId="31"/>
    <tableColumn id="7" xr3:uid="{00000000-0010-0000-0000-000007000000}" name="Customer Experience" dataDxfId="30"/>
    <tableColumn id="8" xr3:uid="{00000000-0010-0000-0000-000008000000}" name="Data Analytics" dataDxfId="29"/>
    <tableColumn id="9" xr3:uid="{00000000-0010-0000-0000-000009000000}" name="Data Engineering" dataDxfId="28"/>
    <tableColumn id="10" xr3:uid="{00000000-0010-0000-0000-00000A000000}" name="Data Science" dataDxfId="27"/>
    <tableColumn id="11" xr3:uid="{00000000-0010-0000-0000-00000B000000}" name="Staff" dataDxfId="26"/>
    <tableColumn id="12" xr3:uid="{00000000-0010-0000-0000-00000C000000}" name="Technical Web Analytics" dataDxfId="25"/>
    <tableColumn id="13" xr3:uid="{00000000-0010-0000-0000-00000D000000}" name="Number of years @DiP" dataDxfId="24"/>
    <tableColumn id="14" xr3:uid="{00000000-0010-0000-0000-00000E000000}" name="work experience in years" dataDxfId="23"/>
    <tableColumn id="15" xr3:uid="{00000000-0010-0000-0000-00000F000000}" name="Write something personal about yourself" dataDxfId="22"/>
    <tableColumn id="16" xr3:uid="{00000000-0010-0000-0000-000010000000}" name="What are your primairy hardskills? (optional)" dataDxfId="21"/>
    <tableColumn id="17" xr3:uid="{00000000-0010-0000-0000-000011000000}" name="What are your primairy softskills? (optional)" dataDxfId="20"/>
    <tableColumn id="18" xr3:uid="{00000000-0010-0000-0000-000012000000}" name="Name some assignments you have completed thus far (functiontitel - company). (optional)" dataDxfId="19"/>
    <tableColumn id="19" xr3:uid="{00000000-0010-0000-0000-000013000000}" name="Paste a link to your LinkedIn profile. (optional)"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265836-91DA-4085-A228-AB1BE953A39F}" name="Tabel2" displayName="Tabel2" ref="A2:P65" totalsRowShown="0" headerRowDxfId="17" dataDxfId="16">
  <autoFilter ref="A2:P65" xr:uid="{6C265836-91DA-4085-A228-AB1BE953A39F}"/>
  <tableColumns count="16">
    <tableColumn id="1" xr3:uid="{AB97567D-65DA-475D-B5BD-32215D65C6DD}" name="Naam_x000a_begeleidend_x000a_consultant" dataDxfId="15"/>
    <tableColumn id="3" xr3:uid="{1B50F7CD-F8CB-4DB3-A052-19FC81EE07F4}" name="Plek 1" dataDxfId="14"/>
    <tableColumn id="4" xr3:uid="{965ED7A5-162E-4AD2-9AB0-6F2E49DB718E}" name="Plek 2" dataDxfId="13"/>
    <tableColumn id="5" xr3:uid="{4F215F32-649B-4F0F-9532-C66774459FDA}" name="Plek 3" dataDxfId="12"/>
    <tableColumn id="6" xr3:uid="{FF72CFF8-07D2-47D8-B2E0-AA5BFDF62462}" name="Plek 4" dataDxfId="11"/>
    <tableColumn id="7" xr3:uid="{39458E98-30FC-4D72-A008-E51DB72E9CF1}" name="Plek 5" dataDxfId="10"/>
    <tableColumn id="8" xr3:uid="{24A6B015-B6E6-4959-9161-F826DF571068}" name="Plek 6" dataDxfId="9"/>
    <tableColumn id="9" xr3:uid="{24351F24-D7B9-48D7-87A5-7AD04B7C862A}" name="Plek 7" dataDxfId="8"/>
    <tableColumn id="10" xr3:uid="{B18E8D5B-8165-4898-8C9A-563A7E8C9A46}" name="Plek 8" dataDxfId="7"/>
    <tableColumn id="11" xr3:uid="{FB8EE3DE-EAA5-456C-A1E6-CECC38F99A64}" name="Plek 9" dataDxfId="6"/>
    <tableColumn id="12" xr3:uid="{FCC1BA26-5E70-4311-AD89-EAB5ED552FE6}" name="Plek 10" dataDxfId="5"/>
    <tableColumn id="2" xr3:uid="{534C6590-9A86-4B64-AE27-2E3004E9618E}" name="Plek 11" dataDxfId="4"/>
    <tableColumn id="13" xr3:uid="{4956949E-ED72-4E04-ADDA-18DA09BDE525}" name="Plek 12" dataDxfId="3"/>
    <tableColumn id="14" xr3:uid="{84281A66-2D2C-4FD3-9633-735E993528F9}" name="Plek 13" dataDxfId="2"/>
    <tableColumn id="15" xr3:uid="{CA67EF00-4E49-438D-971D-FC178864B920}" name="Plek 14" dataDxfId="1"/>
    <tableColumn id="16" xr3:uid="{E6415284-A60B-42CE-B43F-3827E46A9F00}" name="Plek 15" dataDxfId="0"/>
  </tableColumns>
  <tableStyleInfo name="TableStyleMedium4" showFirstColumn="0" showLastColumn="0" showRowStripes="1" showColumnStripes="0"/>
</table>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in/bastiaanboel/" TargetMode="External"/><Relationship Id="rId13" Type="http://schemas.openxmlformats.org/officeDocument/2006/relationships/hyperlink" Target="https://www.linkedin.com/in/benvandeburgt/" TargetMode="External"/><Relationship Id="rId18" Type="http://schemas.openxmlformats.org/officeDocument/2006/relationships/hyperlink" Target="https://nl.linkedin.com/in/rick-snijder-7b449947" TargetMode="External"/><Relationship Id="rId26" Type="http://schemas.openxmlformats.org/officeDocument/2006/relationships/table" Target="../tables/table1.xml"/><Relationship Id="rId3" Type="http://schemas.openxmlformats.org/officeDocument/2006/relationships/hyperlink" Target="https://www.linkedin.com/in/sanne-kieftenburg/" TargetMode="External"/><Relationship Id="rId21" Type="http://schemas.openxmlformats.org/officeDocument/2006/relationships/hyperlink" Target="https://www.linkedin.com/in/nielsbosmans/" TargetMode="External"/><Relationship Id="rId7" Type="http://schemas.openxmlformats.org/officeDocument/2006/relationships/hyperlink" Target="https://www.linkedin.com/in/leonkooijman/" TargetMode="External"/><Relationship Id="rId12" Type="http://schemas.openxmlformats.org/officeDocument/2006/relationships/hyperlink" Target="https://www.linkedin.com/in/menno-steenbergen/" TargetMode="External"/><Relationship Id="rId17" Type="http://schemas.openxmlformats.org/officeDocument/2006/relationships/hyperlink" Target="https://www.linkedin.com/in/youpvandergraaf/" TargetMode="External"/><Relationship Id="rId25" Type="http://schemas.openxmlformats.org/officeDocument/2006/relationships/printerSettings" Target="../printerSettings/printerSettings1.bin"/><Relationship Id="rId2" Type="http://schemas.openxmlformats.org/officeDocument/2006/relationships/hyperlink" Target="https://www.linkedin.com/in/chantal-snijder/" TargetMode="External"/><Relationship Id="rId16" Type="http://schemas.openxmlformats.org/officeDocument/2006/relationships/hyperlink" Target="https://www.linkedin.com/in/jelmer-van-leeuwen/" TargetMode="External"/><Relationship Id="rId20" Type="http://schemas.openxmlformats.org/officeDocument/2006/relationships/hyperlink" Target="https://www.linkedin.com/in/mlpvaarwerk/" TargetMode="External"/><Relationship Id="rId1" Type="http://schemas.openxmlformats.org/officeDocument/2006/relationships/hyperlink" Target="https://www.linkedin.com/in/rogierkamer/" TargetMode="External"/><Relationship Id="rId6" Type="http://schemas.openxmlformats.org/officeDocument/2006/relationships/hyperlink" Target="https://www.linkedin.com/in/sandhya-van-kordelaar/" TargetMode="External"/><Relationship Id="rId11" Type="http://schemas.openxmlformats.org/officeDocument/2006/relationships/hyperlink" Target="https://www.linkedin.com/in/marieke-schulte/" TargetMode="External"/><Relationship Id="rId24" Type="http://schemas.openxmlformats.org/officeDocument/2006/relationships/hyperlink" Target="https://www.linkedin.com/in/kasper-soekarjo/" TargetMode="External"/><Relationship Id="rId5" Type="http://schemas.openxmlformats.org/officeDocument/2006/relationships/hyperlink" Target="https://www.linkedin.com/in/dpfgdegroot/" TargetMode="External"/><Relationship Id="rId15" Type="http://schemas.openxmlformats.org/officeDocument/2006/relationships/hyperlink" Target="https://www.linkedin.com/in/roelcools/" TargetMode="External"/><Relationship Id="rId23" Type="http://schemas.openxmlformats.org/officeDocument/2006/relationships/hyperlink" Target="https://www.linkedin.com/in/andana-borcan/" TargetMode="External"/><Relationship Id="rId10" Type="http://schemas.openxmlformats.org/officeDocument/2006/relationships/hyperlink" Target="https://www.linkedin.com/in/roy-klip/" TargetMode="External"/><Relationship Id="rId19" Type="http://schemas.openxmlformats.org/officeDocument/2006/relationships/hyperlink" Target="https://www.linkedin.com/in/jelledeblaauw/" TargetMode="External"/><Relationship Id="rId4" Type="http://schemas.openxmlformats.org/officeDocument/2006/relationships/hyperlink" Target="https://www.linkedin.com/in/myrthelammerse/" TargetMode="External"/><Relationship Id="rId9" Type="http://schemas.openxmlformats.org/officeDocument/2006/relationships/hyperlink" Target="https://www.linkedin.com/in/bramooms/" TargetMode="External"/><Relationship Id="rId14" Type="http://schemas.openxmlformats.org/officeDocument/2006/relationships/hyperlink" Target="https://www.linkedin.com/in/renewesterdijk/" TargetMode="External"/><Relationship Id="rId22" Type="http://schemas.openxmlformats.org/officeDocument/2006/relationships/hyperlink" Target="https://www.linkedin.com/in/jasmijnkoster/"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
  <sheetViews>
    <sheetView tabSelected="1" topLeftCell="C1" zoomScale="85" zoomScaleNormal="85" workbookViewId="0">
      <pane ySplit="1" topLeftCell="A21" activePane="bottomLeft" state="frozen"/>
      <selection pane="bottomLeft" activeCell="O28" sqref="O28"/>
    </sheetView>
  </sheetViews>
  <sheetFormatPr defaultColWidth="8.875" defaultRowHeight="14.1"/>
  <cols>
    <col min="1" max="1" width="25.125" style="1" customWidth="1"/>
    <col min="2" max="2" width="10.125" style="1" hidden="1" customWidth="1"/>
    <col min="3" max="3" width="28.625" style="2" customWidth="1"/>
    <col min="4" max="4" width="42.625" style="2" customWidth="1"/>
    <col min="5" max="5" width="12.875" style="1" hidden="1" customWidth="1"/>
    <col min="6" max="6" width="0" style="1" hidden="1" customWidth="1"/>
    <col min="7" max="7" width="30.875" style="1" hidden="1" customWidth="1"/>
    <col min="8" max="8" width="20.375" style="1" hidden="1" customWidth="1"/>
    <col min="9" max="9" width="20.625" style="1" hidden="1" customWidth="1"/>
    <col min="10" max="10" width="17.5" style="1" hidden="1" customWidth="1"/>
    <col min="11" max="11" width="14" style="1" hidden="1" customWidth="1"/>
    <col min="12" max="12" width="20.375" style="1" hidden="1" customWidth="1"/>
    <col min="13" max="13" width="27" style="2" customWidth="1"/>
    <col min="14" max="14" width="20.625" style="2" customWidth="1"/>
    <col min="15" max="15" width="81.875" style="6" customWidth="1"/>
    <col min="16" max="16" width="42.125" style="1" customWidth="1"/>
    <col min="17" max="17" width="52.125" style="1" customWidth="1"/>
    <col min="18" max="18" width="81.25" style="1" customWidth="1"/>
    <col min="19" max="19" width="50" style="1" bestFit="1" customWidth="1"/>
  </cols>
  <sheetData>
    <row r="1" spans="1:19" s="7" customFormat="1">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7" t="s">
        <v>15</v>
      </c>
      <c r="Q1" s="7" t="s">
        <v>16</v>
      </c>
      <c r="R1" s="7" t="s">
        <v>17</v>
      </c>
      <c r="S1" s="7" t="s">
        <v>18</v>
      </c>
    </row>
    <row r="2" spans="1:19" ht="56.1">
      <c r="A2" s="3" t="s">
        <v>19</v>
      </c>
      <c r="B2" s="1" t="s">
        <v>20</v>
      </c>
      <c r="C2" s="2">
        <v>5</v>
      </c>
      <c r="D2" s="2" t="s">
        <v>6</v>
      </c>
      <c r="E2" s="1" t="s">
        <v>21</v>
      </c>
      <c r="F2" s="1" t="s">
        <v>21</v>
      </c>
      <c r="G2" s="1" t="s">
        <v>6</v>
      </c>
      <c r="H2" s="1" t="s">
        <v>21</v>
      </c>
      <c r="I2" s="1" t="s">
        <v>21</v>
      </c>
      <c r="J2" s="1" t="s">
        <v>21</v>
      </c>
      <c r="K2" s="1" t="s">
        <v>21</v>
      </c>
      <c r="L2" s="1" t="s">
        <v>21</v>
      </c>
      <c r="M2" s="2">
        <v>7</v>
      </c>
      <c r="N2" s="2">
        <v>7</v>
      </c>
      <c r="O2" s="6" t="s">
        <v>22</v>
      </c>
      <c r="P2" s="6" t="s">
        <v>23</v>
      </c>
      <c r="Q2" s="1" t="s">
        <v>21</v>
      </c>
      <c r="R2" s="3" t="s">
        <v>24</v>
      </c>
      <c r="S2" s="13" t="s">
        <v>25</v>
      </c>
    </row>
    <row r="3" spans="1:19" ht="69.95">
      <c r="A3" s="3" t="s">
        <v>26</v>
      </c>
      <c r="C3" s="2">
        <v>3</v>
      </c>
      <c r="D3" s="2" t="s">
        <v>11</v>
      </c>
      <c r="M3" s="2">
        <v>4</v>
      </c>
      <c r="N3" s="2">
        <v>5</v>
      </c>
      <c r="O3" s="6" t="s">
        <v>27</v>
      </c>
      <c r="P3" s="6" t="s">
        <v>28</v>
      </c>
      <c r="Q3" s="1" t="s">
        <v>29</v>
      </c>
      <c r="R3" s="3" t="s">
        <v>30</v>
      </c>
      <c r="S3" s="13" t="s">
        <v>31</v>
      </c>
    </row>
    <row r="4" spans="1:19" ht="58.5" customHeight="1">
      <c r="A4" s="1" t="s">
        <v>32</v>
      </c>
      <c r="B4" s="1" t="s">
        <v>20</v>
      </c>
      <c r="C4" s="2">
        <v>15</v>
      </c>
      <c r="D4" s="1" t="s">
        <v>33</v>
      </c>
      <c r="E4" s="1" t="s">
        <v>21</v>
      </c>
      <c r="F4" s="1" t="s">
        <v>21</v>
      </c>
      <c r="G4" s="1" t="s">
        <v>21</v>
      </c>
      <c r="H4" s="1" t="s">
        <v>7</v>
      </c>
      <c r="I4" s="1" t="s">
        <v>21</v>
      </c>
      <c r="J4" s="1" t="s">
        <v>21</v>
      </c>
      <c r="K4" s="1" t="s">
        <v>10</v>
      </c>
      <c r="L4" s="1" t="s">
        <v>21</v>
      </c>
      <c r="M4" s="30" t="s">
        <v>34</v>
      </c>
      <c r="N4" s="2">
        <v>20</v>
      </c>
      <c r="O4" s="27" t="s">
        <v>35</v>
      </c>
      <c r="P4" s="6" t="s">
        <v>36</v>
      </c>
      <c r="Q4" s="26" t="s">
        <v>37</v>
      </c>
      <c r="R4" s="1" t="s">
        <v>38</v>
      </c>
      <c r="S4" s="13" t="s">
        <v>39</v>
      </c>
    </row>
    <row r="5" spans="1:19" ht="56.1">
      <c r="A5" s="1" t="s">
        <v>40</v>
      </c>
      <c r="C5" s="2">
        <v>3</v>
      </c>
      <c r="D5" s="2" t="s">
        <v>41</v>
      </c>
      <c r="M5" s="2">
        <v>3</v>
      </c>
      <c r="N5" s="2">
        <v>9</v>
      </c>
      <c r="O5" s="31" t="s">
        <v>42</v>
      </c>
      <c r="P5" s="6" t="s">
        <v>43</v>
      </c>
      <c r="Q5" s="1" t="s">
        <v>44</v>
      </c>
      <c r="R5" s="1" t="s">
        <v>45</v>
      </c>
    </row>
    <row r="6" spans="1:19" ht="69.95">
      <c r="A6" s="1" t="s">
        <v>46</v>
      </c>
      <c r="C6" s="2">
        <v>4</v>
      </c>
      <c r="D6" s="2" t="s">
        <v>47</v>
      </c>
      <c r="M6" s="28" t="s">
        <v>48</v>
      </c>
      <c r="N6" s="28" t="s">
        <v>49</v>
      </c>
      <c r="O6" s="6" t="s">
        <v>50</v>
      </c>
      <c r="P6" s="6" t="s">
        <v>51</v>
      </c>
      <c r="Q6" s="29" t="s">
        <v>52</v>
      </c>
      <c r="R6" s="1" t="s">
        <v>53</v>
      </c>
      <c r="S6" s="13" t="s">
        <v>54</v>
      </c>
    </row>
    <row r="7" spans="1:19" ht="69.95">
      <c r="A7" s="1" t="s">
        <v>55</v>
      </c>
      <c r="C7" s="2">
        <v>3</v>
      </c>
      <c r="D7" s="2" t="s">
        <v>6</v>
      </c>
      <c r="M7" s="2">
        <f ca="1">(TODAY()-DATE(2019,7,1))/365</f>
        <v>4.9150684931506845</v>
      </c>
      <c r="N7" s="2">
        <f ca="1">(TODAY()-DATE(2014,12,15))/365</f>
        <v>9.4602739726027405</v>
      </c>
      <c r="O7" s="6" t="s">
        <v>56</v>
      </c>
      <c r="P7" s="6" t="s">
        <v>57</v>
      </c>
      <c r="Q7" s="1" t="s">
        <v>58</v>
      </c>
      <c r="R7" s="1" t="s">
        <v>59</v>
      </c>
      <c r="S7" s="13" t="s">
        <v>60</v>
      </c>
    </row>
    <row r="8" spans="1:19" ht="42">
      <c r="A8" s="1" t="s">
        <v>61</v>
      </c>
      <c r="C8" s="2">
        <v>4</v>
      </c>
      <c r="D8" s="2" t="s">
        <v>7</v>
      </c>
      <c r="M8" s="2">
        <v>4</v>
      </c>
      <c r="N8" s="2">
        <v>5</v>
      </c>
      <c r="O8" s="6" t="s">
        <v>62</v>
      </c>
      <c r="P8" s="6" t="s">
        <v>63</v>
      </c>
      <c r="Q8" s="1" t="s">
        <v>64</v>
      </c>
      <c r="R8" s="1" t="s">
        <v>65</v>
      </c>
      <c r="S8" s="13" t="s">
        <v>66</v>
      </c>
    </row>
    <row r="9" spans="1:19" ht="56.1">
      <c r="A9" s="1" t="s">
        <v>67</v>
      </c>
      <c r="C9" s="2">
        <v>3</v>
      </c>
      <c r="D9" s="2" t="s">
        <v>8</v>
      </c>
      <c r="M9" s="2">
        <v>1</v>
      </c>
      <c r="N9" s="2">
        <v>2</v>
      </c>
      <c r="O9" s="6" t="s">
        <v>68</v>
      </c>
      <c r="P9" s="6" t="s">
        <v>69</v>
      </c>
      <c r="Q9" s="1" t="s">
        <v>70</v>
      </c>
      <c r="R9" s="1" t="s">
        <v>71</v>
      </c>
      <c r="S9" s="13" t="s">
        <v>72</v>
      </c>
    </row>
    <row r="10" spans="1:19" ht="84">
      <c r="A10" s="1" t="s">
        <v>73</v>
      </c>
      <c r="C10" s="2">
        <v>3</v>
      </c>
      <c r="D10" s="2" t="s">
        <v>41</v>
      </c>
      <c r="M10" s="2">
        <v>2</v>
      </c>
      <c r="N10" s="2">
        <v>4.5</v>
      </c>
      <c r="O10" s="6" t="s">
        <v>74</v>
      </c>
      <c r="P10" s="6" t="s">
        <v>75</v>
      </c>
      <c r="Q10" s="1" t="s">
        <v>76</v>
      </c>
      <c r="R10" s="1" t="s">
        <v>77</v>
      </c>
      <c r="S10" s="13" t="s">
        <v>78</v>
      </c>
    </row>
    <row r="11" spans="1:19" ht="69.95">
      <c r="A11" s="1" t="s">
        <v>79</v>
      </c>
      <c r="C11" s="2">
        <v>3</v>
      </c>
      <c r="D11" s="2" t="s">
        <v>80</v>
      </c>
      <c r="M11" s="2">
        <v>0</v>
      </c>
      <c r="N11" s="2">
        <v>7</v>
      </c>
      <c r="O11" s="6" t="s">
        <v>81</v>
      </c>
      <c r="P11" s="6" t="s">
        <v>82</v>
      </c>
      <c r="Q11" s="1" t="s">
        <v>83</v>
      </c>
      <c r="R11" s="6" t="s">
        <v>84</v>
      </c>
      <c r="S11" s="13" t="s">
        <v>85</v>
      </c>
    </row>
    <row r="12" spans="1:19" ht="42">
      <c r="A12" s="1" t="s">
        <v>86</v>
      </c>
      <c r="C12" s="2" t="s">
        <v>87</v>
      </c>
      <c r="D12" s="2" t="s">
        <v>8</v>
      </c>
      <c r="M12" s="2">
        <v>2</v>
      </c>
      <c r="N12" s="2">
        <v>4</v>
      </c>
      <c r="O12" s="6" t="s">
        <v>88</v>
      </c>
      <c r="P12" s="6" t="s">
        <v>89</v>
      </c>
      <c r="Q12" s="1" t="s">
        <v>90</v>
      </c>
      <c r="R12" s="1" t="s">
        <v>91</v>
      </c>
      <c r="S12" s="13" t="s">
        <v>92</v>
      </c>
    </row>
    <row r="13" spans="1:19" ht="42">
      <c r="A13" s="1" t="s">
        <v>93</v>
      </c>
      <c r="C13" s="2" t="s">
        <v>87</v>
      </c>
      <c r="D13" s="2" t="s">
        <v>94</v>
      </c>
      <c r="M13" s="2">
        <v>5</v>
      </c>
      <c r="N13" s="2">
        <v>5</v>
      </c>
      <c r="O13" s="6" t="s">
        <v>95</v>
      </c>
      <c r="P13" s="6"/>
      <c r="Q13" s="6" t="s">
        <v>96</v>
      </c>
      <c r="R13" s="1" t="s">
        <v>97</v>
      </c>
      <c r="S13" s="13" t="s">
        <v>98</v>
      </c>
    </row>
    <row r="14" spans="1:19" ht="27.95">
      <c r="A14" s="1" t="s">
        <v>99</v>
      </c>
      <c r="C14" s="2">
        <v>4</v>
      </c>
      <c r="D14" s="2" t="s">
        <v>100</v>
      </c>
      <c r="M14" s="2">
        <v>5</v>
      </c>
      <c r="N14" s="2">
        <v>5</v>
      </c>
      <c r="O14" s="6" t="s">
        <v>101</v>
      </c>
      <c r="P14" s="6" t="s">
        <v>102</v>
      </c>
      <c r="Q14" s="1" t="s">
        <v>103</v>
      </c>
      <c r="R14" s="1" t="s">
        <v>104</v>
      </c>
      <c r="S14" s="13" t="s">
        <v>105</v>
      </c>
    </row>
    <row r="15" spans="1:19" ht="56.1">
      <c r="A15" s="1" t="s">
        <v>106</v>
      </c>
      <c r="C15" s="2" t="s">
        <v>87</v>
      </c>
      <c r="D15" s="2" t="s">
        <v>107</v>
      </c>
      <c r="M15" s="2">
        <v>8</v>
      </c>
      <c r="N15" s="2">
        <v>15</v>
      </c>
      <c r="O15" s="6" t="s">
        <v>108</v>
      </c>
      <c r="P15" s="6" t="s">
        <v>109</v>
      </c>
      <c r="Q15" s="1" t="s">
        <v>110</v>
      </c>
    </row>
    <row r="16" spans="1:19" ht="42">
      <c r="A16" s="1" t="s">
        <v>111</v>
      </c>
      <c r="C16" s="2" t="s">
        <v>87</v>
      </c>
      <c r="D16" s="2" t="s">
        <v>11</v>
      </c>
      <c r="M16" s="28">
        <v>2</v>
      </c>
      <c r="N16" s="2">
        <v>5</v>
      </c>
      <c r="O16" s="6" t="s">
        <v>112</v>
      </c>
      <c r="P16" s="6" t="s">
        <v>113</v>
      </c>
      <c r="Q16" s="6" t="s">
        <v>114</v>
      </c>
      <c r="R16" s="1" t="s">
        <v>115</v>
      </c>
      <c r="S16" s="13" t="s">
        <v>116</v>
      </c>
    </row>
    <row r="17" spans="1:19" ht="27.95">
      <c r="A17" s="1" t="s">
        <v>117</v>
      </c>
      <c r="C17" s="2" t="s">
        <v>87</v>
      </c>
      <c r="D17" s="2" t="s">
        <v>7</v>
      </c>
      <c r="M17" s="2">
        <v>9</v>
      </c>
      <c r="N17" s="2" t="s">
        <v>118</v>
      </c>
      <c r="O17" s="6" t="s">
        <v>119</v>
      </c>
      <c r="P17" s="6" t="s">
        <v>120</v>
      </c>
      <c r="Q17" s="1" t="s">
        <v>121</v>
      </c>
      <c r="R17" s="1" t="s">
        <v>122</v>
      </c>
      <c r="S17" s="13" t="s">
        <v>123</v>
      </c>
    </row>
    <row r="18" spans="1:19" ht="56.1">
      <c r="A18" s="1" t="s">
        <v>124</v>
      </c>
      <c r="C18" s="2">
        <v>3</v>
      </c>
      <c r="D18" s="2" t="s">
        <v>125</v>
      </c>
      <c r="M18" s="2">
        <v>6</v>
      </c>
      <c r="N18" s="2">
        <v>7</v>
      </c>
      <c r="O18" s="6" t="s">
        <v>126</v>
      </c>
      <c r="P18" s="6" t="s">
        <v>127</v>
      </c>
      <c r="Q18" s="1" t="s">
        <v>128</v>
      </c>
      <c r="R18" s="1" t="s">
        <v>129</v>
      </c>
      <c r="S18" s="13" t="s">
        <v>130</v>
      </c>
    </row>
    <row r="19" spans="1:19" ht="71.25" customHeight="1">
      <c r="A19" s="1" t="s">
        <v>131</v>
      </c>
      <c r="C19" s="2">
        <v>4</v>
      </c>
      <c r="D19" s="2" t="s">
        <v>132</v>
      </c>
      <c r="M19" s="2">
        <v>4</v>
      </c>
      <c r="N19" s="2">
        <v>7</v>
      </c>
      <c r="O19" s="6" t="s">
        <v>133</v>
      </c>
      <c r="P19" s="6" t="s">
        <v>134</v>
      </c>
      <c r="Q19" s="6" t="s">
        <v>135</v>
      </c>
      <c r="R19" s="6" t="s">
        <v>136</v>
      </c>
      <c r="S19" s="13" t="s">
        <v>137</v>
      </c>
    </row>
    <row r="20" spans="1:19" ht="69.95">
      <c r="A20" s="1" t="s">
        <v>138</v>
      </c>
      <c r="C20" s="2" t="s">
        <v>87</v>
      </c>
      <c r="D20" s="2" t="s">
        <v>139</v>
      </c>
      <c r="M20" s="2">
        <v>4</v>
      </c>
      <c r="N20" s="2">
        <v>7</v>
      </c>
      <c r="O20" s="6" t="s">
        <v>140</v>
      </c>
      <c r="P20" s="6" t="s">
        <v>141</v>
      </c>
      <c r="Q20" s="6" t="s">
        <v>142</v>
      </c>
      <c r="R20" s="6" t="s">
        <v>143</v>
      </c>
      <c r="S20" s="13" t="s">
        <v>144</v>
      </c>
    </row>
    <row r="21" spans="1:19" ht="69.95">
      <c r="A21" s="1" t="s">
        <v>145</v>
      </c>
      <c r="C21" s="2">
        <v>2</v>
      </c>
      <c r="D21" s="2" t="s">
        <v>146</v>
      </c>
      <c r="M21" s="2">
        <v>5</v>
      </c>
      <c r="N21" s="2" t="s">
        <v>118</v>
      </c>
      <c r="O21" s="6" t="s">
        <v>147</v>
      </c>
      <c r="P21" s="6" t="s">
        <v>146</v>
      </c>
      <c r="Q21" s="1" t="s">
        <v>148</v>
      </c>
      <c r="R21" s="1" t="s">
        <v>149</v>
      </c>
      <c r="S21" s="13" t="s">
        <v>150</v>
      </c>
    </row>
    <row r="22" spans="1:19" ht="69.95">
      <c r="A22" s="1" t="s">
        <v>151</v>
      </c>
      <c r="C22" s="2">
        <v>2</v>
      </c>
      <c r="D22" s="2" t="s">
        <v>152</v>
      </c>
      <c r="M22" s="2">
        <v>1</v>
      </c>
      <c r="N22" s="2">
        <v>5</v>
      </c>
      <c r="O22" s="6" t="s">
        <v>153</v>
      </c>
      <c r="P22" s="6" t="s">
        <v>154</v>
      </c>
      <c r="Q22" s="1" t="s">
        <v>155</v>
      </c>
      <c r="R22" s="6" t="s">
        <v>156</v>
      </c>
      <c r="S22" s="13" t="s">
        <v>157</v>
      </c>
    </row>
    <row r="23" spans="1:19" ht="42">
      <c r="A23" s="1" t="s">
        <v>158</v>
      </c>
      <c r="C23" s="2">
        <v>1</v>
      </c>
      <c r="D23" s="2" t="s">
        <v>159</v>
      </c>
      <c r="M23" s="2">
        <v>1</v>
      </c>
      <c r="N23" s="2" t="s">
        <v>118</v>
      </c>
      <c r="O23" s="6" t="s">
        <v>160</v>
      </c>
      <c r="P23" s="6" t="s">
        <v>161</v>
      </c>
      <c r="Q23" s="1" t="s">
        <v>162</v>
      </c>
      <c r="R23" s="1" t="s">
        <v>163</v>
      </c>
      <c r="S23" s="13" t="s">
        <v>164</v>
      </c>
    </row>
    <row r="24" spans="1:19" ht="42">
      <c r="A24" s="1" t="s">
        <v>165</v>
      </c>
      <c r="C24" s="2">
        <v>2</v>
      </c>
      <c r="D24" s="2" t="s">
        <v>166</v>
      </c>
      <c r="M24" s="2">
        <v>3</v>
      </c>
      <c r="N24" s="2">
        <v>5</v>
      </c>
      <c r="O24" s="6" t="s">
        <v>167</v>
      </c>
      <c r="P24" s="6" t="s">
        <v>168</v>
      </c>
      <c r="Q24" s="1" t="s">
        <v>169</v>
      </c>
      <c r="R24" s="1" t="s">
        <v>170</v>
      </c>
      <c r="S24" s="13" t="s">
        <v>171</v>
      </c>
    </row>
    <row r="25" spans="1:19" ht="86.25">
      <c r="A25" s="1" t="s">
        <v>172</v>
      </c>
      <c r="C25" s="28" t="s">
        <v>173</v>
      </c>
      <c r="D25" s="2" t="s">
        <v>174</v>
      </c>
      <c r="M25" s="2">
        <v>5</v>
      </c>
      <c r="N25" s="2">
        <v>8</v>
      </c>
      <c r="O25" s="6" t="s">
        <v>175</v>
      </c>
      <c r="P25" s="6" t="s">
        <v>176</v>
      </c>
      <c r="Q25" s="6" t="s">
        <v>177</v>
      </c>
      <c r="R25" s="6" t="s">
        <v>178</v>
      </c>
      <c r="S25" s="13" t="s">
        <v>179</v>
      </c>
    </row>
    <row r="26" spans="1:19" ht="57.75">
      <c r="A26" s="1" t="s">
        <v>180</v>
      </c>
      <c r="C26" s="2">
        <v>3</v>
      </c>
      <c r="D26" s="2" t="s">
        <v>181</v>
      </c>
      <c r="M26" s="2">
        <v>10</v>
      </c>
      <c r="N26" s="2">
        <v>10</v>
      </c>
      <c r="O26" s="6" t="s">
        <v>182</v>
      </c>
      <c r="P26" s="6" t="s">
        <v>183</v>
      </c>
      <c r="Q26" s="6" t="s">
        <v>184</v>
      </c>
      <c r="R26" s="1" t="s">
        <v>185</v>
      </c>
      <c r="S26" s="13" t="s">
        <v>186</v>
      </c>
    </row>
    <row r="27" spans="1:19" ht="14.25">
      <c r="A27" s="1" t="s">
        <v>187</v>
      </c>
      <c r="C27" s="2" t="s">
        <v>188</v>
      </c>
      <c r="D27" s="2" t="s">
        <v>189</v>
      </c>
      <c r="M27" s="2">
        <v>6</v>
      </c>
      <c r="N27" s="2">
        <v>13</v>
      </c>
      <c r="P27" s="6"/>
      <c r="Q27" s="6"/>
      <c r="S27" s="13"/>
    </row>
    <row r="28" spans="1:19" ht="57.75">
      <c r="A28" s="1" t="s">
        <v>190</v>
      </c>
      <c r="C28" s="2">
        <v>3</v>
      </c>
      <c r="D28" s="2" t="s">
        <v>191</v>
      </c>
      <c r="M28" s="2">
        <v>1</v>
      </c>
      <c r="N28" s="2">
        <v>6</v>
      </c>
      <c r="O28" s="6" t="s">
        <v>192</v>
      </c>
      <c r="P28" s="6" t="s">
        <v>193</v>
      </c>
      <c r="Q28" s="6" t="s">
        <v>194</v>
      </c>
      <c r="R28" s="1" t="s">
        <v>195</v>
      </c>
      <c r="S28" s="40" t="s">
        <v>196</v>
      </c>
    </row>
    <row r="29" spans="1:19" ht="72">
      <c r="A29" s="1" t="s">
        <v>197</v>
      </c>
      <c r="C29" s="2">
        <v>2</v>
      </c>
      <c r="D29" s="2" t="s">
        <v>198</v>
      </c>
      <c r="M29" s="2">
        <v>4</v>
      </c>
      <c r="N29" s="2">
        <v>5</v>
      </c>
      <c r="O29" s="6" t="s">
        <v>199</v>
      </c>
      <c r="P29" s="6" t="s">
        <v>200</v>
      </c>
      <c r="Q29" s="1" t="s">
        <v>201</v>
      </c>
      <c r="R29" s="6" t="s">
        <v>202</v>
      </c>
    </row>
    <row r="30" spans="1:19" ht="14.25">
      <c r="P30" s="6"/>
      <c r="R30" s="6"/>
    </row>
  </sheetData>
  <hyperlinks>
    <hyperlink ref="S4" r:id="rId1" xr:uid="{C1D8F68E-1315-4E59-AE55-F9BAC19F6DB9}"/>
    <hyperlink ref="S7" r:id="rId2" xr:uid="{9E57ED8B-86A1-4EE2-BD5B-63F416444753}"/>
    <hyperlink ref="S8" r:id="rId3" xr:uid="{BD1B7E85-BE5F-4AD2-BAFE-CCABC35EBCFB}"/>
    <hyperlink ref="S9" r:id="rId4" xr:uid="{DEF7A508-C127-4005-B361-8C844A602E15}"/>
    <hyperlink ref="S10" r:id="rId5" xr:uid="{48D2FD0F-5D6A-4A74-95D1-40F5E46E18C3}"/>
    <hyperlink ref="S6" r:id="rId6" xr:uid="{53FAA41A-1161-43C7-AACC-7CA40402C3F3}"/>
    <hyperlink ref="S11" r:id="rId7" xr:uid="{CD9AD7A3-F7D0-4185-8143-CBF51905C805}"/>
    <hyperlink ref="S2" r:id="rId8" xr:uid="{93CBC407-F55F-4FC6-AA9B-6E552B3F1C8E}"/>
    <hyperlink ref="S3" r:id="rId9" xr:uid="{BFEF7BD8-77A3-4F8B-A872-9FB115622A60}"/>
    <hyperlink ref="S12" r:id="rId10" xr:uid="{0564D2B0-FBB5-4782-BB86-7C5C27111B19}"/>
    <hyperlink ref="S13" r:id="rId11" xr:uid="{584381CD-495E-4D1A-8D64-A9E3E535CA03}"/>
    <hyperlink ref="S14" r:id="rId12" xr:uid="{CF9D2732-C379-4289-A314-2D30573BF1B9}"/>
    <hyperlink ref="S16" r:id="rId13" xr:uid="{4F7299D1-F5C5-48C9-AF17-8889C8811D6B}"/>
    <hyperlink ref="S17" r:id="rId14" xr:uid="{855FC189-103D-46F6-BF1C-2233F8EFF429}"/>
    <hyperlink ref="S18" r:id="rId15" xr:uid="{3D47D131-06D1-4D58-8BB4-2474ADACC691}"/>
    <hyperlink ref="S19" r:id="rId16" xr:uid="{986ECC7F-4189-4A62-9E42-BA66CA5247D7}"/>
    <hyperlink ref="S20" r:id="rId17" xr:uid="{E0F031BF-7D7C-4F9F-A8C5-4ACDFE92912D}"/>
    <hyperlink ref="S21" r:id="rId18" xr:uid="{292938B2-C1EE-447A-848D-77B689625E3A}"/>
    <hyperlink ref="S22" r:id="rId19" xr:uid="{EF1E5DDE-A35D-4581-894E-9179348C9D26}"/>
    <hyperlink ref="S23" r:id="rId20" xr:uid="{D136B6B4-CC41-473E-A94E-FB4D00573B72}"/>
    <hyperlink ref="S24" r:id="rId21" xr:uid="{81C3C866-24A5-46E1-BC57-3713BEA12620}"/>
    <hyperlink ref="S25" r:id="rId22" xr:uid="{95A1A3B4-2224-4070-88D7-D3E499C78AC9}"/>
    <hyperlink ref="S26" r:id="rId23" xr:uid="{9563B3F4-A27A-45B2-B7F1-61973822FCEF}"/>
    <hyperlink ref="S28" r:id="rId24" xr:uid="{4C405526-E6B6-4601-B5C4-0E9650CC1910}"/>
  </hyperlinks>
  <pageMargins left="0.78749999999999998" right="0.78749999999999998" top="1.05277777777778" bottom="1.05277777777778" header="0.78749999999999998" footer="0.78749999999999998"/>
  <pageSetup paperSize="9" orientation="portrait" useFirstPageNumber="1" horizontalDpi="300" verticalDpi="300" r:id="rId25"/>
  <headerFooter>
    <oddHeader>&amp;C&amp;"Times New Roman,Regular"&amp;12&amp;A</oddHeader>
    <oddFooter>&amp;C&amp;"Times New Roman,Regular"&amp;12Page &amp;P</oddFooter>
  </headerFooter>
  <tableParts count="1">
    <tablePart r:id="rId2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0BC50-C4F6-464C-988C-2FAADEA3FC50}">
  <dimension ref="A1:A3"/>
  <sheetViews>
    <sheetView workbookViewId="0"/>
  </sheetViews>
  <sheetFormatPr defaultColWidth="8.875" defaultRowHeight="14.1"/>
  <sheetData>
    <row r="1" spans="1:1">
      <c r="A1" s="1" t="s">
        <v>203</v>
      </c>
    </row>
    <row r="2" spans="1:1">
      <c r="A2" s="1" t="s">
        <v>204</v>
      </c>
    </row>
    <row r="3" spans="1:1">
      <c r="A3" s="1" t="s">
        <v>205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34E3A-C118-47E4-9F13-BC1EF0CD6C63}">
  <dimension ref="A1:R65"/>
  <sheetViews>
    <sheetView topLeftCell="A14" zoomScaleNormal="100" workbookViewId="0">
      <selection activeCell="F26" sqref="F26"/>
    </sheetView>
  </sheetViews>
  <sheetFormatPr defaultColWidth="8.875" defaultRowHeight="14.1"/>
  <cols>
    <col min="1" max="1" width="21" style="1" customWidth="1"/>
    <col min="2" max="2" width="12.125" bestFit="1" customWidth="1"/>
    <col min="3" max="3" width="9" bestFit="1" customWidth="1"/>
    <col min="4" max="4" width="10" customWidth="1"/>
    <col min="5" max="5" width="9" bestFit="1" customWidth="1"/>
    <col min="6" max="6" width="9.5" bestFit="1" customWidth="1"/>
    <col min="7" max="7" width="8.625" bestFit="1" customWidth="1"/>
    <col min="8" max="8" width="9.5" bestFit="1" customWidth="1"/>
    <col min="9" max="9" width="9.875" bestFit="1" customWidth="1"/>
    <col min="10" max="10" width="8.375" bestFit="1" customWidth="1"/>
    <col min="11" max="11" width="12.125" bestFit="1" customWidth="1"/>
    <col min="12" max="16" width="9.375" bestFit="1" customWidth="1"/>
  </cols>
  <sheetData>
    <row r="1" spans="1:18">
      <c r="B1" s="41" t="s">
        <v>206</v>
      </c>
      <c r="C1" s="41"/>
      <c r="D1" s="41"/>
      <c r="E1" s="41"/>
      <c r="F1" s="41"/>
      <c r="G1" s="41"/>
      <c r="H1" s="41"/>
      <c r="I1" s="41"/>
      <c r="J1" s="41"/>
      <c r="K1" s="41"/>
      <c r="L1" s="41"/>
      <c r="M1" s="41"/>
      <c r="N1" s="41"/>
      <c r="O1" s="41"/>
      <c r="P1" s="41"/>
    </row>
    <row r="2" spans="1:18" ht="32.25" customHeight="1">
      <c r="A2" s="14" t="s">
        <v>207</v>
      </c>
      <c r="B2" s="9" t="s">
        <v>208</v>
      </c>
      <c r="C2" s="9" t="s">
        <v>209</v>
      </c>
      <c r="D2" s="9" t="s">
        <v>210</v>
      </c>
      <c r="E2" s="9" t="s">
        <v>211</v>
      </c>
      <c r="F2" s="9" t="s">
        <v>212</v>
      </c>
      <c r="G2" s="9" t="s">
        <v>213</v>
      </c>
      <c r="H2" s="9" t="s">
        <v>214</v>
      </c>
      <c r="I2" s="9" t="s">
        <v>215</v>
      </c>
      <c r="J2" s="9" t="s">
        <v>216</v>
      </c>
      <c r="K2" s="9" t="s">
        <v>217</v>
      </c>
      <c r="L2" s="9" t="s">
        <v>218</v>
      </c>
      <c r="M2" s="9" t="s">
        <v>219</v>
      </c>
      <c r="N2" s="9" t="s">
        <v>220</v>
      </c>
      <c r="O2" s="9" t="s">
        <v>221</v>
      </c>
      <c r="P2" s="9" t="s">
        <v>222</v>
      </c>
    </row>
    <row r="3" spans="1:18">
      <c r="A3" s="1" t="s">
        <v>223</v>
      </c>
      <c r="B3" s="11"/>
      <c r="C3" s="5"/>
      <c r="D3" s="11"/>
      <c r="E3" s="5"/>
      <c r="F3" s="11"/>
      <c r="G3" s="5"/>
      <c r="H3" s="11"/>
      <c r="I3" s="5"/>
      <c r="J3" s="11"/>
      <c r="K3" s="5"/>
      <c r="L3" s="5"/>
      <c r="M3" s="5"/>
      <c r="N3" s="5"/>
      <c r="O3" s="5"/>
      <c r="P3" s="5"/>
    </row>
    <row r="4" spans="1:18">
      <c r="A4" s="1" t="s">
        <v>180</v>
      </c>
      <c r="B4" s="10"/>
      <c r="C4" s="10"/>
      <c r="D4" s="10"/>
      <c r="E4" s="10"/>
      <c r="F4" s="10"/>
      <c r="G4" s="10"/>
      <c r="H4" s="10"/>
      <c r="I4" s="10"/>
      <c r="J4" s="10"/>
      <c r="K4" s="10"/>
      <c r="L4" s="10"/>
      <c r="M4" s="10"/>
      <c r="N4" s="10"/>
      <c r="O4" s="10"/>
      <c r="P4" s="10"/>
    </row>
    <row r="5" spans="1:18">
      <c r="A5" s="1" t="s">
        <v>224</v>
      </c>
      <c r="B5" s="10"/>
      <c r="C5" s="10"/>
      <c r="D5" s="10"/>
      <c r="E5" s="10"/>
      <c r="F5" s="10"/>
      <c r="G5" s="10"/>
      <c r="H5" s="10"/>
      <c r="I5" s="10"/>
      <c r="J5" s="10"/>
      <c r="K5" s="10"/>
      <c r="L5" s="10"/>
      <c r="M5" s="10"/>
      <c r="N5" s="10"/>
      <c r="O5" s="10"/>
      <c r="P5" s="10"/>
      <c r="R5" s="15"/>
    </row>
    <row r="6" spans="1:18">
      <c r="A6" s="1" t="s">
        <v>225</v>
      </c>
      <c r="B6" s="10"/>
      <c r="C6" s="10"/>
      <c r="D6" s="10"/>
      <c r="E6" s="10"/>
      <c r="F6" s="10"/>
      <c r="G6" s="10"/>
      <c r="H6" s="10"/>
      <c r="I6" s="10"/>
      <c r="J6" s="10"/>
      <c r="K6" s="10"/>
      <c r="L6" s="10"/>
      <c r="M6" s="10"/>
      <c r="N6" s="10"/>
      <c r="O6" s="10"/>
      <c r="P6" s="10"/>
    </row>
    <row r="7" spans="1:18">
      <c r="A7" s="1" t="s">
        <v>226</v>
      </c>
      <c r="B7" s="10"/>
      <c r="C7" s="10"/>
      <c r="D7" s="10"/>
      <c r="E7" s="10"/>
      <c r="F7" s="10"/>
      <c r="G7" s="10"/>
      <c r="H7" s="10"/>
      <c r="I7" s="10"/>
      <c r="J7" s="10"/>
      <c r="K7" s="10"/>
      <c r="L7" s="10"/>
      <c r="M7" s="10"/>
      <c r="N7" s="10"/>
      <c r="O7" s="10"/>
      <c r="P7" s="10"/>
    </row>
    <row r="8" spans="1:18">
      <c r="A8" s="1" t="s">
        <v>19</v>
      </c>
      <c r="B8" s="5"/>
      <c r="C8" s="5"/>
      <c r="D8" s="5"/>
      <c r="E8" s="5"/>
      <c r="F8" s="5"/>
      <c r="G8" s="5"/>
      <c r="H8" s="5"/>
      <c r="I8" s="5"/>
      <c r="J8" s="5"/>
      <c r="K8" s="5"/>
      <c r="L8" s="5"/>
      <c r="M8" s="5"/>
      <c r="N8" s="5"/>
      <c r="O8" s="5"/>
      <c r="P8" s="5"/>
    </row>
    <row r="9" spans="1:18">
      <c r="A9" s="1" t="s">
        <v>227</v>
      </c>
      <c r="B9" s="5"/>
      <c r="C9" s="10"/>
      <c r="D9" s="10"/>
      <c r="E9" s="5"/>
      <c r="F9" s="5"/>
      <c r="G9" s="5"/>
      <c r="H9" s="5"/>
      <c r="I9" s="5"/>
      <c r="J9" s="5"/>
      <c r="K9" s="5"/>
      <c r="L9" s="5"/>
      <c r="M9" s="5"/>
      <c r="N9" s="5"/>
      <c r="O9" s="5"/>
      <c r="P9" s="5"/>
    </row>
    <row r="10" spans="1:18">
      <c r="A10" s="1" t="s">
        <v>228</v>
      </c>
      <c r="B10" s="10"/>
      <c r="C10" s="10"/>
      <c r="D10" s="10"/>
      <c r="E10" s="10"/>
      <c r="F10" s="10"/>
      <c r="G10" s="10"/>
      <c r="H10" s="10"/>
      <c r="I10" s="10"/>
      <c r="J10" s="10"/>
      <c r="K10" s="10"/>
      <c r="L10" s="10"/>
      <c r="M10" s="10"/>
      <c r="N10" s="10"/>
      <c r="O10" s="10"/>
      <c r="P10" s="10"/>
    </row>
    <row r="11" spans="1:18">
      <c r="A11" s="1" t="s">
        <v>229</v>
      </c>
      <c r="B11" s="5"/>
      <c r="C11" s="5"/>
      <c r="D11" s="5"/>
      <c r="E11" s="5"/>
      <c r="F11" s="5"/>
      <c r="G11" s="25"/>
      <c r="H11" s="5"/>
      <c r="I11" s="5"/>
      <c r="J11" s="5"/>
      <c r="K11" s="5"/>
      <c r="L11" s="5"/>
      <c r="M11" s="5"/>
      <c r="N11" s="5"/>
      <c r="O11" s="5"/>
      <c r="P11" s="5"/>
    </row>
    <row r="12" spans="1:18">
      <c r="A12" s="1" t="s">
        <v>230</v>
      </c>
      <c r="B12" s="10"/>
      <c r="C12" s="10"/>
      <c r="D12" s="10"/>
      <c r="E12" s="10"/>
      <c r="F12" s="10"/>
      <c r="G12" s="16"/>
      <c r="H12" s="10"/>
      <c r="I12" s="10"/>
      <c r="J12" s="10"/>
      <c r="K12" s="10"/>
      <c r="L12" s="10"/>
      <c r="M12" s="10"/>
      <c r="N12" s="10"/>
      <c r="O12" s="10"/>
      <c r="P12" s="10"/>
    </row>
    <row r="13" spans="1:18">
      <c r="A13" s="1" t="s">
        <v>231</v>
      </c>
      <c r="B13" s="10"/>
      <c r="C13" s="10"/>
      <c r="D13" s="10"/>
      <c r="E13" s="10"/>
      <c r="F13" s="10"/>
      <c r="G13" s="10"/>
      <c r="H13" s="10"/>
      <c r="I13" s="10"/>
      <c r="J13" s="10"/>
      <c r="K13" s="10"/>
      <c r="L13" s="10"/>
      <c r="M13" s="10"/>
      <c r="N13" s="10"/>
      <c r="O13" s="10"/>
      <c r="P13" s="10"/>
    </row>
    <row r="14" spans="1:18">
      <c r="A14" s="1" t="s">
        <v>232</v>
      </c>
      <c r="B14" s="5"/>
      <c r="C14" s="5"/>
      <c r="D14" s="5"/>
      <c r="E14" s="5"/>
      <c r="F14" s="5"/>
      <c r="G14" s="5"/>
      <c r="H14" s="5"/>
      <c r="I14" s="5"/>
      <c r="J14" s="5"/>
      <c r="K14" s="5"/>
      <c r="L14" s="5"/>
      <c r="M14" s="5"/>
      <c r="N14" s="5"/>
      <c r="O14" s="5"/>
      <c r="P14" s="5"/>
    </row>
    <row r="15" spans="1:18">
      <c r="A15" s="1" t="s">
        <v>233</v>
      </c>
      <c r="B15" s="10"/>
      <c r="C15" s="10"/>
      <c r="D15" s="10"/>
      <c r="E15" s="10"/>
      <c r="F15" s="10"/>
      <c r="G15" s="10"/>
      <c r="H15" s="10"/>
      <c r="I15" s="10"/>
      <c r="J15" s="10"/>
      <c r="K15" s="10"/>
      <c r="L15" s="10"/>
      <c r="M15" s="10"/>
      <c r="N15" s="10"/>
      <c r="O15" s="10"/>
      <c r="P15" s="10"/>
    </row>
    <row r="16" spans="1:18">
      <c r="A16" s="1" t="s">
        <v>172</v>
      </c>
      <c r="B16" s="5"/>
      <c r="C16" s="5"/>
      <c r="D16" s="5"/>
      <c r="E16" s="5"/>
      <c r="F16" s="5"/>
      <c r="G16" s="5"/>
      <c r="H16" s="5"/>
      <c r="I16" s="5"/>
      <c r="J16" s="5"/>
      <c r="K16" s="5"/>
      <c r="L16" s="5"/>
      <c r="M16" s="5"/>
      <c r="N16" s="5"/>
      <c r="O16" s="5"/>
      <c r="P16" s="5"/>
    </row>
    <row r="17" spans="1:16">
      <c r="A17" s="1" t="s">
        <v>234</v>
      </c>
      <c r="B17" s="5"/>
      <c r="C17" s="5"/>
      <c r="D17" s="5"/>
      <c r="E17" s="5"/>
      <c r="F17" s="5"/>
      <c r="G17" s="5"/>
      <c r="H17" s="5"/>
      <c r="I17" s="5"/>
      <c r="J17" s="5"/>
      <c r="K17" s="5"/>
      <c r="L17" s="5"/>
      <c r="M17" s="5"/>
      <c r="N17" s="5"/>
      <c r="O17" s="5"/>
      <c r="P17" s="5"/>
    </row>
    <row r="18" spans="1:16">
      <c r="A18" s="1" t="s">
        <v>235</v>
      </c>
      <c r="B18" s="10"/>
      <c r="C18" s="10"/>
      <c r="D18" s="10"/>
      <c r="E18" s="10"/>
      <c r="F18" s="10"/>
      <c r="G18" s="10"/>
      <c r="H18" s="10"/>
      <c r="I18" s="10"/>
      <c r="J18" s="10"/>
      <c r="K18" s="10"/>
      <c r="L18" s="10"/>
      <c r="M18" s="10"/>
      <c r="N18" s="10"/>
      <c r="O18" s="10"/>
      <c r="P18" s="10"/>
    </row>
    <row r="19" spans="1:16">
      <c r="A19" s="1" t="s">
        <v>93</v>
      </c>
      <c r="B19" s="5"/>
      <c r="C19" s="5"/>
      <c r="D19" s="5"/>
      <c r="E19" s="5"/>
      <c r="F19" s="5"/>
      <c r="G19" s="5"/>
      <c r="H19" s="5"/>
      <c r="I19" s="5"/>
      <c r="J19" s="5"/>
      <c r="K19" s="5"/>
      <c r="L19" s="5"/>
      <c r="M19" s="5"/>
      <c r="N19" s="5"/>
      <c r="O19" s="5"/>
      <c r="P19" s="5"/>
    </row>
    <row r="20" spans="1:16">
      <c r="A20" s="1" t="s">
        <v>236</v>
      </c>
      <c r="B20" s="10"/>
      <c r="C20" s="10"/>
      <c r="D20" s="10"/>
      <c r="E20" s="10"/>
      <c r="F20" s="10"/>
      <c r="G20" s="10"/>
      <c r="H20" s="10"/>
      <c r="I20" s="10"/>
      <c r="J20" s="10"/>
      <c r="K20" s="10"/>
      <c r="L20" s="10"/>
      <c r="M20" s="10"/>
      <c r="N20" s="10"/>
      <c r="O20" s="10"/>
      <c r="P20" s="10"/>
    </row>
    <row r="21" spans="1:16">
      <c r="A21" s="1" t="s">
        <v>237</v>
      </c>
      <c r="B21" s="10"/>
      <c r="C21" s="10"/>
      <c r="D21" s="10"/>
      <c r="E21" s="10"/>
      <c r="F21" s="10"/>
      <c r="G21" s="10"/>
      <c r="H21" s="10"/>
      <c r="I21" s="10"/>
      <c r="J21" s="10"/>
      <c r="K21" s="10"/>
      <c r="L21" s="10"/>
      <c r="M21" s="10"/>
      <c r="N21" s="10"/>
      <c r="O21" s="10"/>
      <c r="P21" s="10"/>
    </row>
    <row r="22" spans="1:16">
      <c r="A22" s="1" t="s">
        <v>238</v>
      </c>
      <c r="B22" s="5"/>
      <c r="C22" s="5"/>
      <c r="D22" s="10"/>
      <c r="E22" s="5"/>
      <c r="F22" s="5"/>
      <c r="G22" s="5"/>
      <c r="H22" s="5"/>
      <c r="I22" s="5"/>
      <c r="J22" s="5"/>
      <c r="K22" s="5"/>
      <c r="L22" s="5"/>
      <c r="M22" s="5"/>
      <c r="N22" s="5"/>
      <c r="O22" s="5"/>
      <c r="P22" s="5"/>
    </row>
    <row r="23" spans="1:16">
      <c r="A23" s="1" t="s">
        <v>239</v>
      </c>
      <c r="B23" s="10"/>
      <c r="C23" s="10"/>
      <c r="D23" s="10"/>
      <c r="E23" s="10"/>
      <c r="F23" s="10"/>
      <c r="G23" s="10"/>
      <c r="H23" s="10"/>
      <c r="I23" s="10"/>
      <c r="J23" s="10"/>
      <c r="K23" s="10"/>
      <c r="L23" s="10"/>
      <c r="M23" s="10"/>
      <c r="N23" s="10"/>
      <c r="O23" s="10"/>
      <c r="P23" s="10"/>
    </row>
    <row r="24" spans="1:16">
      <c r="A24" s="1" t="s">
        <v>240</v>
      </c>
      <c r="B24" s="5"/>
      <c r="C24" s="5"/>
      <c r="D24" s="5"/>
      <c r="E24" s="5"/>
      <c r="F24" s="5"/>
      <c r="G24" s="5"/>
      <c r="H24" s="5"/>
      <c r="I24" s="5"/>
      <c r="J24" s="5"/>
      <c r="K24" s="5"/>
      <c r="L24" s="5"/>
      <c r="M24" s="5"/>
      <c r="N24" s="5"/>
      <c r="O24" s="5"/>
      <c r="P24" s="5"/>
    </row>
    <row r="25" spans="1:16">
      <c r="A25" s="1" t="s">
        <v>241</v>
      </c>
      <c r="B25" s="10"/>
      <c r="C25" s="10"/>
      <c r="D25" s="18"/>
      <c r="E25" s="10"/>
      <c r="F25" s="10"/>
      <c r="G25" s="18"/>
      <c r="H25" s="18"/>
      <c r="I25" s="16"/>
      <c r="J25" s="10"/>
      <c r="K25" s="10"/>
      <c r="L25" s="10"/>
      <c r="M25" s="10"/>
      <c r="N25" s="10"/>
      <c r="O25" s="10"/>
      <c r="P25" s="10"/>
    </row>
    <row r="26" spans="1:16">
      <c r="A26" s="1" t="s">
        <v>242</v>
      </c>
      <c r="B26" s="5"/>
      <c r="C26" s="5"/>
      <c r="D26" s="5"/>
      <c r="E26" s="5"/>
      <c r="F26" s="5"/>
      <c r="G26" s="5"/>
      <c r="H26" s="5"/>
      <c r="I26" s="5"/>
      <c r="J26" s="5"/>
      <c r="K26" s="5"/>
      <c r="L26" s="5"/>
      <c r="M26" s="5"/>
      <c r="N26" s="5"/>
      <c r="O26" s="5"/>
      <c r="P26" s="5"/>
    </row>
    <row r="27" spans="1:16">
      <c r="A27" s="1" t="s">
        <v>243</v>
      </c>
      <c r="B27" s="10"/>
      <c r="C27" s="10"/>
      <c r="D27" s="10"/>
      <c r="E27" s="10"/>
      <c r="F27" s="10"/>
      <c r="G27" s="10"/>
      <c r="H27" s="10"/>
      <c r="I27" s="10"/>
      <c r="J27" s="10"/>
      <c r="K27" s="10"/>
      <c r="L27" s="10"/>
      <c r="M27" s="10"/>
      <c r="N27" s="10"/>
      <c r="O27" s="10"/>
      <c r="P27" s="10"/>
    </row>
    <row r="28" spans="1:16">
      <c r="A28" s="1" t="s">
        <v>244</v>
      </c>
      <c r="B28" s="10"/>
      <c r="C28" s="10"/>
      <c r="D28" s="10"/>
      <c r="E28" s="10"/>
      <c r="F28" s="10"/>
      <c r="G28" s="10"/>
      <c r="H28" s="10"/>
      <c r="I28" s="10"/>
      <c r="J28" s="10"/>
      <c r="K28" s="10"/>
      <c r="L28" s="10"/>
      <c r="M28" s="10"/>
      <c r="N28" s="10"/>
      <c r="O28" s="10"/>
      <c r="P28" s="10"/>
    </row>
    <row r="29" spans="1:16">
      <c r="A29" s="1" t="s">
        <v>117</v>
      </c>
      <c r="B29" s="25"/>
      <c r="C29" s="25"/>
      <c r="D29" s="25"/>
      <c r="E29" s="25"/>
      <c r="F29" s="25"/>
      <c r="G29" s="25"/>
      <c r="H29" s="25"/>
      <c r="I29" s="25"/>
      <c r="J29" s="25"/>
      <c r="K29" s="25"/>
      <c r="L29" s="25"/>
      <c r="M29" s="5"/>
      <c r="N29" s="5"/>
      <c r="O29" s="5"/>
      <c r="P29" s="5"/>
    </row>
    <row r="30" spans="1:16">
      <c r="A30" s="1" t="s">
        <v>245</v>
      </c>
      <c r="B30" s="5"/>
      <c r="C30" s="5"/>
      <c r="D30" s="5"/>
      <c r="E30" s="5"/>
      <c r="F30" s="5"/>
      <c r="G30" s="5"/>
      <c r="H30" s="5"/>
      <c r="I30" s="5"/>
      <c r="J30" s="5"/>
      <c r="K30" s="5"/>
      <c r="L30" s="5"/>
      <c r="M30" s="5"/>
      <c r="N30" s="5"/>
      <c r="O30" s="5"/>
      <c r="P30" s="5"/>
    </row>
    <row r="31" spans="1:16">
      <c r="A31" s="1" t="s">
        <v>187</v>
      </c>
      <c r="B31" s="10"/>
      <c r="C31" s="10"/>
      <c r="D31" s="10"/>
      <c r="E31" s="10"/>
      <c r="F31" s="10"/>
      <c r="G31" s="10"/>
      <c r="H31" s="10"/>
      <c r="I31" s="10"/>
      <c r="J31" s="10"/>
      <c r="K31" s="5"/>
      <c r="L31" s="10"/>
      <c r="M31" s="10"/>
      <c r="N31" s="5"/>
      <c r="O31" s="10"/>
      <c r="P31" s="10"/>
    </row>
    <row r="32" spans="1:16">
      <c r="A32" s="1" t="s">
        <v>124</v>
      </c>
      <c r="B32" s="5"/>
      <c r="C32" s="5"/>
      <c r="D32" s="5"/>
      <c r="E32" s="5"/>
      <c r="F32" s="5"/>
      <c r="G32" s="5"/>
      <c r="H32" s="5"/>
      <c r="I32" s="5"/>
      <c r="J32" s="5"/>
      <c r="K32" s="5"/>
      <c r="L32" s="5"/>
      <c r="M32" s="5"/>
      <c r="N32" s="5"/>
      <c r="O32" s="5"/>
      <c r="P32" s="5"/>
    </row>
    <row r="33" spans="1:16">
      <c r="A33" s="1" t="s">
        <v>32</v>
      </c>
      <c r="B33" s="10"/>
      <c r="C33" s="10"/>
      <c r="D33" s="10"/>
      <c r="E33" s="10"/>
      <c r="F33" s="12"/>
      <c r="G33" s="10"/>
      <c r="H33" s="5"/>
      <c r="I33" s="10"/>
      <c r="J33" s="10"/>
      <c r="K33" s="10"/>
      <c r="L33" s="10"/>
      <c r="M33" s="10"/>
      <c r="N33" s="10"/>
      <c r="O33" s="10"/>
      <c r="P33" s="10"/>
    </row>
    <row r="34" spans="1:16">
      <c r="A34" s="1" t="s">
        <v>246</v>
      </c>
      <c r="B34" s="5"/>
      <c r="C34" s="5"/>
      <c r="D34" s="5"/>
      <c r="E34" s="5"/>
      <c r="F34" s="5"/>
      <c r="G34" s="5"/>
      <c r="H34" s="5"/>
      <c r="I34" s="5"/>
      <c r="J34" s="5"/>
      <c r="K34" s="5"/>
      <c r="L34" s="5"/>
      <c r="M34" s="5"/>
      <c r="N34" s="5"/>
      <c r="O34" s="5"/>
      <c r="P34" s="5"/>
    </row>
    <row r="35" spans="1:16">
      <c r="A35" s="1" t="s">
        <v>247</v>
      </c>
      <c r="B35" s="10"/>
      <c r="C35" s="10"/>
      <c r="D35" s="10"/>
      <c r="E35" s="10"/>
      <c r="F35" s="10"/>
      <c r="G35" s="10"/>
      <c r="H35" s="10"/>
      <c r="I35" s="10"/>
      <c r="J35" s="10"/>
      <c r="K35" s="10"/>
      <c r="L35" s="10"/>
      <c r="M35" s="10"/>
      <c r="N35" s="10"/>
      <c r="O35" s="10"/>
      <c r="P35" s="10"/>
    </row>
    <row r="36" spans="1:16">
      <c r="A36" s="1" t="s">
        <v>248</v>
      </c>
      <c r="B36" s="5"/>
      <c r="C36" s="5"/>
      <c r="D36" s="17"/>
      <c r="E36" s="5"/>
      <c r="F36" s="5"/>
      <c r="G36" s="5"/>
      <c r="H36" s="5"/>
      <c r="I36" s="5"/>
      <c r="J36" s="5"/>
      <c r="K36" s="5"/>
      <c r="L36" s="5"/>
      <c r="M36" s="5"/>
      <c r="N36" s="5"/>
      <c r="O36" s="5"/>
      <c r="P36" s="5"/>
    </row>
    <row r="37" spans="1:16">
      <c r="A37" s="1" t="s">
        <v>249</v>
      </c>
      <c r="B37" s="5"/>
      <c r="C37" s="5"/>
      <c r="D37" s="5"/>
      <c r="E37" s="5"/>
      <c r="F37" s="5"/>
      <c r="G37" s="5"/>
      <c r="H37" s="5"/>
      <c r="I37" s="5"/>
      <c r="J37" s="5"/>
      <c r="K37" s="5"/>
      <c r="L37" s="5"/>
      <c r="M37" s="5"/>
      <c r="N37" s="5"/>
      <c r="O37" s="5"/>
      <c r="P37" s="5"/>
    </row>
    <row r="38" spans="1:16">
      <c r="A38" s="1" t="s">
        <v>250</v>
      </c>
      <c r="B38" s="10"/>
      <c r="C38" s="10"/>
      <c r="D38" s="10"/>
      <c r="E38" s="10"/>
      <c r="F38" s="10"/>
      <c r="G38" s="10"/>
      <c r="H38" s="10"/>
      <c r="I38" s="10"/>
      <c r="J38" s="10"/>
      <c r="K38" s="10"/>
      <c r="L38" s="10"/>
      <c r="M38" s="10"/>
      <c r="N38" s="10"/>
      <c r="O38" s="10"/>
      <c r="P38" s="10"/>
    </row>
    <row r="39" spans="1:16">
      <c r="A39" s="1" t="s">
        <v>131</v>
      </c>
      <c r="B39" s="10"/>
      <c r="C39" s="10"/>
      <c r="D39" s="10"/>
      <c r="E39" s="10"/>
      <c r="F39" s="10"/>
      <c r="G39" s="10"/>
      <c r="H39" s="10"/>
      <c r="I39" s="10"/>
      <c r="J39" s="10"/>
      <c r="K39" s="10"/>
      <c r="L39" s="10"/>
      <c r="M39" s="10"/>
      <c r="N39" s="10"/>
      <c r="O39" s="10"/>
      <c r="P39" s="10"/>
    </row>
    <row r="40" spans="1:16">
      <c r="B40" s="10"/>
      <c r="C40" s="5"/>
      <c r="D40" s="17"/>
      <c r="E40" s="5"/>
      <c r="F40" s="5"/>
      <c r="G40" s="5"/>
      <c r="H40" s="5"/>
      <c r="I40" s="5"/>
      <c r="J40" s="5"/>
      <c r="K40" s="5"/>
      <c r="L40" s="5"/>
      <c r="M40" s="5"/>
      <c r="N40" s="5"/>
      <c r="O40" s="5"/>
      <c r="P40" s="5"/>
    </row>
    <row r="41" spans="1:16">
      <c r="B41" s="10"/>
      <c r="C41" s="5"/>
      <c r="D41" s="5"/>
      <c r="E41" s="5"/>
      <c r="F41" s="5"/>
      <c r="G41" s="5"/>
      <c r="H41" s="5"/>
      <c r="I41" s="5"/>
      <c r="J41" s="5"/>
      <c r="K41" s="5"/>
      <c r="L41" s="5"/>
      <c r="M41" s="5"/>
      <c r="N41" s="5"/>
      <c r="O41" s="5"/>
      <c r="P41" s="5"/>
    </row>
    <row r="42" spans="1:16">
      <c r="B42" s="10"/>
      <c r="C42" s="10"/>
      <c r="D42" s="10"/>
      <c r="E42" s="10"/>
      <c r="F42" s="10"/>
      <c r="G42" s="10"/>
      <c r="H42" s="10"/>
      <c r="I42" s="10"/>
      <c r="J42" s="10"/>
      <c r="K42" s="10"/>
      <c r="L42" s="10"/>
      <c r="M42" s="10"/>
      <c r="N42" s="10"/>
      <c r="O42" s="10"/>
      <c r="P42" s="10"/>
    </row>
    <row r="43" spans="1:16">
      <c r="B43" s="10"/>
      <c r="C43" s="10"/>
      <c r="D43" s="10"/>
      <c r="E43" s="10"/>
      <c r="F43" s="10"/>
      <c r="G43" s="10"/>
      <c r="H43" s="10"/>
      <c r="I43" s="10"/>
      <c r="J43" s="10"/>
      <c r="K43" s="10"/>
      <c r="L43" s="10"/>
      <c r="M43" s="10"/>
      <c r="N43" s="10"/>
      <c r="O43" s="10"/>
      <c r="P43" s="10"/>
    </row>
    <row r="44" spans="1:16">
      <c r="B44" s="10"/>
      <c r="C44" s="5"/>
      <c r="D44" s="17"/>
      <c r="E44" s="5"/>
      <c r="F44" s="5"/>
      <c r="G44" s="5"/>
      <c r="H44" s="5"/>
      <c r="I44" s="5"/>
      <c r="J44" s="5"/>
      <c r="K44" s="5"/>
      <c r="L44" s="5"/>
      <c r="M44" s="5"/>
      <c r="N44" s="5"/>
      <c r="O44" s="5"/>
      <c r="P44" s="5"/>
    </row>
    <row r="45" spans="1:16">
      <c r="B45" s="10"/>
      <c r="C45" s="5"/>
      <c r="D45" s="5"/>
      <c r="E45" s="5"/>
      <c r="F45" s="5"/>
      <c r="G45" s="5"/>
      <c r="H45" s="5"/>
      <c r="I45" s="5"/>
      <c r="J45" s="5"/>
      <c r="K45" s="5"/>
      <c r="L45" s="5"/>
      <c r="M45" s="5"/>
      <c r="N45" s="5"/>
      <c r="O45" s="5"/>
      <c r="P45" s="5"/>
    </row>
    <row r="46" spans="1:16">
      <c r="B46" s="10"/>
      <c r="C46" s="10"/>
      <c r="D46" s="10"/>
      <c r="E46" s="10"/>
      <c r="F46" s="10"/>
      <c r="G46" s="10"/>
      <c r="H46" s="10"/>
      <c r="I46" s="10"/>
      <c r="J46" s="10"/>
      <c r="K46" s="10"/>
      <c r="L46" s="10"/>
      <c r="M46" s="10"/>
      <c r="N46" s="10"/>
      <c r="O46" s="10"/>
      <c r="P46" s="10"/>
    </row>
    <row r="47" spans="1:16">
      <c r="B47" s="10"/>
      <c r="C47" s="10"/>
      <c r="D47" s="10"/>
      <c r="E47" s="10"/>
      <c r="F47" s="10"/>
      <c r="G47" s="10"/>
      <c r="H47" s="10"/>
      <c r="I47" s="10"/>
      <c r="J47" s="10"/>
      <c r="K47" s="10"/>
      <c r="L47" s="10"/>
      <c r="M47" s="10"/>
      <c r="N47" s="10"/>
      <c r="O47" s="10"/>
      <c r="P47" s="10"/>
    </row>
    <row r="48" spans="1:16">
      <c r="B48" s="10"/>
      <c r="C48" s="5"/>
      <c r="D48" s="17"/>
      <c r="E48" s="5"/>
      <c r="F48" s="5"/>
      <c r="G48" s="5"/>
      <c r="H48" s="5"/>
      <c r="I48" s="5"/>
      <c r="J48" s="5"/>
      <c r="K48" s="5"/>
      <c r="L48" s="5"/>
      <c r="M48" s="5"/>
      <c r="N48" s="5"/>
      <c r="O48" s="5"/>
      <c r="P48" s="5"/>
    </row>
    <row r="49" spans="2:16">
      <c r="B49" s="10"/>
      <c r="C49" s="5"/>
      <c r="D49" s="5"/>
      <c r="E49" s="5"/>
      <c r="F49" s="5"/>
      <c r="G49" s="5"/>
      <c r="H49" s="5"/>
      <c r="I49" s="5"/>
      <c r="J49" s="5"/>
      <c r="K49" s="5"/>
      <c r="L49" s="5"/>
      <c r="M49" s="5"/>
      <c r="N49" s="5"/>
      <c r="O49" s="5"/>
      <c r="P49" s="5"/>
    </row>
    <row r="50" spans="2:16">
      <c r="B50" s="10"/>
      <c r="C50" s="10"/>
      <c r="D50" s="10"/>
      <c r="E50" s="10"/>
      <c r="F50" s="10"/>
      <c r="G50" s="10"/>
      <c r="H50" s="10"/>
      <c r="I50" s="10"/>
      <c r="J50" s="10"/>
      <c r="K50" s="10"/>
      <c r="L50" s="10"/>
      <c r="M50" s="10"/>
      <c r="N50" s="10"/>
      <c r="O50" s="10"/>
      <c r="P50" s="10"/>
    </row>
    <row r="51" spans="2:16">
      <c r="B51" s="10"/>
      <c r="C51" s="10"/>
      <c r="D51" s="10"/>
      <c r="E51" s="10"/>
      <c r="F51" s="10"/>
      <c r="G51" s="10"/>
      <c r="H51" s="10"/>
      <c r="I51" s="10"/>
      <c r="J51" s="10"/>
      <c r="K51" s="10"/>
      <c r="L51" s="10"/>
      <c r="M51" s="10"/>
      <c r="N51" s="10"/>
      <c r="O51" s="10"/>
      <c r="P51" s="10"/>
    </row>
    <row r="52" spans="2:16">
      <c r="B52" s="10"/>
      <c r="C52" s="5"/>
      <c r="D52" s="17"/>
      <c r="E52" s="5"/>
      <c r="F52" s="5"/>
      <c r="G52" s="5"/>
      <c r="H52" s="5"/>
      <c r="I52" s="5"/>
      <c r="J52" s="5"/>
      <c r="K52" s="5"/>
      <c r="L52" s="5"/>
      <c r="M52" s="5"/>
      <c r="N52" s="5"/>
      <c r="O52" s="5"/>
      <c r="P52" s="5"/>
    </row>
    <row r="53" spans="2:16">
      <c r="B53" s="10"/>
      <c r="C53" s="5"/>
      <c r="D53" s="5"/>
      <c r="E53" s="5"/>
      <c r="F53" s="5"/>
      <c r="G53" s="5"/>
      <c r="H53" s="5"/>
      <c r="I53" s="5"/>
      <c r="J53" s="5"/>
      <c r="K53" s="5"/>
      <c r="L53" s="5"/>
      <c r="M53" s="5"/>
      <c r="N53" s="5"/>
      <c r="O53" s="5"/>
      <c r="P53" s="5"/>
    </row>
    <row r="54" spans="2:16">
      <c r="B54" s="10"/>
      <c r="C54" s="10"/>
      <c r="D54" s="10"/>
      <c r="E54" s="10"/>
      <c r="F54" s="10"/>
      <c r="G54" s="10"/>
      <c r="H54" s="10"/>
      <c r="I54" s="10"/>
      <c r="J54" s="10"/>
      <c r="K54" s="10"/>
      <c r="L54" s="10"/>
      <c r="M54" s="10"/>
      <c r="N54" s="10"/>
      <c r="O54" s="10"/>
      <c r="P54" s="10"/>
    </row>
    <row r="55" spans="2:16">
      <c r="B55" s="10"/>
      <c r="C55" s="10"/>
      <c r="D55" s="10"/>
      <c r="E55" s="10"/>
      <c r="F55" s="10"/>
      <c r="G55" s="10"/>
      <c r="H55" s="10"/>
      <c r="I55" s="10"/>
      <c r="J55" s="10"/>
      <c r="K55" s="10"/>
      <c r="L55" s="10"/>
      <c r="M55" s="10"/>
      <c r="N55" s="10"/>
      <c r="O55" s="10"/>
      <c r="P55" s="10"/>
    </row>
    <row r="56" spans="2:16">
      <c r="B56" s="10"/>
      <c r="C56" s="5"/>
      <c r="D56" s="17"/>
      <c r="E56" s="5"/>
      <c r="F56" s="5"/>
      <c r="G56" s="5"/>
      <c r="H56" s="5"/>
      <c r="I56" s="5"/>
      <c r="J56" s="5"/>
      <c r="K56" s="5"/>
      <c r="L56" s="5"/>
      <c r="M56" s="5"/>
      <c r="N56" s="5"/>
      <c r="O56" s="5"/>
      <c r="P56" s="5"/>
    </row>
    <row r="57" spans="2:16">
      <c r="B57" s="10"/>
      <c r="C57" s="5"/>
      <c r="D57" s="5"/>
      <c r="E57" s="5"/>
      <c r="F57" s="5"/>
      <c r="G57" s="5"/>
      <c r="H57" s="5"/>
      <c r="I57" s="5"/>
      <c r="J57" s="5"/>
      <c r="K57" s="5"/>
      <c r="L57" s="5"/>
      <c r="M57" s="5"/>
      <c r="N57" s="5"/>
      <c r="O57" s="5"/>
      <c r="P57" s="5"/>
    </row>
    <row r="58" spans="2:16">
      <c r="B58" s="10"/>
      <c r="C58" s="10"/>
      <c r="D58" s="10"/>
      <c r="E58" s="10"/>
      <c r="F58" s="10"/>
      <c r="G58" s="10"/>
      <c r="H58" s="10"/>
      <c r="I58" s="10"/>
      <c r="J58" s="10"/>
      <c r="K58" s="10"/>
      <c r="L58" s="10"/>
      <c r="M58" s="10"/>
      <c r="N58" s="10"/>
      <c r="O58" s="10"/>
      <c r="P58" s="10"/>
    </row>
    <row r="59" spans="2:16">
      <c r="B59" s="10"/>
      <c r="C59" s="10"/>
      <c r="D59" s="10"/>
      <c r="E59" s="10"/>
      <c r="F59" s="10"/>
      <c r="G59" s="10"/>
      <c r="H59" s="10"/>
      <c r="I59" s="10"/>
      <c r="J59" s="10"/>
      <c r="K59" s="10"/>
      <c r="L59" s="10"/>
      <c r="M59" s="10"/>
      <c r="N59" s="10"/>
      <c r="O59" s="10"/>
      <c r="P59" s="10"/>
    </row>
    <row r="60" spans="2:16">
      <c r="B60" s="10"/>
      <c r="C60" s="5"/>
      <c r="D60" s="17"/>
      <c r="E60" s="5"/>
      <c r="F60" s="5"/>
      <c r="G60" s="5"/>
      <c r="H60" s="5"/>
      <c r="I60" s="5"/>
      <c r="J60" s="5"/>
      <c r="K60" s="5"/>
      <c r="L60" s="5"/>
      <c r="M60" s="5"/>
      <c r="N60" s="5"/>
      <c r="O60" s="5"/>
      <c r="P60" s="5"/>
    </row>
    <row r="61" spans="2:16">
      <c r="B61" s="10"/>
      <c r="C61" s="5"/>
      <c r="D61" s="5"/>
      <c r="E61" s="5"/>
      <c r="F61" s="5"/>
      <c r="G61" s="5"/>
      <c r="H61" s="5"/>
      <c r="I61" s="5"/>
      <c r="J61" s="5"/>
      <c r="K61" s="5"/>
      <c r="L61" s="5"/>
      <c r="M61" s="5"/>
      <c r="N61" s="5"/>
      <c r="O61" s="5"/>
      <c r="P61" s="5"/>
    </row>
    <row r="62" spans="2:16">
      <c r="B62" s="10"/>
      <c r="C62" s="10"/>
      <c r="D62" s="10"/>
      <c r="E62" s="10"/>
      <c r="F62" s="10"/>
      <c r="G62" s="10"/>
      <c r="H62" s="10"/>
      <c r="I62" s="10"/>
      <c r="J62" s="10"/>
      <c r="K62" s="10"/>
      <c r="L62" s="10"/>
      <c r="M62" s="10"/>
      <c r="N62" s="10"/>
      <c r="O62" s="10"/>
      <c r="P62" s="10"/>
    </row>
    <row r="63" spans="2:16">
      <c r="B63" s="10"/>
      <c r="C63" s="10"/>
      <c r="D63" s="10"/>
      <c r="E63" s="10"/>
      <c r="F63" s="10"/>
      <c r="G63" s="10"/>
      <c r="H63" s="10"/>
      <c r="I63" s="10"/>
      <c r="J63" s="10"/>
      <c r="K63" s="10"/>
      <c r="L63" s="10"/>
      <c r="M63" s="10"/>
      <c r="N63" s="10"/>
      <c r="O63" s="10"/>
      <c r="P63" s="10"/>
    </row>
    <row r="64" spans="2:16">
      <c r="B64" s="10"/>
      <c r="C64" s="5"/>
      <c r="D64" s="17"/>
      <c r="E64" s="5"/>
      <c r="F64" s="5"/>
      <c r="G64" s="5"/>
      <c r="H64" s="5"/>
      <c r="I64" s="5"/>
      <c r="J64" s="5"/>
      <c r="K64" s="5"/>
      <c r="L64" s="5"/>
      <c r="M64" s="5"/>
      <c r="N64" s="5"/>
      <c r="O64" s="5"/>
      <c r="P64" s="5"/>
    </row>
    <row r="65" spans="2:16">
      <c r="B65" s="10"/>
      <c r="C65" s="5"/>
      <c r="D65" s="5"/>
      <c r="E65" s="5"/>
      <c r="F65" s="5"/>
      <c r="G65" s="5"/>
      <c r="H65" s="5"/>
      <c r="I65" s="5"/>
      <c r="J65" s="5"/>
      <c r="K65" s="5"/>
      <c r="L65" s="5"/>
      <c r="M65" s="5"/>
      <c r="N65" s="5"/>
      <c r="O65" s="5"/>
      <c r="P65" s="5"/>
    </row>
  </sheetData>
  <mergeCells count="1">
    <mergeCell ref="B1:P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97D3F-3BEE-4AC8-ADAC-926CAE78A826}">
  <dimension ref="A10:H64"/>
  <sheetViews>
    <sheetView showGridLines="0" zoomScale="110" zoomScaleNormal="110" workbookViewId="0">
      <selection activeCell="A27" sqref="A27:XFD27"/>
    </sheetView>
  </sheetViews>
  <sheetFormatPr defaultColWidth="9" defaultRowHeight="9.9499999999999993"/>
  <cols>
    <col min="1" max="1" width="16.5" style="20" bestFit="1" customWidth="1"/>
    <col min="2" max="2" width="36.5" style="21" bestFit="1" customWidth="1"/>
    <col min="3" max="3" width="68" style="21" customWidth="1"/>
    <col min="4" max="4" width="47.25" style="24" customWidth="1"/>
    <col min="5" max="5" width="51.5" style="21" customWidth="1"/>
    <col min="6" max="6" width="40" style="21" bestFit="1" customWidth="1"/>
    <col min="7" max="7" width="20.625" style="23" bestFit="1" customWidth="1"/>
    <col min="8" max="8" width="18" style="19" bestFit="1" customWidth="1"/>
    <col min="9" max="16384" width="9" style="19"/>
  </cols>
  <sheetData>
    <row r="10" spans="1:8" ht="14.25">
      <c r="A10" s="36" t="s">
        <v>0</v>
      </c>
      <c r="B10" s="36" t="s">
        <v>3</v>
      </c>
      <c r="C10" s="38" t="s">
        <v>14</v>
      </c>
      <c r="D10" s="36" t="s">
        <v>15</v>
      </c>
      <c r="E10" s="36" t="s">
        <v>16</v>
      </c>
      <c r="F10" s="36" t="s">
        <v>2</v>
      </c>
      <c r="G10"/>
      <c r="H10" s="22"/>
    </row>
    <row r="11" spans="1:8" ht="14.25">
      <c r="A11" s="37" t="s">
        <v>180</v>
      </c>
      <c r="B11" s="37" t="s">
        <v>181</v>
      </c>
      <c r="C11" s="37" t="s">
        <v>251</v>
      </c>
      <c r="D11" s="37" t="s">
        <v>251</v>
      </c>
      <c r="E11" s="37" t="s">
        <v>251</v>
      </c>
      <c r="F11" s="37">
        <v>3</v>
      </c>
      <c r="G11"/>
      <c r="H11" s="22"/>
    </row>
    <row r="12" spans="1:8" ht="41.25">
      <c r="A12" s="37" t="s">
        <v>19</v>
      </c>
      <c r="B12" s="37" t="s">
        <v>6</v>
      </c>
      <c r="C12" s="39" t="s">
        <v>22</v>
      </c>
      <c r="D12" s="37" t="s">
        <v>23</v>
      </c>
      <c r="E12" s="37"/>
      <c r="F12" s="37">
        <v>5</v>
      </c>
      <c r="G12"/>
      <c r="H12" s="22"/>
    </row>
    <row r="13" spans="1:8" ht="41.25">
      <c r="A13" s="37" t="s">
        <v>124</v>
      </c>
      <c r="B13" s="37" t="s">
        <v>125</v>
      </c>
      <c r="C13" s="39" t="s">
        <v>126</v>
      </c>
      <c r="D13" s="37" t="s">
        <v>127</v>
      </c>
      <c r="E13" s="37" t="s">
        <v>128</v>
      </c>
      <c r="F13" s="37">
        <v>3</v>
      </c>
      <c r="G13"/>
      <c r="H13" s="22"/>
    </row>
    <row r="14" spans="1:8" ht="30.75">
      <c r="A14" s="37" t="s">
        <v>32</v>
      </c>
      <c r="B14" s="37" t="s">
        <v>33</v>
      </c>
      <c r="C14" s="39" t="s">
        <v>35</v>
      </c>
      <c r="D14" s="37" t="s">
        <v>36</v>
      </c>
      <c r="E14" s="37" t="s">
        <v>37</v>
      </c>
      <c r="F14" s="37">
        <v>15</v>
      </c>
      <c r="G14"/>
      <c r="H14" s="22"/>
    </row>
    <row r="15" spans="1:8" ht="41.25">
      <c r="A15" s="37" t="s">
        <v>26</v>
      </c>
      <c r="B15" s="37" t="s">
        <v>11</v>
      </c>
      <c r="C15" s="39" t="s">
        <v>27</v>
      </c>
      <c r="D15" s="37" t="s">
        <v>28</v>
      </c>
      <c r="E15" s="37" t="s">
        <v>29</v>
      </c>
      <c r="F15" s="37">
        <v>3</v>
      </c>
      <c r="G15"/>
      <c r="H15" s="22"/>
    </row>
    <row r="16" spans="1:8" ht="41.25">
      <c r="A16" s="37" t="s">
        <v>40</v>
      </c>
      <c r="B16" s="37" t="s">
        <v>41</v>
      </c>
      <c r="C16" s="39" t="s">
        <v>42</v>
      </c>
      <c r="D16" s="37" t="s">
        <v>43</v>
      </c>
      <c r="E16" s="37" t="s">
        <v>44</v>
      </c>
      <c r="F16" s="37">
        <v>3</v>
      </c>
      <c r="G16"/>
      <c r="H16" s="22"/>
    </row>
    <row r="17" spans="1:8" ht="51">
      <c r="A17" s="37" t="s">
        <v>46</v>
      </c>
      <c r="B17" s="37" t="s">
        <v>47</v>
      </c>
      <c r="C17" s="39" t="s">
        <v>50</v>
      </c>
      <c r="D17" s="37" t="s">
        <v>51</v>
      </c>
      <c r="E17" s="37" t="s">
        <v>52</v>
      </c>
      <c r="F17" s="37">
        <v>4</v>
      </c>
      <c r="G17"/>
      <c r="H17" s="22"/>
    </row>
    <row r="18" spans="1:8" ht="51">
      <c r="A18" s="37" t="s">
        <v>55</v>
      </c>
      <c r="B18" s="37" t="s">
        <v>6</v>
      </c>
      <c r="C18" s="39" t="s">
        <v>56</v>
      </c>
      <c r="D18" s="37" t="s">
        <v>57</v>
      </c>
      <c r="E18" s="37" t="s">
        <v>58</v>
      </c>
      <c r="F18" s="37">
        <v>3</v>
      </c>
      <c r="G18"/>
      <c r="H18" s="22"/>
    </row>
    <row r="19" spans="1:8" ht="30.75">
      <c r="A19" s="37" t="s">
        <v>61</v>
      </c>
      <c r="B19" s="37" t="s">
        <v>7</v>
      </c>
      <c r="C19" s="39" t="s">
        <v>252</v>
      </c>
      <c r="D19" s="37" t="s">
        <v>63</v>
      </c>
      <c r="E19" s="37" t="s">
        <v>64</v>
      </c>
      <c r="F19" s="37">
        <v>4</v>
      </c>
      <c r="G19"/>
      <c r="H19" s="22"/>
    </row>
    <row r="20" spans="1:8" ht="30.75">
      <c r="A20" s="37" t="s">
        <v>67</v>
      </c>
      <c r="B20" s="37" t="s">
        <v>8</v>
      </c>
      <c r="C20" s="39" t="s">
        <v>68</v>
      </c>
      <c r="D20" s="37" t="s">
        <v>69</v>
      </c>
      <c r="E20" s="37" t="s">
        <v>70</v>
      </c>
      <c r="F20" s="37">
        <v>3</v>
      </c>
      <c r="G20"/>
      <c r="H20" s="22"/>
    </row>
    <row r="21" spans="1:8" ht="60.75">
      <c r="A21" s="37" t="s">
        <v>73</v>
      </c>
      <c r="B21" s="37" t="s">
        <v>41</v>
      </c>
      <c r="C21" s="39" t="s">
        <v>74</v>
      </c>
      <c r="D21" s="37" t="s">
        <v>75</v>
      </c>
      <c r="E21" s="37" t="s">
        <v>76</v>
      </c>
      <c r="F21" s="37">
        <v>3</v>
      </c>
      <c r="G21"/>
      <c r="H21" s="22"/>
    </row>
    <row r="22" spans="1:8" ht="41.25">
      <c r="A22" s="37" t="s">
        <v>79</v>
      </c>
      <c r="B22" s="37" t="s">
        <v>80</v>
      </c>
      <c r="C22" s="39" t="s">
        <v>81</v>
      </c>
      <c r="D22" s="37" t="s">
        <v>82</v>
      </c>
      <c r="E22" s="37" t="s">
        <v>83</v>
      </c>
      <c r="F22" s="37">
        <v>3</v>
      </c>
      <c r="G22"/>
      <c r="H22" s="22"/>
    </row>
    <row r="23" spans="1:8" ht="20.25">
      <c r="A23" s="37" t="s">
        <v>99</v>
      </c>
      <c r="B23" s="37" t="s">
        <v>100</v>
      </c>
      <c r="C23" s="39" t="s">
        <v>253</v>
      </c>
      <c r="D23" s="37" t="s">
        <v>102</v>
      </c>
      <c r="E23" s="37" t="s">
        <v>103</v>
      </c>
      <c r="F23" s="37">
        <v>4</v>
      </c>
      <c r="G23"/>
      <c r="H23" s="22"/>
    </row>
    <row r="24" spans="1:8" ht="41.25">
      <c r="A24" s="37" t="s">
        <v>131</v>
      </c>
      <c r="B24" s="37" t="s">
        <v>132</v>
      </c>
      <c r="C24" s="39" t="s">
        <v>133</v>
      </c>
      <c r="D24" s="37" t="s">
        <v>134</v>
      </c>
      <c r="E24" s="37" t="s">
        <v>135</v>
      </c>
      <c r="F24" s="37">
        <v>4</v>
      </c>
      <c r="G24"/>
      <c r="H24" s="22"/>
    </row>
    <row r="25" spans="1:8" ht="51">
      <c r="A25" s="37" t="s">
        <v>145</v>
      </c>
      <c r="B25" s="37" t="s">
        <v>146</v>
      </c>
      <c r="C25" s="39" t="s">
        <v>147</v>
      </c>
      <c r="D25" s="37" t="s">
        <v>146</v>
      </c>
      <c r="E25" s="37" t="s">
        <v>148</v>
      </c>
      <c r="F25" s="37">
        <v>2</v>
      </c>
      <c r="G25"/>
      <c r="H25" s="22"/>
    </row>
    <row r="26" spans="1:8" ht="41.25">
      <c r="A26" s="37" t="s">
        <v>151</v>
      </c>
      <c r="B26" s="37" t="s">
        <v>152</v>
      </c>
      <c r="C26" s="39" t="s">
        <v>153</v>
      </c>
      <c r="D26" s="37" t="s">
        <v>154</v>
      </c>
      <c r="E26" s="37" t="s">
        <v>155</v>
      </c>
      <c r="F26" s="37">
        <v>2</v>
      </c>
      <c r="G26"/>
      <c r="H26" s="22"/>
    </row>
    <row r="27" spans="1:8" ht="14.25">
      <c r="A27" s="37" t="s">
        <v>165</v>
      </c>
      <c r="B27" s="37" t="s">
        <v>166</v>
      </c>
      <c r="C27" s="37" t="s">
        <v>167</v>
      </c>
      <c r="D27" s="37" t="s">
        <v>168</v>
      </c>
      <c r="E27" s="37" t="s">
        <v>169</v>
      </c>
      <c r="F27" s="37">
        <v>2</v>
      </c>
      <c r="G27"/>
      <c r="H27" s="22"/>
    </row>
    <row r="28" spans="1:8" ht="14.25">
      <c r="A28"/>
      <c r="B28"/>
      <c r="C28"/>
      <c r="D28"/>
      <c r="E28"/>
      <c r="F28"/>
      <c r="G28"/>
      <c r="H28" s="22"/>
    </row>
    <row r="29" spans="1:8" ht="14.1">
      <c r="A29"/>
      <c r="B29"/>
      <c r="C29"/>
      <c r="D29"/>
      <c r="E29"/>
      <c r="F29"/>
      <c r="G29"/>
      <c r="H29" s="22"/>
    </row>
    <row r="30" spans="1:8" ht="14.1">
      <c r="A30"/>
      <c r="B30"/>
      <c r="C30"/>
      <c r="D30"/>
      <c r="E30"/>
      <c r="F30"/>
      <c r="G30"/>
      <c r="H30" s="22"/>
    </row>
    <row r="31" spans="1:8" ht="14.1">
      <c r="A31"/>
      <c r="B31"/>
      <c r="C31"/>
      <c r="D31"/>
      <c r="E31"/>
      <c r="F31"/>
      <c r="G31"/>
      <c r="H31" s="22"/>
    </row>
    <row r="32" spans="1:8" ht="14.1">
      <c r="A32"/>
      <c r="B32"/>
      <c r="C32"/>
      <c r="D32"/>
      <c r="E32"/>
      <c r="F32"/>
      <c r="G32"/>
      <c r="H32" s="22"/>
    </row>
    <row r="33" spans="1:8" ht="20.25" customHeight="1">
      <c r="A33" s="32" t="s">
        <v>165</v>
      </c>
      <c r="B33" s="33" t="s">
        <v>166</v>
      </c>
      <c r="C33" s="34" t="s">
        <v>167</v>
      </c>
      <c r="D33" s="33" t="s">
        <v>168</v>
      </c>
      <c r="E33" s="35" t="s">
        <v>169</v>
      </c>
      <c r="F33" s="35">
        <v>2</v>
      </c>
      <c r="G33"/>
      <c r="H33" s="22"/>
    </row>
    <row r="34" spans="1:8" ht="14.1">
      <c r="A34"/>
      <c r="B34"/>
      <c r="C34" s="4"/>
      <c r="D34"/>
      <c r="E34"/>
      <c r="F34"/>
      <c r="G34"/>
      <c r="H34" s="22"/>
    </row>
    <row r="35" spans="1:8" ht="14.1">
      <c r="A35"/>
      <c r="B35"/>
      <c r="C35" s="4"/>
      <c r="D35"/>
      <c r="E35"/>
      <c r="F35"/>
      <c r="G35"/>
      <c r="H35" s="22"/>
    </row>
    <row r="36" spans="1:8" ht="14.1">
      <c r="A36"/>
      <c r="B36"/>
      <c r="C36" s="4"/>
      <c r="D36"/>
      <c r="E36"/>
      <c r="F36"/>
      <c r="G36"/>
      <c r="H36" s="22"/>
    </row>
    <row r="37" spans="1:8" ht="14.1">
      <c r="A37"/>
      <c r="B37"/>
      <c r="C37" s="4"/>
      <c r="D37"/>
      <c r="E37"/>
      <c r="F37"/>
      <c r="G37"/>
      <c r="H37" s="22"/>
    </row>
    <row r="38" spans="1:8" ht="14.1">
      <c r="A38"/>
      <c r="B38"/>
      <c r="C38" s="4"/>
      <c r="D38"/>
      <c r="E38"/>
      <c r="F38"/>
      <c r="G38"/>
      <c r="H38" s="22"/>
    </row>
    <row r="39" spans="1:8" ht="14.1">
      <c r="A39"/>
      <c r="B39"/>
      <c r="C39" s="4"/>
      <c r="D39"/>
      <c r="E39"/>
      <c r="F39"/>
      <c r="G39"/>
      <c r="H39" s="22"/>
    </row>
    <row r="40" spans="1:8" ht="14.1">
      <c r="A40"/>
      <c r="B40"/>
      <c r="C40" s="4"/>
      <c r="D40"/>
      <c r="E40"/>
      <c r="F40"/>
      <c r="G40"/>
      <c r="H40" s="22"/>
    </row>
    <row r="41" spans="1:8" ht="14.1">
      <c r="A41"/>
      <c r="B41"/>
      <c r="C41" s="4"/>
      <c r="D41"/>
      <c r="E41"/>
      <c r="F41"/>
      <c r="G41"/>
      <c r="H41" s="22"/>
    </row>
    <row r="42" spans="1:8" ht="14.1">
      <c r="A42"/>
      <c r="B42"/>
      <c r="C42" s="4"/>
      <c r="D42"/>
      <c r="E42"/>
      <c r="F42"/>
      <c r="G42"/>
      <c r="H42" s="22"/>
    </row>
    <row r="43" spans="1:8" ht="14.1">
      <c r="A43"/>
      <c r="B43"/>
      <c r="C43" s="4"/>
      <c r="D43"/>
      <c r="E43"/>
      <c r="F43"/>
      <c r="G43"/>
      <c r="H43" s="22"/>
    </row>
    <row r="44" spans="1:8" ht="14.1">
      <c r="A44"/>
      <c r="B44"/>
      <c r="C44" s="4"/>
      <c r="D44"/>
      <c r="E44"/>
      <c r="F44"/>
      <c r="G44"/>
      <c r="H44" s="22"/>
    </row>
    <row r="45" spans="1:8" ht="14.1">
      <c r="A45"/>
      <c r="B45"/>
      <c r="C45" s="4"/>
      <c r="D45"/>
      <c r="E45"/>
      <c r="F45"/>
      <c r="G45"/>
      <c r="H45" s="22"/>
    </row>
    <row r="46" spans="1:8" ht="14.1">
      <c r="A46"/>
      <c r="B46"/>
      <c r="C46" s="4"/>
      <c r="D46"/>
      <c r="E46"/>
      <c r="F46"/>
      <c r="G46"/>
      <c r="H46" s="22"/>
    </row>
    <row r="47" spans="1:8" ht="14.1">
      <c r="A47"/>
      <c r="B47"/>
      <c r="C47" s="4"/>
      <c r="D47"/>
      <c r="E47"/>
      <c r="F47"/>
      <c r="G47"/>
      <c r="H47" s="22"/>
    </row>
    <row r="48" spans="1:8" ht="14.1">
      <c r="A48"/>
      <c r="B48"/>
      <c r="C48" s="4"/>
      <c r="D48"/>
      <c r="E48"/>
      <c r="F48"/>
      <c r="G48"/>
      <c r="H48" s="22"/>
    </row>
    <row r="49" spans="1:8" ht="14.1">
      <c r="A49"/>
      <c r="B49"/>
      <c r="C49" s="4"/>
      <c r="D49"/>
      <c r="E49"/>
      <c r="F49"/>
      <c r="G49"/>
      <c r="H49" s="22"/>
    </row>
    <row r="50" spans="1:8" ht="14.1">
      <c r="A50"/>
      <c r="B50"/>
      <c r="C50" s="4"/>
      <c r="D50"/>
      <c r="E50"/>
      <c r="F50"/>
      <c r="G50"/>
      <c r="H50" s="22"/>
    </row>
    <row r="51" spans="1:8" ht="14.1">
      <c r="A51"/>
      <c r="B51"/>
      <c r="C51" s="4"/>
      <c r="D51"/>
      <c r="E51"/>
      <c r="F51"/>
      <c r="G51"/>
      <c r="H51" s="22"/>
    </row>
    <row r="52" spans="1:8" ht="14.1">
      <c r="A52"/>
      <c r="B52"/>
      <c r="C52" s="4"/>
      <c r="D52"/>
      <c r="E52"/>
      <c r="F52"/>
      <c r="G52"/>
      <c r="H52" s="22"/>
    </row>
    <row r="53" spans="1:8" ht="14.1">
      <c r="A53"/>
      <c r="B53"/>
      <c r="C53" s="4"/>
      <c r="D53"/>
      <c r="E53"/>
      <c r="F53"/>
      <c r="G53"/>
      <c r="H53" s="22"/>
    </row>
    <row r="54" spans="1:8" ht="14.1">
      <c r="A54"/>
      <c r="B54"/>
      <c r="C54" s="4"/>
      <c r="D54"/>
      <c r="E54"/>
      <c r="F54"/>
      <c r="G54"/>
      <c r="H54" s="22"/>
    </row>
    <row r="55" spans="1:8" ht="14.1">
      <c r="A55"/>
      <c r="B55"/>
      <c r="C55" s="4"/>
      <c r="D55"/>
      <c r="E55"/>
      <c r="F55" s="22"/>
      <c r="G55" s="12"/>
      <c r="H55" s="22"/>
    </row>
    <row r="56" spans="1:8" ht="14.1">
      <c r="A56"/>
      <c r="B56"/>
      <c r="C56" s="4"/>
      <c r="D56"/>
      <c r="E56"/>
      <c r="F56" s="22"/>
      <c r="G56" s="12"/>
      <c r="H56" s="22"/>
    </row>
    <row r="57" spans="1:8" ht="14.1">
      <c r="A57"/>
      <c r="B57"/>
      <c r="C57" s="4"/>
      <c r="D57"/>
      <c r="E57"/>
      <c r="F57" s="22"/>
      <c r="G57" s="12"/>
      <c r="H57" s="22"/>
    </row>
    <row r="58" spans="1:8" ht="14.1">
      <c r="A58"/>
      <c r="B58"/>
      <c r="C58" s="4"/>
      <c r="D58"/>
      <c r="E58"/>
      <c r="F58" s="22"/>
      <c r="G58" s="12"/>
      <c r="H58" s="22"/>
    </row>
    <row r="59" spans="1:8" ht="14.1">
      <c r="A59"/>
      <c r="B59"/>
      <c r="C59" s="4"/>
      <c r="D59"/>
      <c r="E59"/>
      <c r="F59" s="22"/>
      <c r="G59" s="12"/>
      <c r="H59" s="22"/>
    </row>
    <row r="60" spans="1:8" ht="14.1">
      <c r="A60"/>
      <c r="B60"/>
      <c r="C60" s="4"/>
      <c r="D60"/>
      <c r="E60"/>
      <c r="F60" s="22"/>
      <c r="G60" s="12"/>
      <c r="H60" s="22"/>
    </row>
    <row r="61" spans="1:8" ht="14.1">
      <c r="A61"/>
      <c r="B61"/>
      <c r="C61" s="4"/>
      <c r="D61"/>
      <c r="E61"/>
      <c r="F61" s="22"/>
      <c r="G61" s="12"/>
      <c r="H61" s="22"/>
    </row>
    <row r="62" spans="1:8" ht="14.1">
      <c r="A62"/>
      <c r="B62"/>
      <c r="C62" s="4"/>
      <c r="D62"/>
      <c r="E62"/>
      <c r="F62" s="22"/>
      <c r="G62" s="12"/>
      <c r="H62" s="22"/>
    </row>
    <row r="63" spans="1:8" ht="14.1">
      <c r="A63"/>
      <c r="B63"/>
      <c r="C63" s="4"/>
      <c r="D63"/>
      <c r="E63"/>
      <c r="F63" s="22"/>
      <c r="G63" s="12"/>
      <c r="H63" s="22"/>
    </row>
    <row r="64" spans="1:8" ht="14.1">
      <c r="A64"/>
      <c r="B64"/>
      <c r="C64" s="4"/>
      <c r="D64"/>
      <c r="E64"/>
      <c r="F64" s="22"/>
      <c r="G64" s="12"/>
      <c r="H64" s="22"/>
    </row>
  </sheetData>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040ff4-24fd-4220-8396-ee1f6ad4992d" xsi:nil="true"/>
    <lcf76f155ced4ddcb4097134ff3c332f xmlns="0b4895a4-109c-4734-9b5c-08e0b57b8d04">
      <Terms xmlns="http://schemas.microsoft.com/office/infopath/2007/PartnerControls"/>
    </lcf76f155ced4ddcb4097134ff3c332f>
    <MediaLengthInSeconds xmlns="0b4895a4-109c-4734-9b5c-08e0b57b8d04" xsi:nil="true"/>
    <SharedWithUsers xmlns="9b040ff4-24fd-4220-8396-ee1f6ad4992d">
      <UserInfo>
        <DisplayName>Rogier Kamer</DisplayName>
        <AccountId>99</AccountId>
        <AccountType/>
      </UserInfo>
      <UserInfo>
        <DisplayName>Jasmijn Koster</DisplayName>
        <AccountId>108</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5A3777C117E8F4490629ADC5280BDCD" ma:contentTypeVersion="14" ma:contentTypeDescription="Een nieuw document maken." ma:contentTypeScope="" ma:versionID="af06415684968a1656e1bba475aafabb">
  <xsd:schema xmlns:xsd="http://www.w3.org/2001/XMLSchema" xmlns:xs="http://www.w3.org/2001/XMLSchema" xmlns:p="http://schemas.microsoft.com/office/2006/metadata/properties" xmlns:ns2="0b4895a4-109c-4734-9b5c-08e0b57b8d04" xmlns:ns3="9b040ff4-24fd-4220-8396-ee1f6ad4992d" targetNamespace="http://schemas.microsoft.com/office/2006/metadata/properties" ma:root="true" ma:fieldsID="00e3554c49079c8e18863c8e75532588" ns2:_="" ns3:_="">
    <xsd:import namespace="0b4895a4-109c-4734-9b5c-08e0b57b8d04"/>
    <xsd:import namespace="9b040ff4-24fd-4220-8396-ee1f6ad499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895a4-109c-4734-9b5c-08e0b57b8d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3bc292-4470-415f-891b-16f65066b5a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040ff4-24fd-4220-8396-ee1f6ad4992d"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06873769-555d-45d4-9f27-c001d2ff8a92}" ma:internalName="TaxCatchAll" ma:showField="CatchAllData" ma:web="9b040ff4-24fd-4220-8396-ee1f6ad499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CEA4CF-5239-4084-8EC8-6E52E5A1C781}"/>
</file>

<file path=customXml/itemProps2.xml><?xml version="1.0" encoding="utf-8"?>
<ds:datastoreItem xmlns:ds="http://schemas.openxmlformats.org/officeDocument/2006/customXml" ds:itemID="{889289F8-B9D7-47AB-B2D1-68C503A8A942}"/>
</file>

<file path=customXml/itemProps3.xml><?xml version="1.0" encoding="utf-8"?>
<ds:datastoreItem xmlns:ds="http://schemas.openxmlformats.org/officeDocument/2006/customXml" ds:itemID="{1844EAFB-C30C-46BD-8AC8-79F0BA108D9B}"/>
</file>

<file path=customXml/itemProps4.xml><?xml version="1.0" encoding="utf-8"?>
<ds:datastoreItem xmlns:ds="http://schemas.openxmlformats.org/officeDocument/2006/customXml" ds:itemID="{77CAB827-7E03-411A-866E-4C9D379C895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Nienke Halma</dc:creator>
  <cp:keywords/>
  <dc:description/>
  <cp:lastModifiedBy>Dennis Reitsma</cp:lastModifiedBy>
  <cp:revision/>
  <dcterms:created xsi:type="dcterms:W3CDTF">2021-05-31T13:00:31Z</dcterms:created>
  <dcterms:modified xsi:type="dcterms:W3CDTF">2024-05-29T06:45:21Z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0x01010035A3777C117E8F4490629ADC5280BDCD</vt:lpwstr>
  </property>
  <property fmtid="{D5CDD505-2E9C-101B-9397-08002B2CF9AE}" pid="3" name="Order">
    <vt:r8>45299000</vt:r8>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xd_Signature">
    <vt:bool>false</vt:bool>
  </property>
  <property fmtid="{D5CDD505-2E9C-101B-9397-08002B2CF9AE}" pid="9" name="TriggerFlowInfo">
    <vt:lpwstr/>
  </property>
  <property fmtid="{D5CDD505-2E9C-101B-9397-08002B2CF9AE}" pid="10" name="MediaServiceImageTags">
    <vt:lpwstr/>
  </property>
</Properties>
</file>